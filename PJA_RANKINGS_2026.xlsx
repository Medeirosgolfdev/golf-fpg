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olf-fpg\"/>
    </mc:Choice>
  </mc:AlternateContent>
  <xr:revisionPtr revIDLastSave="0" documentId="13_ncr:1_{8A4A63B2-6CDD-4F2C-9CA4-893065A98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gadores PJA 2026" sheetId="2" r:id="rId1"/>
    <sheet name="Ranking 2026" sheetId="1" r:id="rId2"/>
    <sheet name="RESULTADOS DT 2026" sheetId="3" r:id="rId3"/>
    <sheet name="RESULTADOS AQUAP 2026" sheetId="4" r:id="rId4"/>
    <sheet name="RESULTADOS PJA 2026 EXCUS" sheetId="5" r:id="rId5"/>
    <sheet name="Greatgol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F15" i="3" s="1"/>
  <c r="G21" i="1"/>
  <c r="G20" i="1"/>
  <c r="G19" i="1"/>
  <c r="G18" i="1"/>
  <c r="L17" i="1"/>
  <c r="G17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L13" i="1"/>
  <c r="G13" i="1"/>
  <c r="B13" i="1"/>
  <c r="L12" i="1"/>
  <c r="G12" i="1"/>
  <c r="B12" i="1"/>
  <c r="L11" i="1"/>
  <c r="G11" i="1"/>
  <c r="B11" i="1"/>
  <c r="L10" i="1"/>
  <c r="G10" i="1"/>
  <c r="B10" i="1"/>
  <c r="L9" i="1"/>
  <c r="G9" i="1"/>
  <c r="B9" i="1"/>
  <c r="L8" i="1"/>
  <c r="G8" i="1"/>
  <c r="B8" i="1"/>
  <c r="L7" i="1"/>
  <c r="G7" i="1"/>
  <c r="B7" i="1"/>
  <c r="L6" i="1"/>
  <c r="G6" i="1"/>
  <c r="B6" i="1"/>
</calcChain>
</file>

<file path=xl/sharedStrings.xml><?xml version="1.0" encoding="utf-8"?>
<sst xmlns="http://schemas.openxmlformats.org/spreadsheetml/2006/main" count="1013" uniqueCount="125">
  <si>
    <t>PJA Junior Golf — Race to Dunas 2026</t>
  </si>
  <si>
    <t>Regras 2026: DT conta para todos · Aquapor só para quem NÃO joga DT (2 primeiros do ano) · Greatgolf Main R1 não conta · TOP 14 voltas/ano</t>
  </si>
  <si>
    <t>Geral</t>
  </si>
  <si>
    <t>Sub-14</t>
  </si>
  <si>
    <t>Sub-16</t>
  </si>
  <si>
    <t>Pos</t>
  </si>
  <si>
    <t>Nome</t>
  </si>
  <si>
    <t>Vlt</t>
  </si>
  <si>
    <t>Total</t>
  </si>
  <si>
    <t>Nuno Palmares</t>
  </si>
  <si>
    <t>Pedro Costa Alemão</t>
  </si>
  <si>
    <t>Ricardo Castro Ferreira</t>
  </si>
  <si>
    <t>João Rocha</t>
  </si>
  <si>
    <t>Rodrigo Correia</t>
  </si>
  <si>
    <t>Santiago Dias</t>
  </si>
  <si>
    <t>Angelina Gao</t>
  </si>
  <si>
    <t>William Gao</t>
  </si>
  <si>
    <t>Madalena Figueiredo</t>
  </si>
  <si>
    <t>Salvador Ivo de Carvalho</t>
  </si>
  <si>
    <t>Diogo Sequeira</t>
  </si>
  <si>
    <t>David Filip</t>
  </si>
  <si>
    <t>Rafael Benesi</t>
  </si>
  <si>
    <t>Rodrigo Constantino</t>
  </si>
  <si>
    <t>Tomás Lima Pinto</t>
  </si>
  <si>
    <t>Ryan Dantas</t>
  </si>
  <si>
    <t>Francisco Carvalho</t>
  </si>
  <si>
    <t>Clara Trindade</t>
  </si>
  <si>
    <t>Manuel Medeiros</t>
  </si>
  <si>
    <t>João Maria Ivo de Carvalho</t>
  </si>
  <si>
    <t>Ziyang Guo</t>
  </si>
  <si>
    <t>Sabrina Crisóstomo</t>
  </si>
  <si>
    <t>Rafaela Pinto</t>
  </si>
  <si>
    <t>Emile Cuanalo</t>
  </si>
  <si>
    <t>Martim Morais</t>
  </si>
  <si>
    <t>Sub-12</t>
  </si>
  <si>
    <t>Sub-18+</t>
  </si>
  <si>
    <t>Jogadores PJA 2026</t>
  </si>
  <si>
    <t>#</t>
  </si>
  <si>
    <t>Fed</t>
  </si>
  <si>
    <t>Data de Nasc.</t>
  </si>
  <si>
    <t>Escalão</t>
  </si>
  <si>
    <t>45278</t>
  </si>
  <si>
    <t>03/05/2006</t>
  </si>
  <si>
    <t>Sub-21+</t>
  </si>
  <si>
    <t>42908</t>
  </si>
  <si>
    <t>28/05/2012</t>
  </si>
  <si>
    <t>44934</t>
  </si>
  <si>
    <t>24/08/2011</t>
  </si>
  <si>
    <t>49085</t>
  </si>
  <si>
    <t>01/07/2015</t>
  </si>
  <si>
    <t>49124</t>
  </si>
  <si>
    <t>27/04/2012</t>
  </si>
  <si>
    <t>48297</t>
  </si>
  <si>
    <t>01/09/2012</t>
  </si>
  <si>
    <t>46706</t>
  </si>
  <si>
    <t>15/01/2011</t>
  </si>
  <si>
    <t>56654</t>
  </si>
  <si>
    <t>19/03/2011</t>
  </si>
  <si>
    <t>52884</t>
  </si>
  <si>
    <t>28/04/2014</t>
  </si>
  <si>
    <t>51523</t>
  </si>
  <si>
    <t>08/06/2011</t>
  </si>
  <si>
    <t>51524</t>
  </si>
  <si>
    <t>14/11/2012</t>
  </si>
  <si>
    <t>52011</t>
  </si>
  <si>
    <t>14/01/2010</t>
  </si>
  <si>
    <t>53381</t>
  </si>
  <si>
    <t>02/12/2015</t>
  </si>
  <si>
    <t>48971</t>
  </si>
  <si>
    <t>27/02/2014</t>
  </si>
  <si>
    <t>45812</t>
  </si>
  <si>
    <t>30/03/2011</t>
  </si>
  <si>
    <t>54774</t>
  </si>
  <si>
    <t>27/02/2011</t>
  </si>
  <si>
    <t>46037</t>
  </si>
  <si>
    <t>17/04/2012</t>
  </si>
  <si>
    <t>45439</t>
  </si>
  <si>
    <t>25/12/2011</t>
  </si>
  <si>
    <t>57904</t>
  </si>
  <si>
    <t>27/03/2014</t>
  </si>
  <si>
    <t>43968</t>
  </si>
  <si>
    <t>23/01/2012</t>
  </si>
  <si>
    <t>51949</t>
  </si>
  <si>
    <t>02/03/2013</t>
  </si>
  <si>
    <t>52856</t>
  </si>
  <si>
    <t>20/03/2013</t>
  </si>
  <si>
    <t>38334</t>
  </si>
  <si>
    <t>19/10/2008</t>
  </si>
  <si>
    <t>Sub-18</t>
  </si>
  <si>
    <t>—</t>
  </si>
  <si>
    <t>?</t>
  </si>
  <si>
    <t>40390</t>
  </si>
  <si>
    <t>29/03/2007</t>
  </si>
  <si>
    <t>DT Tejo — Montado</t>
  </si>
  <si>
    <t>Par</t>
  </si>
  <si>
    <t>DT Norte — Estela</t>
  </si>
  <si>
    <t>DT Sul — Laguna</t>
  </si>
  <si>
    <t>DT Madeira — Palheiro #1</t>
  </si>
  <si>
    <t>Name</t>
  </si>
  <si>
    <t>Strokes</t>
  </si>
  <si>
    <t>To par</t>
  </si>
  <si>
    <t>Points</t>
  </si>
  <si>
    <t>DT Sul — Vila Sol #2</t>
  </si>
  <si>
    <t>DT Madeira — Sto Serra #2</t>
  </si>
  <si>
    <t>DT Norte — Vale Pisão #3</t>
  </si>
  <si>
    <t>DT Madeira — Palheiro #3</t>
  </si>
  <si>
    <t>DT Tejo — Sto Estêvão #3</t>
  </si>
  <si>
    <t>DT Madeira — Porto Santo #4</t>
  </si>
  <si>
    <t>DT Tejo — Lisbon #4</t>
  </si>
  <si>
    <t>DT Sul — Quinta do Vale #4</t>
  </si>
  <si>
    <t>1º Aquapor — Morgado (R1)</t>
  </si>
  <si>
    <t>2º Aquapor — Qtª do Peru (R1)</t>
  </si>
  <si>
    <t>3º Aquapor — Vidago Palace (R1)</t>
  </si>
  <si>
    <t>1º Aquapor — Morgado (R2)</t>
  </si>
  <si>
    <t>2º Aquapor — Qtª do Peru (R2)</t>
  </si>
  <si>
    <t>3º Aquapor — Vidago Palace (R2)</t>
  </si>
  <si>
    <t>PJA Aroeira Masters 2026 (R1)</t>
  </si>
  <si>
    <t>PJA Aroeira Masters 2026 (R2)</t>
  </si>
  <si>
    <t>ℹ Greatgolf Main R1 NÃO conta para PJA (regra 2026: só R2+R3 da Main)</t>
  </si>
  <si>
    <t>Greatgolf Main R2 (conta)</t>
  </si>
  <si>
    <t>Greatgolf Main R3 (conta)</t>
  </si>
  <si>
    <t>Greatgolf U14 R1</t>
  </si>
  <si>
    <t>Greatgolf U14 R2</t>
  </si>
  <si>
    <t>Greatgolf U12 R1</t>
  </si>
  <si>
    <t>Greatgolf U12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</si>
</sst>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name val="Calibri"/>
    </font>
    <font>
      <b/>
      <u/>
      <sz val="11"/>
      <color rgb="FF0563C1"/>
      <name val="Calibri"/>
    </font>
    <font>
      <b/>
      <sz val="10"/>
      <name val="Calibri"/>
    </font>
    <font>
      <i/>
      <sz val="10"/>
      <color rgb="FF999999"/>
      <name val="Calibri"/>
    </font>
    <font>
      <i/>
      <sz val="9"/>
      <color rgb="FF555555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455A64"/>
      </patternFill>
    </fill>
    <fill>
      <patternFill patternType="solid">
        <fgColor rgb="FFF5F5F5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coring.fpg.pt/lists/linkpage.aspx?page=classif&amp;club=982&amp;tourn=10200&amp;ack=8428ACK987" TargetMode="External"/><Relationship Id="rId3" Type="http://schemas.openxmlformats.org/officeDocument/2006/relationships/hyperlink" Target="https://scoring.fpg.pt/lists/linkpage.aspx?page=classif&amp;club=988&amp;tourn=10292&amp;ack=8428ACK987" TargetMode="External"/><Relationship Id="rId7" Type="http://schemas.openxmlformats.org/officeDocument/2006/relationships/hyperlink" Target="https://scoring.fpg.pt/lists/linkpage.aspx?page=classif&amp;club=987&amp;tourn=10208&amp;ack=8428ACK987" TargetMode="External"/><Relationship Id="rId12" Type="http://schemas.openxmlformats.org/officeDocument/2006/relationships/hyperlink" Target="https://scoring.fpg.pt/lists/linkpage.aspx?page=classif&amp;club=988&amp;tourn=10308&amp;ack=8428ACK987" TargetMode="External"/><Relationship Id="rId2" Type="http://schemas.openxmlformats.org/officeDocument/2006/relationships/hyperlink" Target="https://scoring.fpg.pt/lists/linkpage.aspx?page=classif&amp;club=987&amp;tourn=10206&amp;ack=8428ACK987" TargetMode="External"/><Relationship Id="rId1" Type="http://schemas.openxmlformats.org/officeDocument/2006/relationships/hyperlink" Target="https://scoring.fpg.pt/lists/linkpage.aspx?page=classif&amp;club=985&amp;tourn=10202&amp;ack=8428ACK987" TargetMode="External"/><Relationship Id="rId6" Type="http://schemas.openxmlformats.org/officeDocument/2006/relationships/hyperlink" Target="https://scoring.fpg.pt/lists/linkpage.aspx?page=classif&amp;club=982&amp;tourn=10199&amp;ack=8428ACK987" TargetMode="External"/><Relationship Id="rId11" Type="http://schemas.openxmlformats.org/officeDocument/2006/relationships/hyperlink" Target="https://scoring.fpg.pt/lists/linkpage.aspx?page=classif&amp;club=985&amp;tourn=10205&amp;ack=8428ACK987" TargetMode="External"/><Relationship Id="rId5" Type="http://schemas.openxmlformats.org/officeDocument/2006/relationships/hyperlink" Target="https://scoring.fpg.pt/lists/linkpage.aspx?page=classif&amp;club=988&amp;tourn=10293&amp;ack=8428ACK987" TargetMode="External"/><Relationship Id="rId10" Type="http://schemas.openxmlformats.org/officeDocument/2006/relationships/hyperlink" Target="https://scoring.fpg.pt/lists/linkpage.aspx?page=classif&amp;club=982&amp;tourn=10201&amp;ack=8428ACK987" TargetMode="External"/><Relationship Id="rId4" Type="http://schemas.openxmlformats.org/officeDocument/2006/relationships/hyperlink" Target="https://scoring.fpg.pt/lists/linkpage.aspx?page=classif&amp;club=982&amp;tourn=10198&amp;ack=8428ACK987" TargetMode="External"/><Relationship Id="rId9" Type="http://schemas.openxmlformats.org/officeDocument/2006/relationships/hyperlink" Target="https://scoring.fpg.pt/lists/linkpage.aspx?page=classif&amp;club=985&amp;tourn=10204&amp;ack=8428ACK98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coring.fpg.pt/lists/linkpage.aspx?page=classif&amp;club=000&amp;tourn=10877&amp;ack=8428ACK987" TargetMode="External"/><Relationship Id="rId2" Type="http://schemas.openxmlformats.org/officeDocument/2006/relationships/hyperlink" Target="https://scoring.fpg.pt/lists/linkpage.aspx?page=classif&amp;club=000&amp;tourn=10875&amp;ack=8428ACK987" TargetMode="External"/><Relationship Id="rId1" Type="http://schemas.openxmlformats.org/officeDocument/2006/relationships/hyperlink" Target="https://scoring.fpg.pt/lists/linkpage.aspx?page=classif&amp;club=000&amp;tourn=10873&amp;ack=8428ACK987" TargetMode="External"/><Relationship Id="rId6" Type="http://schemas.openxmlformats.org/officeDocument/2006/relationships/hyperlink" Target="https://scoring.fpg.pt/lists/linkpage.aspx?page=classif&amp;club=000&amp;tourn=10877&amp;ack=8428ACK987" TargetMode="External"/><Relationship Id="rId5" Type="http://schemas.openxmlformats.org/officeDocument/2006/relationships/hyperlink" Target="https://scoring.fpg.pt/lists/linkpage.aspx?page=classif&amp;club=000&amp;tourn=10875&amp;ack=8428ACK987" TargetMode="External"/><Relationship Id="rId4" Type="http://schemas.openxmlformats.org/officeDocument/2006/relationships/hyperlink" Target="https://scoring.fpg.pt/lists/linkpage.aspx?page=classif&amp;club=000&amp;tourn=10873&amp;ack=8428ACK987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coring.fpg.pt/lists/linkpage.aspx?page=classif&amp;club=029&amp;tourn=10543&amp;ack=8428ACK987" TargetMode="External"/><Relationship Id="rId1" Type="http://schemas.openxmlformats.org/officeDocument/2006/relationships/hyperlink" Target="https://scoring.fpg.pt/lists/linkpage.aspx?page=classif&amp;club=029&amp;tourn=10543&amp;ack=8428ACK987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coring.fpg.pt/lists/linkpage.aspx?page=classif&amp;club=935&amp;tourn=10295&amp;ack=8428ACK987" TargetMode="External"/><Relationship Id="rId2" Type="http://schemas.openxmlformats.org/officeDocument/2006/relationships/hyperlink" Target="https://scoring.fpg.pt/lists/linkpage.aspx?page=classif&amp;club=935&amp;tourn=10294&amp;ack=8428ACK987" TargetMode="External"/><Relationship Id="rId1" Type="http://schemas.openxmlformats.org/officeDocument/2006/relationships/hyperlink" Target="https://scoring.fpg.pt/lists/linkpage.aspx?page=classif&amp;club=935&amp;tourn=10294&amp;ack=8428ACK987" TargetMode="External"/><Relationship Id="rId6" Type="http://schemas.openxmlformats.org/officeDocument/2006/relationships/hyperlink" Target="https://scoring.fpg.pt/lists/linkpage.aspx?page=classif&amp;club=935&amp;tourn=10296&amp;ack=8428ACK987" TargetMode="External"/><Relationship Id="rId5" Type="http://schemas.openxmlformats.org/officeDocument/2006/relationships/hyperlink" Target="https://scoring.fpg.pt/lists/linkpage.aspx?page=classif&amp;club=935&amp;tourn=10296&amp;ack=8428ACK987" TargetMode="External"/><Relationship Id="rId4" Type="http://schemas.openxmlformats.org/officeDocument/2006/relationships/hyperlink" Target="https://scoring.fpg.pt/lists/linkpage.aspx?page=classif&amp;club=935&amp;tourn=10295&amp;ack=8428ACK9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9"/>
  <sheetViews>
    <sheetView tabSelected="1" workbookViewId="0">
      <selection activeCell="H11" sqref="H11"/>
    </sheetView>
  </sheetViews>
  <sheetFormatPr defaultRowHeight="14.4" x14ac:dyDescent="0.3"/>
  <cols>
    <col min="1" max="1" width="2" customWidth="1"/>
    <col min="2" max="2" width="5" customWidth="1"/>
    <col min="3" max="3" width="32" customWidth="1"/>
    <col min="4" max="4" width="10" customWidth="1"/>
    <col min="5" max="5" width="14" customWidth="1"/>
    <col min="6" max="6" width="12" customWidth="1"/>
  </cols>
  <sheetData>
    <row r="2" spans="2:6" ht="24" customHeight="1" x14ac:dyDescent="0.3">
      <c r="B2" s="15" t="s">
        <v>36</v>
      </c>
      <c r="C2" s="12"/>
      <c r="D2" s="12"/>
      <c r="E2" s="12"/>
      <c r="F2" s="12"/>
    </row>
    <row r="4" spans="2:6" x14ac:dyDescent="0.3">
      <c r="B4" s="1" t="s">
        <v>37</v>
      </c>
      <c r="C4" s="1" t="s">
        <v>6</v>
      </c>
      <c r="D4" s="1" t="s">
        <v>38</v>
      </c>
      <c r="E4" s="1" t="s">
        <v>39</v>
      </c>
      <c r="F4" s="1" t="s">
        <v>40</v>
      </c>
    </row>
    <row r="5" spans="2:6" x14ac:dyDescent="0.3">
      <c r="B5" s="2">
        <v>1</v>
      </c>
      <c r="C5" s="3" t="s">
        <v>22</v>
      </c>
      <c r="D5" s="2" t="s">
        <v>41</v>
      </c>
      <c r="E5" s="2" t="s">
        <v>42</v>
      </c>
      <c r="F5" s="2" t="s">
        <v>43</v>
      </c>
    </row>
    <row r="6" spans="2:6" x14ac:dyDescent="0.3">
      <c r="B6" s="5">
        <v>2</v>
      </c>
      <c r="C6" s="6" t="s">
        <v>14</v>
      </c>
      <c r="D6" s="5" t="s">
        <v>44</v>
      </c>
      <c r="E6" s="5" t="s">
        <v>45</v>
      </c>
      <c r="F6" s="5" t="s">
        <v>3</v>
      </c>
    </row>
    <row r="7" spans="2:6" x14ac:dyDescent="0.3">
      <c r="B7" s="2">
        <v>3</v>
      </c>
      <c r="C7" s="3" t="s">
        <v>13</v>
      </c>
      <c r="D7" s="2" t="s">
        <v>46</v>
      </c>
      <c r="E7" s="2" t="s">
        <v>47</v>
      </c>
      <c r="F7" s="2" t="s">
        <v>4</v>
      </c>
    </row>
    <row r="8" spans="2:6" x14ac:dyDescent="0.3">
      <c r="B8" s="5">
        <v>4</v>
      </c>
      <c r="C8" s="6" t="s">
        <v>11</v>
      </c>
      <c r="D8" s="5" t="s">
        <v>48</v>
      </c>
      <c r="E8" s="5" t="s">
        <v>49</v>
      </c>
      <c r="F8" s="5" t="s">
        <v>34</v>
      </c>
    </row>
    <row r="9" spans="2:6" x14ac:dyDescent="0.3">
      <c r="B9" s="2">
        <v>5</v>
      </c>
      <c r="C9" s="3" t="s">
        <v>9</v>
      </c>
      <c r="D9" s="2" t="s">
        <v>50</v>
      </c>
      <c r="E9" s="2" t="s">
        <v>51</v>
      </c>
      <c r="F9" s="2" t="s">
        <v>3</v>
      </c>
    </row>
    <row r="10" spans="2:6" x14ac:dyDescent="0.3">
      <c r="B10" s="5">
        <v>6</v>
      </c>
      <c r="C10" s="6" t="s">
        <v>12</v>
      </c>
      <c r="D10" s="5" t="s">
        <v>52</v>
      </c>
      <c r="E10" s="5" t="s">
        <v>53</v>
      </c>
      <c r="F10" s="5" t="s">
        <v>3</v>
      </c>
    </row>
    <row r="11" spans="2:6" x14ac:dyDescent="0.3">
      <c r="B11" s="2">
        <v>7</v>
      </c>
      <c r="C11" s="3" t="s">
        <v>10</v>
      </c>
      <c r="D11" s="2" t="s">
        <v>54</v>
      </c>
      <c r="E11" s="2" t="s">
        <v>55</v>
      </c>
      <c r="F11" s="2" t="s">
        <v>4</v>
      </c>
    </row>
    <row r="12" spans="2:6" x14ac:dyDescent="0.3">
      <c r="B12" s="5">
        <v>8</v>
      </c>
      <c r="C12" s="6" t="s">
        <v>19</v>
      </c>
      <c r="D12" s="5" t="s">
        <v>56</v>
      </c>
      <c r="E12" s="5" t="s">
        <v>57</v>
      </c>
      <c r="F12" s="5" t="s">
        <v>4</v>
      </c>
    </row>
    <row r="13" spans="2:6" x14ac:dyDescent="0.3">
      <c r="B13" s="2">
        <v>9</v>
      </c>
      <c r="C13" s="3" t="s">
        <v>27</v>
      </c>
      <c r="D13" s="2" t="s">
        <v>58</v>
      </c>
      <c r="E13" s="2" t="s">
        <v>59</v>
      </c>
      <c r="F13" s="2" t="s">
        <v>34</v>
      </c>
    </row>
    <row r="14" spans="2:6" x14ac:dyDescent="0.3">
      <c r="B14" s="5">
        <v>10</v>
      </c>
      <c r="C14" s="6" t="s">
        <v>15</v>
      </c>
      <c r="D14" s="5" t="s">
        <v>60</v>
      </c>
      <c r="E14" s="5" t="s">
        <v>61</v>
      </c>
      <c r="F14" s="5" t="s">
        <v>4</v>
      </c>
    </row>
    <row r="15" spans="2:6" x14ac:dyDescent="0.3">
      <c r="B15" s="2">
        <v>11</v>
      </c>
      <c r="C15" s="3" t="s">
        <v>16</v>
      </c>
      <c r="D15" s="2" t="s">
        <v>62</v>
      </c>
      <c r="E15" s="2" t="s">
        <v>63</v>
      </c>
      <c r="F15" s="2" t="s">
        <v>3</v>
      </c>
    </row>
    <row r="16" spans="2:6" x14ac:dyDescent="0.3">
      <c r="B16" s="5">
        <v>12</v>
      </c>
      <c r="C16" s="6" t="s">
        <v>17</v>
      </c>
      <c r="D16" s="5" t="s">
        <v>64</v>
      </c>
      <c r="E16" s="5" t="s">
        <v>65</v>
      </c>
      <c r="F16" s="5" t="s">
        <v>4</v>
      </c>
    </row>
    <row r="17" spans="2:6" x14ac:dyDescent="0.3">
      <c r="B17" s="2">
        <v>13</v>
      </c>
      <c r="C17" s="3" t="s">
        <v>33</v>
      </c>
      <c r="D17" s="2" t="s">
        <v>66</v>
      </c>
      <c r="E17" s="2" t="s">
        <v>67</v>
      </c>
      <c r="F17" s="2" t="s">
        <v>34</v>
      </c>
    </row>
    <row r="18" spans="2:6" x14ac:dyDescent="0.3">
      <c r="B18" s="5">
        <v>14</v>
      </c>
      <c r="C18" s="6" t="s">
        <v>30</v>
      </c>
      <c r="D18" s="5" t="s">
        <v>68</v>
      </c>
      <c r="E18" s="5" t="s">
        <v>69</v>
      </c>
      <c r="F18" s="5" t="s">
        <v>34</v>
      </c>
    </row>
    <row r="19" spans="2:6" x14ac:dyDescent="0.3">
      <c r="B19" s="2">
        <v>15</v>
      </c>
      <c r="C19" s="3" t="s">
        <v>26</v>
      </c>
      <c r="D19" s="2" t="s">
        <v>70</v>
      </c>
      <c r="E19" s="2" t="s">
        <v>71</v>
      </c>
      <c r="F19" s="2" t="s">
        <v>4</v>
      </c>
    </row>
    <row r="20" spans="2:6" x14ac:dyDescent="0.3">
      <c r="B20" s="5">
        <v>16</v>
      </c>
      <c r="C20" s="6" t="s">
        <v>21</v>
      </c>
      <c r="D20" s="5" t="s">
        <v>72</v>
      </c>
      <c r="E20" s="5" t="s">
        <v>73</v>
      </c>
      <c r="F20" s="5" t="s">
        <v>4</v>
      </c>
    </row>
    <row r="21" spans="2:6" x14ac:dyDescent="0.3">
      <c r="B21" s="2">
        <v>17</v>
      </c>
      <c r="C21" s="3" t="s">
        <v>23</v>
      </c>
      <c r="D21" s="2" t="s">
        <v>74</v>
      </c>
      <c r="E21" s="2" t="s">
        <v>75</v>
      </c>
      <c r="F21" s="2" t="s">
        <v>3</v>
      </c>
    </row>
    <row r="22" spans="2:6" x14ac:dyDescent="0.3">
      <c r="B22" s="5">
        <v>18</v>
      </c>
      <c r="C22" s="6" t="s">
        <v>24</v>
      </c>
      <c r="D22" s="5" t="s">
        <v>76</v>
      </c>
      <c r="E22" s="5" t="s">
        <v>77</v>
      </c>
      <c r="F22" s="5" t="s">
        <v>4</v>
      </c>
    </row>
    <row r="23" spans="2:6" x14ac:dyDescent="0.3">
      <c r="B23" s="2">
        <v>19</v>
      </c>
      <c r="C23" s="3" t="s">
        <v>29</v>
      </c>
      <c r="D23" s="2" t="s">
        <v>78</v>
      </c>
      <c r="E23" s="2" t="s">
        <v>79</v>
      </c>
      <c r="F23" s="2" t="s">
        <v>34</v>
      </c>
    </row>
    <row r="24" spans="2:6" x14ac:dyDescent="0.3">
      <c r="B24" s="5">
        <v>20</v>
      </c>
      <c r="C24" s="6" t="s">
        <v>18</v>
      </c>
      <c r="D24" s="5" t="s">
        <v>80</v>
      </c>
      <c r="E24" s="5" t="s">
        <v>81</v>
      </c>
      <c r="F24" s="5" t="s">
        <v>3</v>
      </c>
    </row>
    <row r="25" spans="2:6" x14ac:dyDescent="0.3">
      <c r="B25" s="2">
        <v>21</v>
      </c>
      <c r="C25" s="3" t="s">
        <v>20</v>
      </c>
      <c r="D25" s="2" t="s">
        <v>82</v>
      </c>
      <c r="E25" s="2" t="s">
        <v>83</v>
      </c>
      <c r="F25" s="2" t="s">
        <v>3</v>
      </c>
    </row>
    <row r="26" spans="2:6" x14ac:dyDescent="0.3">
      <c r="B26" s="5">
        <v>22</v>
      </c>
      <c r="C26" s="6" t="s">
        <v>25</v>
      </c>
      <c r="D26" s="5" t="s">
        <v>84</v>
      </c>
      <c r="E26" s="5" t="s">
        <v>85</v>
      </c>
      <c r="F26" s="5" t="s">
        <v>3</v>
      </c>
    </row>
    <row r="27" spans="2:6" x14ac:dyDescent="0.3">
      <c r="B27" s="2">
        <v>23</v>
      </c>
      <c r="C27" s="3" t="s">
        <v>28</v>
      </c>
      <c r="D27" s="2" t="s">
        <v>86</v>
      </c>
      <c r="E27" s="2" t="s">
        <v>87</v>
      </c>
      <c r="F27" s="2" t="s">
        <v>88</v>
      </c>
    </row>
    <row r="28" spans="2:6" x14ac:dyDescent="0.3">
      <c r="B28" s="5">
        <v>24</v>
      </c>
      <c r="C28" s="6" t="s">
        <v>32</v>
      </c>
      <c r="D28" s="5" t="s">
        <v>89</v>
      </c>
      <c r="E28" s="5" t="s">
        <v>89</v>
      </c>
      <c r="F28" s="5" t="s">
        <v>90</v>
      </c>
    </row>
    <row r="29" spans="2:6" x14ac:dyDescent="0.3">
      <c r="B29" s="2">
        <v>25</v>
      </c>
      <c r="C29" s="3" t="s">
        <v>31</v>
      </c>
      <c r="D29" s="2" t="s">
        <v>91</v>
      </c>
      <c r="E29" s="2" t="s">
        <v>92</v>
      </c>
      <c r="F29" s="2" t="s">
        <v>43</v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0"/>
  <sheetViews>
    <sheetView topLeftCell="A9" workbookViewId="0">
      <selection activeCell="O7" sqref="O7"/>
    </sheetView>
  </sheetViews>
  <sheetFormatPr defaultRowHeight="14.4" x14ac:dyDescent="0.3"/>
  <cols>
    <col min="1" max="1" width="2" customWidth="1"/>
    <col min="2" max="2" width="6" customWidth="1"/>
    <col min="3" max="3" width="28" customWidth="1"/>
    <col min="4" max="4" width="8" customWidth="1"/>
    <col min="5" max="5" width="9" customWidth="1"/>
    <col min="6" max="6" width="2" customWidth="1"/>
    <col min="7" max="7" width="6" customWidth="1"/>
    <col min="8" max="8" width="28" customWidth="1"/>
    <col min="9" max="9" width="8" customWidth="1"/>
    <col min="10" max="10" width="9" customWidth="1"/>
    <col min="11" max="11" width="2" customWidth="1"/>
    <col min="12" max="12" width="6" customWidth="1"/>
    <col min="13" max="13" width="28" customWidth="1"/>
    <col min="14" max="14" width="8" customWidth="1"/>
    <col min="15" max="15" width="9" customWidth="1"/>
  </cols>
  <sheetData>
    <row r="1" spans="2:15" ht="28.05" customHeight="1" x14ac:dyDescent="0.3">
      <c r="B1" s="13" t="s">
        <v>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2:15" x14ac:dyDescent="0.3">
      <c r="B2" s="14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2:15" x14ac:dyDescent="0.3">
      <c r="B4" s="11" t="s">
        <v>2</v>
      </c>
      <c r="C4" s="12"/>
      <c r="D4" s="12"/>
      <c r="E4" s="12"/>
      <c r="G4" s="11" t="s">
        <v>3</v>
      </c>
      <c r="H4" s="12"/>
      <c r="I4" s="12"/>
      <c r="J4" s="12"/>
      <c r="L4" s="11" t="s">
        <v>4</v>
      </c>
      <c r="M4" s="12"/>
      <c r="N4" s="12"/>
      <c r="O4" s="12"/>
    </row>
    <row r="5" spans="2:15" x14ac:dyDescent="0.3">
      <c r="B5" s="1" t="s">
        <v>5</v>
      </c>
      <c r="C5" s="1" t="s">
        <v>6</v>
      </c>
      <c r="D5" s="1" t="s">
        <v>7</v>
      </c>
      <c r="E5" s="1" t="s">
        <v>8</v>
      </c>
      <c r="G5" s="1" t="s">
        <v>5</v>
      </c>
      <c r="H5" s="1" t="s">
        <v>6</v>
      </c>
      <c r="I5" s="1" t="s">
        <v>7</v>
      </c>
      <c r="J5" s="1" t="s">
        <v>8</v>
      </c>
      <c r="L5" s="1" t="s">
        <v>5</v>
      </c>
      <c r="M5" s="1" t="s">
        <v>6</v>
      </c>
      <c r="N5" s="1" t="s">
        <v>7</v>
      </c>
      <c r="O5" s="1" t="s">
        <v>8</v>
      </c>
    </row>
    <row r="6" spans="2:15" x14ac:dyDescent="0.3">
      <c r="B6" s="2">
        <f t="shared" ref="B6:B30" si="0">IF(E6="","",RANK(E6,$E$6:$E$30,0))</f>
        <v>1</v>
      </c>
      <c r="C6" s="3" t="s">
        <v>9</v>
      </c>
      <c r="D6" s="2">
        <v>8</v>
      </c>
      <c r="E6" s="4">
        <v>170</v>
      </c>
      <c r="G6" s="2">
        <f t="shared" ref="G6:G13" si="1">IF(J6="","",RANK(J6,$J$6:$J$13,0))</f>
        <v>1</v>
      </c>
      <c r="H6" s="3" t="s">
        <v>9</v>
      </c>
      <c r="I6" s="2">
        <v>8</v>
      </c>
      <c r="J6" s="4">
        <v>170</v>
      </c>
      <c r="L6" s="2">
        <f t="shared" ref="L6:L13" si="2">IF(O6="","",RANK(O6,$O$6:$O$13,0))</f>
        <v>1</v>
      </c>
      <c r="M6" s="3" t="s">
        <v>10</v>
      </c>
      <c r="N6" s="2">
        <v>8</v>
      </c>
      <c r="O6" s="4">
        <v>149</v>
      </c>
    </row>
    <row r="7" spans="2:15" x14ac:dyDescent="0.3">
      <c r="B7" s="5">
        <f t="shared" si="0"/>
        <v>2</v>
      </c>
      <c r="C7" s="6" t="s">
        <v>11</v>
      </c>
      <c r="D7" s="5">
        <v>8</v>
      </c>
      <c r="E7" s="7">
        <v>152</v>
      </c>
      <c r="G7" s="5">
        <f t="shared" si="1"/>
        <v>2</v>
      </c>
      <c r="H7" s="6" t="s">
        <v>12</v>
      </c>
      <c r="I7" s="5">
        <v>7</v>
      </c>
      <c r="J7" s="7">
        <v>122</v>
      </c>
      <c r="L7" s="5">
        <f t="shared" si="2"/>
        <v>2</v>
      </c>
      <c r="M7" s="6" t="s">
        <v>13</v>
      </c>
      <c r="N7" s="5">
        <v>6</v>
      </c>
      <c r="O7" s="7">
        <v>116</v>
      </c>
    </row>
    <row r="8" spans="2:15" x14ac:dyDescent="0.3">
      <c r="B8" s="2">
        <f t="shared" si="0"/>
        <v>3</v>
      </c>
      <c r="C8" s="3" t="s">
        <v>10</v>
      </c>
      <c r="D8" s="2">
        <v>8</v>
      </c>
      <c r="E8" s="4">
        <v>149</v>
      </c>
      <c r="G8" s="2">
        <f t="shared" si="1"/>
        <v>3</v>
      </c>
      <c r="H8" s="3" t="s">
        <v>14</v>
      </c>
      <c r="I8" s="2">
        <v>5</v>
      </c>
      <c r="J8" s="4">
        <v>107</v>
      </c>
      <c r="L8" s="2">
        <f t="shared" si="2"/>
        <v>3</v>
      </c>
      <c r="M8" s="3" t="s">
        <v>15</v>
      </c>
      <c r="N8" s="2">
        <v>8</v>
      </c>
      <c r="O8" s="4">
        <v>103</v>
      </c>
    </row>
    <row r="9" spans="2:15" x14ac:dyDescent="0.3">
      <c r="B9" s="5">
        <f t="shared" si="0"/>
        <v>4</v>
      </c>
      <c r="C9" s="6" t="s">
        <v>12</v>
      </c>
      <c r="D9" s="5">
        <v>7</v>
      </c>
      <c r="E9" s="7">
        <v>122</v>
      </c>
      <c r="G9" s="5">
        <f t="shared" si="1"/>
        <v>4</v>
      </c>
      <c r="H9" s="6" t="s">
        <v>16</v>
      </c>
      <c r="I9" s="5">
        <v>8</v>
      </c>
      <c r="J9" s="7">
        <v>105</v>
      </c>
      <c r="L9" s="5">
        <f t="shared" si="2"/>
        <v>4</v>
      </c>
      <c r="M9" s="6" t="s">
        <v>17</v>
      </c>
      <c r="N9" s="5">
        <v>8</v>
      </c>
      <c r="O9" s="7">
        <v>76</v>
      </c>
    </row>
    <row r="10" spans="2:15" x14ac:dyDescent="0.3">
      <c r="B10" s="2">
        <f t="shared" si="0"/>
        <v>5</v>
      </c>
      <c r="C10" s="3" t="s">
        <v>13</v>
      </c>
      <c r="D10" s="2">
        <v>6</v>
      </c>
      <c r="E10" s="4">
        <v>116</v>
      </c>
      <c r="G10" s="2">
        <f t="shared" si="1"/>
        <v>5</v>
      </c>
      <c r="H10" s="3" t="s">
        <v>18</v>
      </c>
      <c r="I10" s="2">
        <v>7</v>
      </c>
      <c r="J10" s="4">
        <v>98</v>
      </c>
      <c r="L10" s="2">
        <f t="shared" si="2"/>
        <v>5</v>
      </c>
      <c r="M10" s="3" t="s">
        <v>19</v>
      </c>
      <c r="N10" s="2">
        <v>4</v>
      </c>
      <c r="O10" s="4">
        <v>49</v>
      </c>
    </row>
    <row r="11" spans="2:15" x14ac:dyDescent="0.3">
      <c r="B11" s="5">
        <f t="shared" si="0"/>
        <v>6</v>
      </c>
      <c r="C11" s="6" t="s">
        <v>14</v>
      </c>
      <c r="D11" s="5">
        <v>5</v>
      </c>
      <c r="E11" s="7">
        <v>107</v>
      </c>
      <c r="G11" s="5">
        <f t="shared" si="1"/>
        <v>6</v>
      </c>
      <c r="H11" s="6" t="s">
        <v>20</v>
      </c>
      <c r="I11" s="5">
        <v>5</v>
      </c>
      <c r="J11" s="7">
        <v>61</v>
      </c>
      <c r="L11" s="5">
        <f t="shared" si="2"/>
        <v>6</v>
      </c>
      <c r="M11" s="6" t="s">
        <v>21</v>
      </c>
      <c r="N11" s="5">
        <v>4</v>
      </c>
      <c r="O11" s="7">
        <v>47</v>
      </c>
    </row>
    <row r="12" spans="2:15" x14ac:dyDescent="0.3">
      <c r="B12" s="2">
        <f t="shared" si="0"/>
        <v>7</v>
      </c>
      <c r="C12" s="3" t="s">
        <v>22</v>
      </c>
      <c r="D12" s="2">
        <v>6</v>
      </c>
      <c r="E12" s="4">
        <v>105</v>
      </c>
      <c r="G12" s="2">
        <f t="shared" si="1"/>
        <v>7</v>
      </c>
      <c r="H12" s="3" t="s">
        <v>23</v>
      </c>
      <c r="I12" s="2">
        <v>5</v>
      </c>
      <c r="J12" s="4">
        <v>46</v>
      </c>
      <c r="L12" s="2">
        <f t="shared" si="2"/>
        <v>7</v>
      </c>
      <c r="M12" s="3" t="s">
        <v>24</v>
      </c>
      <c r="N12" s="2">
        <v>5</v>
      </c>
      <c r="O12" s="4">
        <v>35</v>
      </c>
    </row>
    <row r="13" spans="2:15" x14ac:dyDescent="0.3">
      <c r="B13" s="5">
        <f t="shared" si="0"/>
        <v>7</v>
      </c>
      <c r="C13" s="6" t="s">
        <v>16</v>
      </c>
      <c r="D13" s="5">
        <v>8</v>
      </c>
      <c r="E13" s="7">
        <v>105</v>
      </c>
      <c r="G13" s="5">
        <f t="shared" si="1"/>
        <v>8</v>
      </c>
      <c r="H13" s="6" t="s">
        <v>25</v>
      </c>
      <c r="I13" s="5">
        <v>2</v>
      </c>
      <c r="J13" s="7">
        <v>14</v>
      </c>
      <c r="L13" s="5">
        <f t="shared" si="2"/>
        <v>8</v>
      </c>
      <c r="M13" s="6" t="s">
        <v>26</v>
      </c>
      <c r="N13" s="5">
        <v>4</v>
      </c>
      <c r="O13" s="7">
        <v>32</v>
      </c>
    </row>
    <row r="14" spans="2:15" x14ac:dyDescent="0.3">
      <c r="B14" s="2">
        <f t="shared" si="0"/>
        <v>9</v>
      </c>
      <c r="C14" s="3" t="s">
        <v>15</v>
      </c>
      <c r="D14" s="2">
        <v>8</v>
      </c>
      <c r="E14" s="4">
        <v>103</v>
      </c>
    </row>
    <row r="15" spans="2:15" x14ac:dyDescent="0.3">
      <c r="B15" s="5">
        <f t="shared" si="0"/>
        <v>10</v>
      </c>
      <c r="C15" s="6" t="s">
        <v>18</v>
      </c>
      <c r="D15" s="5">
        <v>7</v>
      </c>
      <c r="E15" s="7">
        <v>98</v>
      </c>
      <c r="G15" s="11" t="s">
        <v>34</v>
      </c>
      <c r="H15" s="12"/>
      <c r="I15" s="12"/>
      <c r="J15" s="12"/>
      <c r="L15" s="11" t="s">
        <v>35</v>
      </c>
      <c r="M15" s="12"/>
      <c r="N15" s="12"/>
      <c r="O15" s="12"/>
    </row>
    <row r="16" spans="2:15" x14ac:dyDescent="0.3">
      <c r="B16" s="2">
        <f t="shared" si="0"/>
        <v>11</v>
      </c>
      <c r="C16" s="3" t="s">
        <v>27</v>
      </c>
      <c r="D16" s="2">
        <v>8</v>
      </c>
      <c r="E16" s="4">
        <v>91</v>
      </c>
      <c r="G16" s="1" t="s">
        <v>5</v>
      </c>
      <c r="H16" s="1" t="s">
        <v>6</v>
      </c>
      <c r="I16" s="1" t="s">
        <v>7</v>
      </c>
      <c r="J16" s="1" t="s">
        <v>8</v>
      </c>
      <c r="L16" s="1" t="s">
        <v>5</v>
      </c>
      <c r="M16" s="1" t="s">
        <v>6</v>
      </c>
      <c r="N16" s="1" t="s">
        <v>7</v>
      </c>
      <c r="O16" s="1" t="s">
        <v>8</v>
      </c>
    </row>
    <row r="17" spans="2:15" x14ac:dyDescent="0.3">
      <c r="B17" s="5">
        <f t="shared" si="0"/>
        <v>12</v>
      </c>
      <c r="C17" s="6" t="s">
        <v>28</v>
      </c>
      <c r="D17" s="5">
        <v>4</v>
      </c>
      <c r="E17" s="7">
        <v>83</v>
      </c>
      <c r="G17" s="2">
        <f>IF(J17="","",RANK(J17,$J$17:$J$21,0))</f>
        <v>1</v>
      </c>
      <c r="H17" s="3" t="s">
        <v>11</v>
      </c>
      <c r="I17" s="2">
        <v>8</v>
      </c>
      <c r="J17" s="4">
        <v>152</v>
      </c>
      <c r="L17" s="2">
        <f>IF(O17="","",RANK(O17,$O$17:$O$17,0))</f>
        <v>1</v>
      </c>
      <c r="M17" s="3" t="s">
        <v>28</v>
      </c>
      <c r="N17" s="2">
        <v>4</v>
      </c>
      <c r="O17" s="4">
        <v>83</v>
      </c>
    </row>
    <row r="18" spans="2:15" x14ac:dyDescent="0.3">
      <c r="B18" s="2">
        <f t="shared" si="0"/>
        <v>13</v>
      </c>
      <c r="C18" s="3" t="s">
        <v>17</v>
      </c>
      <c r="D18" s="2">
        <v>8</v>
      </c>
      <c r="E18" s="4">
        <v>76</v>
      </c>
      <c r="G18" s="5">
        <f>IF(J18="","",RANK(J18,$J$17:$J$21,0))</f>
        <v>2</v>
      </c>
      <c r="H18" s="6" t="s">
        <v>27</v>
      </c>
      <c r="I18" s="5">
        <v>8</v>
      </c>
      <c r="J18" s="7">
        <v>91</v>
      </c>
    </row>
    <row r="19" spans="2:15" x14ac:dyDescent="0.3">
      <c r="B19" s="5">
        <f t="shared" si="0"/>
        <v>14</v>
      </c>
      <c r="C19" s="6" t="s">
        <v>29</v>
      </c>
      <c r="D19" s="5">
        <v>5</v>
      </c>
      <c r="E19" s="7">
        <v>71</v>
      </c>
      <c r="G19" s="2">
        <f>IF(J19="","",RANK(J19,$J$17:$J$21,0))</f>
        <v>3</v>
      </c>
      <c r="H19" s="3" t="s">
        <v>29</v>
      </c>
      <c r="I19" s="2">
        <v>5</v>
      </c>
      <c r="J19" s="4">
        <v>71</v>
      </c>
    </row>
    <row r="20" spans="2:15" x14ac:dyDescent="0.3">
      <c r="B20" s="2">
        <f t="shared" si="0"/>
        <v>15</v>
      </c>
      <c r="C20" s="3" t="s">
        <v>20</v>
      </c>
      <c r="D20" s="2">
        <v>5</v>
      </c>
      <c r="E20" s="4">
        <v>61</v>
      </c>
      <c r="G20" s="5">
        <f>IF(J20="","",RANK(J20,$J$17:$J$21,0))</f>
        <v>4</v>
      </c>
      <c r="H20" s="6" t="s">
        <v>30</v>
      </c>
      <c r="I20" s="5">
        <v>5</v>
      </c>
      <c r="J20" s="7">
        <v>45</v>
      </c>
    </row>
    <row r="21" spans="2:15" x14ac:dyDescent="0.3">
      <c r="B21" s="5">
        <f t="shared" si="0"/>
        <v>16</v>
      </c>
      <c r="C21" s="6" t="s">
        <v>19</v>
      </c>
      <c r="D21" s="5">
        <v>4</v>
      </c>
      <c r="E21" s="7">
        <v>49</v>
      </c>
      <c r="G21" s="2" t="str">
        <f>IF(J21="","",RANK(J21,$J$17:$J$21,0))</f>
        <v/>
      </c>
      <c r="H21" s="3" t="s">
        <v>33</v>
      </c>
      <c r="I21" s="2"/>
      <c r="J21" s="4"/>
    </row>
    <row r="22" spans="2:15" x14ac:dyDescent="0.3">
      <c r="B22" s="2">
        <f t="shared" si="0"/>
        <v>17</v>
      </c>
      <c r="C22" s="3" t="s">
        <v>21</v>
      </c>
      <c r="D22" s="2">
        <v>4</v>
      </c>
      <c r="E22" s="4">
        <v>47</v>
      </c>
    </row>
    <row r="23" spans="2:15" x14ac:dyDescent="0.3">
      <c r="B23" s="5">
        <f t="shared" si="0"/>
        <v>18</v>
      </c>
      <c r="C23" s="6" t="s">
        <v>23</v>
      </c>
      <c r="D23" s="5">
        <v>5</v>
      </c>
      <c r="E23" s="7">
        <v>46</v>
      </c>
    </row>
    <row r="24" spans="2:15" x14ac:dyDescent="0.3">
      <c r="B24" s="2">
        <f t="shared" si="0"/>
        <v>19</v>
      </c>
      <c r="C24" s="3" t="s">
        <v>30</v>
      </c>
      <c r="D24" s="2">
        <v>5</v>
      </c>
      <c r="E24" s="4">
        <v>45</v>
      </c>
    </row>
    <row r="25" spans="2:15" x14ac:dyDescent="0.3">
      <c r="B25" s="5">
        <f t="shared" si="0"/>
        <v>20</v>
      </c>
      <c r="C25" s="6" t="s">
        <v>24</v>
      </c>
      <c r="D25" s="5">
        <v>5</v>
      </c>
      <c r="E25" s="7">
        <v>35</v>
      </c>
    </row>
    <row r="26" spans="2:15" x14ac:dyDescent="0.3">
      <c r="B26" s="2">
        <f t="shared" si="0"/>
        <v>21</v>
      </c>
      <c r="C26" s="3" t="s">
        <v>26</v>
      </c>
      <c r="D26" s="2">
        <v>4</v>
      </c>
      <c r="E26" s="4">
        <v>32</v>
      </c>
    </row>
    <row r="27" spans="2:15" x14ac:dyDescent="0.3">
      <c r="B27" s="5">
        <f t="shared" si="0"/>
        <v>22</v>
      </c>
      <c r="C27" s="6" t="s">
        <v>25</v>
      </c>
      <c r="D27" s="5">
        <v>2</v>
      </c>
      <c r="E27" s="7">
        <v>14</v>
      </c>
    </row>
    <row r="28" spans="2:15" x14ac:dyDescent="0.3">
      <c r="B28" s="2">
        <f t="shared" si="0"/>
        <v>23</v>
      </c>
      <c r="C28" s="3" t="s">
        <v>31</v>
      </c>
      <c r="D28" s="2">
        <v>2</v>
      </c>
      <c r="E28" s="4">
        <v>11</v>
      </c>
    </row>
    <row r="29" spans="2:15" x14ac:dyDescent="0.3">
      <c r="B29" s="5" t="str">
        <f t="shared" si="0"/>
        <v/>
      </c>
      <c r="C29" s="6" t="s">
        <v>32</v>
      </c>
      <c r="D29" s="5"/>
      <c r="E29" s="7"/>
    </row>
    <row r="30" spans="2:15" x14ac:dyDescent="0.3">
      <c r="B30" s="2" t="str">
        <f t="shared" si="0"/>
        <v/>
      </c>
      <c r="C30" s="3" t="s">
        <v>33</v>
      </c>
      <c r="D30" s="2"/>
      <c r="E30" s="4"/>
    </row>
  </sheetData>
  <mergeCells count="7">
    <mergeCell ref="G15:J15"/>
    <mergeCell ref="L15:O15"/>
    <mergeCell ref="B1:O1"/>
    <mergeCell ref="B4:E4"/>
    <mergeCell ref="G4:J4"/>
    <mergeCell ref="B2:O2"/>
    <mergeCell ref="L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94"/>
  <sheetViews>
    <sheetView zoomScale="80" zoomScaleNormal="80" workbookViewId="0">
      <selection activeCell="P37" sqref="P37"/>
    </sheetView>
  </sheetViews>
  <sheetFormatPr defaultRowHeight="14.4" x14ac:dyDescent="0.3"/>
  <cols>
    <col min="1" max="1" width="2" customWidth="1"/>
    <col min="2" max="2" width="6" customWidth="1"/>
    <col min="3" max="3" width="26" customWidth="1"/>
    <col min="4" max="4" width="9" customWidth="1"/>
    <col min="5" max="6" width="8" customWidth="1"/>
    <col min="7" max="7" width="2" customWidth="1"/>
    <col min="8" max="8" width="6" customWidth="1"/>
    <col min="9" max="9" width="26" customWidth="1"/>
    <col min="10" max="10" width="9" customWidth="1"/>
    <col min="11" max="12" width="8" customWidth="1"/>
    <col min="13" max="13" width="2" customWidth="1"/>
    <col min="14" max="14" width="6" customWidth="1"/>
    <col min="15" max="15" width="26" customWidth="1"/>
    <col min="16" max="16" width="9" customWidth="1"/>
    <col min="17" max="18" width="8" customWidth="1"/>
    <col min="19" max="19" width="2" customWidth="1"/>
    <col min="20" max="20" width="6" customWidth="1"/>
    <col min="21" max="21" width="26" customWidth="1"/>
    <col min="22" max="22" width="9" customWidth="1"/>
    <col min="23" max="24" width="8" customWidth="1"/>
    <col min="25" max="25" width="2" customWidth="1"/>
  </cols>
  <sheetData>
    <row r="2" spans="2:24" x14ac:dyDescent="0.3">
      <c r="B2" s="16" t="s">
        <v>93</v>
      </c>
      <c r="C2" s="12"/>
      <c r="D2" s="12"/>
      <c r="E2" s="8" t="s">
        <v>94</v>
      </c>
      <c r="F2" s="9">
        <v>72</v>
      </c>
      <c r="H2" s="16" t="s">
        <v>95</v>
      </c>
      <c r="I2" s="12"/>
      <c r="J2" s="12"/>
      <c r="K2" s="8" t="s">
        <v>94</v>
      </c>
      <c r="L2" s="9">
        <v>72</v>
      </c>
      <c r="N2" s="16" t="s">
        <v>96</v>
      </c>
      <c r="O2" s="12"/>
      <c r="P2" s="12"/>
      <c r="Q2" s="8" t="s">
        <v>94</v>
      </c>
      <c r="R2" s="9">
        <v>72</v>
      </c>
      <c r="T2" s="16" t="s">
        <v>97</v>
      </c>
      <c r="U2" s="12"/>
      <c r="V2" s="12"/>
      <c r="W2" s="8" t="s">
        <v>94</v>
      </c>
      <c r="X2" s="9">
        <v>72</v>
      </c>
    </row>
    <row r="3" spans="2:24" x14ac:dyDescent="0.3">
      <c r="B3" s="1" t="s">
        <v>5</v>
      </c>
      <c r="C3" s="1" t="s">
        <v>98</v>
      </c>
      <c r="D3" s="1" t="s">
        <v>99</v>
      </c>
      <c r="E3" s="1" t="s">
        <v>100</v>
      </c>
      <c r="F3" s="1" t="s">
        <v>101</v>
      </c>
      <c r="H3" s="1" t="s">
        <v>5</v>
      </c>
      <c r="I3" s="1" t="s">
        <v>98</v>
      </c>
      <c r="J3" s="1" t="s">
        <v>99</v>
      </c>
      <c r="K3" s="1" t="s">
        <v>100</v>
      </c>
      <c r="L3" s="1" t="s">
        <v>101</v>
      </c>
      <c r="N3" s="1" t="s">
        <v>5</v>
      </c>
      <c r="O3" s="1" t="s">
        <v>98</v>
      </c>
      <c r="P3" s="1" t="s">
        <v>99</v>
      </c>
      <c r="Q3" s="1" t="s">
        <v>100</v>
      </c>
      <c r="R3" s="1" t="s">
        <v>101</v>
      </c>
      <c r="T3" s="1" t="s">
        <v>5</v>
      </c>
      <c r="U3" s="1" t="s">
        <v>98</v>
      </c>
      <c r="V3" s="1" t="s">
        <v>99</v>
      </c>
      <c r="W3" s="1" t="s">
        <v>100</v>
      </c>
      <c r="X3" s="1" t="s">
        <v>101</v>
      </c>
    </row>
    <row r="4" spans="2:24" x14ac:dyDescent="0.3">
      <c r="B4" s="2">
        <v>1</v>
      </c>
      <c r="C4" s="3" t="s">
        <v>11</v>
      </c>
      <c r="D4" s="2">
        <v>76</v>
      </c>
      <c r="E4" s="2">
        <v>4</v>
      </c>
      <c r="F4" s="2">
        <v>21</v>
      </c>
      <c r="H4" s="2">
        <v>1</v>
      </c>
      <c r="I4" s="3" t="s">
        <v>14</v>
      </c>
      <c r="J4" s="2">
        <v>72</v>
      </c>
      <c r="K4" s="2">
        <v>0</v>
      </c>
      <c r="L4" s="2">
        <v>25</v>
      </c>
      <c r="N4" s="2">
        <v>1</v>
      </c>
      <c r="O4" s="3" t="s">
        <v>13</v>
      </c>
      <c r="P4" s="2">
        <v>72</v>
      </c>
      <c r="Q4" s="2">
        <v>0</v>
      </c>
      <c r="R4" s="2">
        <v>25</v>
      </c>
      <c r="T4" s="2">
        <v>1</v>
      </c>
      <c r="U4" s="3" t="s">
        <v>27</v>
      </c>
      <c r="V4" s="2">
        <v>83</v>
      </c>
      <c r="W4" s="2">
        <v>11</v>
      </c>
      <c r="X4" s="2">
        <v>14</v>
      </c>
    </row>
    <row r="5" spans="2:24" x14ac:dyDescent="0.3">
      <c r="B5" s="5">
        <v>2</v>
      </c>
      <c r="C5" s="6" t="s">
        <v>9</v>
      </c>
      <c r="D5" s="5">
        <v>77</v>
      </c>
      <c r="E5" s="5">
        <v>5</v>
      </c>
      <c r="F5" s="5">
        <v>20</v>
      </c>
      <c r="I5" s="10" t="s">
        <v>22</v>
      </c>
      <c r="N5" s="5">
        <v>2</v>
      </c>
      <c r="O5" s="6" t="s">
        <v>30</v>
      </c>
      <c r="P5" s="5">
        <v>89</v>
      </c>
      <c r="Q5" s="5">
        <v>17</v>
      </c>
      <c r="R5" s="5">
        <v>8</v>
      </c>
      <c r="U5" s="10" t="s">
        <v>22</v>
      </c>
    </row>
    <row r="6" spans="2:24" x14ac:dyDescent="0.3">
      <c r="B6" s="2">
        <v>3</v>
      </c>
      <c r="C6" s="3" t="s">
        <v>12</v>
      </c>
      <c r="D6" s="2">
        <v>79</v>
      </c>
      <c r="E6" s="2">
        <v>7</v>
      </c>
      <c r="F6" s="2">
        <v>18</v>
      </c>
      <c r="I6" s="10" t="s">
        <v>13</v>
      </c>
      <c r="N6" s="2">
        <v>3</v>
      </c>
      <c r="O6" s="3" t="s">
        <v>23</v>
      </c>
      <c r="P6" s="2">
        <v>94</v>
      </c>
      <c r="Q6" s="2">
        <v>22</v>
      </c>
      <c r="R6" s="2">
        <v>3</v>
      </c>
      <c r="U6" s="10" t="s">
        <v>14</v>
      </c>
    </row>
    <row r="7" spans="2:24" x14ac:dyDescent="0.3">
      <c r="B7" s="5">
        <v>4</v>
      </c>
      <c r="C7" s="6" t="s">
        <v>10</v>
      </c>
      <c r="D7" s="5">
        <v>81</v>
      </c>
      <c r="E7" s="5">
        <v>9</v>
      </c>
      <c r="F7" s="5">
        <v>16</v>
      </c>
      <c r="I7" s="10" t="s">
        <v>11</v>
      </c>
      <c r="O7" s="10" t="s">
        <v>22</v>
      </c>
      <c r="U7" s="10" t="s">
        <v>13</v>
      </c>
    </row>
    <row r="8" spans="2:24" x14ac:dyDescent="0.3">
      <c r="B8" s="2">
        <v>5</v>
      </c>
      <c r="C8" s="3" t="s">
        <v>19</v>
      </c>
      <c r="D8" s="2">
        <v>82</v>
      </c>
      <c r="E8" s="2">
        <v>10</v>
      </c>
      <c r="F8" s="2">
        <v>15</v>
      </c>
      <c r="I8" s="10" t="s">
        <v>9</v>
      </c>
      <c r="O8" s="10" t="s">
        <v>14</v>
      </c>
      <c r="U8" s="10" t="s">
        <v>11</v>
      </c>
    </row>
    <row r="9" spans="2:24" x14ac:dyDescent="0.3">
      <c r="B9" s="5">
        <v>6</v>
      </c>
      <c r="C9" s="6" t="s">
        <v>15</v>
      </c>
      <c r="D9" s="5">
        <v>85</v>
      </c>
      <c r="E9" s="5">
        <v>13</v>
      </c>
      <c r="F9" s="5">
        <v>12</v>
      </c>
      <c r="I9" s="10" t="s">
        <v>12</v>
      </c>
      <c r="O9" s="10" t="s">
        <v>11</v>
      </c>
      <c r="U9" s="10" t="s">
        <v>9</v>
      </c>
    </row>
    <row r="10" spans="2:24" x14ac:dyDescent="0.3">
      <c r="B10" s="2">
        <v>7</v>
      </c>
      <c r="C10" s="3" t="s">
        <v>16</v>
      </c>
      <c r="D10" s="2">
        <v>86</v>
      </c>
      <c r="E10" s="2">
        <v>14</v>
      </c>
      <c r="F10" s="2">
        <v>11</v>
      </c>
      <c r="I10" s="10" t="s">
        <v>10</v>
      </c>
      <c r="O10" s="10" t="s">
        <v>9</v>
      </c>
      <c r="U10" s="10" t="s">
        <v>12</v>
      </c>
    </row>
    <row r="11" spans="2:24" x14ac:dyDescent="0.3">
      <c r="B11" s="5">
        <v>8</v>
      </c>
      <c r="C11" s="6" t="s">
        <v>17</v>
      </c>
      <c r="D11" s="5">
        <v>87</v>
      </c>
      <c r="E11" s="5">
        <v>15</v>
      </c>
      <c r="F11" s="5">
        <v>10</v>
      </c>
      <c r="I11" s="10" t="s">
        <v>19</v>
      </c>
      <c r="O11" s="10" t="s">
        <v>12</v>
      </c>
      <c r="U11" s="10" t="s">
        <v>10</v>
      </c>
    </row>
    <row r="12" spans="2:24" x14ac:dyDescent="0.3">
      <c r="B12" s="2">
        <v>9</v>
      </c>
      <c r="C12" s="3" t="s">
        <v>26</v>
      </c>
      <c r="D12" s="2">
        <v>90</v>
      </c>
      <c r="E12" s="2">
        <v>18</v>
      </c>
      <c r="F12" s="2">
        <v>7</v>
      </c>
      <c r="I12" s="10" t="s">
        <v>27</v>
      </c>
      <c r="O12" s="10" t="s">
        <v>10</v>
      </c>
      <c r="U12" s="10" t="s">
        <v>19</v>
      </c>
    </row>
    <row r="13" spans="2:24" x14ac:dyDescent="0.3">
      <c r="B13" s="5">
        <v>10</v>
      </c>
      <c r="C13" s="6" t="s">
        <v>21</v>
      </c>
      <c r="D13" s="5">
        <v>91</v>
      </c>
      <c r="E13" s="5">
        <v>19</v>
      </c>
      <c r="F13" s="5">
        <v>6</v>
      </c>
      <c r="I13" s="10" t="s">
        <v>15</v>
      </c>
      <c r="O13" s="10" t="s">
        <v>19</v>
      </c>
      <c r="U13" s="10" t="s">
        <v>15</v>
      </c>
    </row>
    <row r="14" spans="2:24" x14ac:dyDescent="0.3">
      <c r="B14" s="2">
        <v>11</v>
      </c>
      <c r="C14" s="3" t="s">
        <v>24</v>
      </c>
      <c r="D14" s="2">
        <v>104</v>
      </c>
      <c r="E14" s="2">
        <v>32</v>
      </c>
      <c r="F14" s="2">
        <v>0</v>
      </c>
      <c r="I14" s="10" t="s">
        <v>16</v>
      </c>
      <c r="O14" s="10" t="s">
        <v>27</v>
      </c>
      <c r="U14" s="10" t="s">
        <v>16</v>
      </c>
    </row>
    <row r="15" spans="2:24" x14ac:dyDescent="0.3">
      <c r="C15" s="10" t="s">
        <v>22</v>
      </c>
      <c r="D15" s="5">
        <v>76</v>
      </c>
      <c r="E15">
        <f>D15-F2</f>
        <v>4</v>
      </c>
      <c r="F15">
        <f>25-E15</f>
        <v>21</v>
      </c>
      <c r="I15" s="10" t="s">
        <v>17</v>
      </c>
      <c r="O15" s="10" t="s">
        <v>15</v>
      </c>
      <c r="U15" s="10" t="s">
        <v>17</v>
      </c>
    </row>
    <row r="16" spans="2:24" x14ac:dyDescent="0.3">
      <c r="C16" s="10" t="s">
        <v>14</v>
      </c>
      <c r="I16" s="10" t="s">
        <v>33</v>
      </c>
      <c r="O16" s="10" t="s">
        <v>16</v>
      </c>
      <c r="U16" s="10" t="s">
        <v>33</v>
      </c>
    </row>
    <row r="17" spans="3:21" x14ac:dyDescent="0.3">
      <c r="C17" s="10" t="s">
        <v>13</v>
      </c>
      <c r="I17" s="10" t="s">
        <v>30</v>
      </c>
      <c r="O17" s="10" t="s">
        <v>17</v>
      </c>
      <c r="U17" s="10" t="s">
        <v>30</v>
      </c>
    </row>
    <row r="18" spans="3:21" x14ac:dyDescent="0.3">
      <c r="C18" s="10" t="s">
        <v>27</v>
      </c>
      <c r="I18" s="10" t="s">
        <v>26</v>
      </c>
      <c r="O18" s="10" t="s">
        <v>33</v>
      </c>
      <c r="U18" s="10" t="s">
        <v>26</v>
      </c>
    </row>
    <row r="19" spans="3:21" x14ac:dyDescent="0.3">
      <c r="C19" s="10" t="s">
        <v>33</v>
      </c>
      <c r="I19" s="10" t="s">
        <v>21</v>
      </c>
      <c r="O19" s="10" t="s">
        <v>26</v>
      </c>
      <c r="U19" s="10" t="s">
        <v>21</v>
      </c>
    </row>
    <row r="20" spans="3:21" x14ac:dyDescent="0.3">
      <c r="C20" s="10" t="s">
        <v>30</v>
      </c>
      <c r="I20" s="10" t="s">
        <v>23</v>
      </c>
      <c r="O20" s="10" t="s">
        <v>21</v>
      </c>
      <c r="U20" s="10" t="s">
        <v>23</v>
      </c>
    </row>
    <row r="21" spans="3:21" x14ac:dyDescent="0.3">
      <c r="C21" s="10" t="s">
        <v>23</v>
      </c>
      <c r="I21" s="10" t="s">
        <v>24</v>
      </c>
      <c r="O21" s="10" t="s">
        <v>24</v>
      </c>
      <c r="U21" s="10" t="s">
        <v>24</v>
      </c>
    </row>
    <row r="22" spans="3:21" x14ac:dyDescent="0.3">
      <c r="C22" s="10" t="s">
        <v>29</v>
      </c>
      <c r="I22" s="10" t="s">
        <v>29</v>
      </c>
      <c r="O22" s="10" t="s">
        <v>29</v>
      </c>
      <c r="U22" s="10" t="s">
        <v>29</v>
      </c>
    </row>
    <row r="23" spans="3:21" x14ac:dyDescent="0.3">
      <c r="C23" s="10" t="s">
        <v>18</v>
      </c>
      <c r="I23" s="10" t="s">
        <v>18</v>
      </c>
      <c r="O23" s="10" t="s">
        <v>18</v>
      </c>
      <c r="U23" s="10" t="s">
        <v>18</v>
      </c>
    </row>
    <row r="24" spans="3:21" x14ac:dyDescent="0.3">
      <c r="C24" s="10" t="s">
        <v>20</v>
      </c>
      <c r="I24" s="10" t="s">
        <v>20</v>
      </c>
      <c r="O24" s="10" t="s">
        <v>20</v>
      </c>
      <c r="U24" s="10" t="s">
        <v>20</v>
      </c>
    </row>
    <row r="25" spans="3:21" x14ac:dyDescent="0.3">
      <c r="C25" s="10" t="s">
        <v>25</v>
      </c>
      <c r="I25" s="10" t="s">
        <v>25</v>
      </c>
      <c r="O25" s="10" t="s">
        <v>25</v>
      </c>
      <c r="U25" s="10" t="s">
        <v>25</v>
      </c>
    </row>
    <row r="26" spans="3:21" x14ac:dyDescent="0.3">
      <c r="C26" s="10" t="s">
        <v>28</v>
      </c>
      <c r="I26" s="10" t="s">
        <v>28</v>
      </c>
      <c r="O26" s="10" t="s">
        <v>28</v>
      </c>
      <c r="U26" s="10" t="s">
        <v>28</v>
      </c>
    </row>
    <row r="27" spans="3:21" x14ac:dyDescent="0.3">
      <c r="C27" s="10" t="s">
        <v>32</v>
      </c>
      <c r="I27" s="10" t="s">
        <v>32</v>
      </c>
      <c r="O27" s="10" t="s">
        <v>32</v>
      </c>
      <c r="U27" s="10" t="s">
        <v>32</v>
      </c>
    </row>
    <row r="28" spans="3:21" x14ac:dyDescent="0.3">
      <c r="C28" s="10" t="s">
        <v>31</v>
      </c>
      <c r="I28" s="10" t="s">
        <v>31</v>
      </c>
      <c r="O28" s="10" t="s">
        <v>31</v>
      </c>
      <c r="U28" s="10" t="s">
        <v>31</v>
      </c>
    </row>
    <row r="35" spans="2:24" x14ac:dyDescent="0.3">
      <c r="B35" s="16" t="s">
        <v>102</v>
      </c>
      <c r="C35" s="12"/>
      <c r="D35" s="12"/>
      <c r="E35" s="8" t="s">
        <v>94</v>
      </c>
      <c r="F35" s="9">
        <v>72</v>
      </c>
      <c r="H35" s="16" t="s">
        <v>103</v>
      </c>
      <c r="I35" s="12"/>
      <c r="J35" s="12"/>
      <c r="K35" s="8" t="s">
        <v>94</v>
      </c>
      <c r="L35" s="9">
        <v>72</v>
      </c>
      <c r="N35" s="16" t="s">
        <v>104</v>
      </c>
      <c r="O35" s="12"/>
      <c r="P35" s="12"/>
      <c r="Q35" s="8" t="s">
        <v>94</v>
      </c>
      <c r="R35" s="9">
        <v>72</v>
      </c>
      <c r="T35" s="16" t="s">
        <v>105</v>
      </c>
      <c r="U35" s="12"/>
      <c r="V35" s="12"/>
      <c r="W35" s="8" t="s">
        <v>94</v>
      </c>
      <c r="X35" s="9">
        <v>72</v>
      </c>
    </row>
    <row r="36" spans="2:24" x14ac:dyDescent="0.3">
      <c r="B36" s="1" t="s">
        <v>5</v>
      </c>
      <c r="C36" s="1" t="s">
        <v>98</v>
      </c>
      <c r="D36" s="1" t="s">
        <v>99</v>
      </c>
      <c r="E36" s="1" t="s">
        <v>100</v>
      </c>
      <c r="F36" s="1" t="s">
        <v>101</v>
      </c>
      <c r="H36" s="1" t="s">
        <v>5</v>
      </c>
      <c r="I36" s="1" t="s">
        <v>98</v>
      </c>
      <c r="J36" s="1" t="s">
        <v>99</v>
      </c>
      <c r="K36" s="1" t="s">
        <v>100</v>
      </c>
      <c r="L36" s="1" t="s">
        <v>101</v>
      </c>
      <c r="N36" s="1" t="s">
        <v>5</v>
      </c>
      <c r="O36" s="1" t="s">
        <v>98</v>
      </c>
      <c r="P36" s="1" t="s">
        <v>99</v>
      </c>
      <c r="Q36" s="1" t="s">
        <v>100</v>
      </c>
      <c r="R36" s="1" t="s">
        <v>101</v>
      </c>
      <c r="T36" s="1" t="s">
        <v>5</v>
      </c>
      <c r="U36" s="1" t="s">
        <v>98</v>
      </c>
      <c r="V36" s="1" t="s">
        <v>99</v>
      </c>
      <c r="W36" s="1" t="s">
        <v>100</v>
      </c>
      <c r="X36" s="1" t="s">
        <v>101</v>
      </c>
    </row>
    <row r="37" spans="2:24" x14ac:dyDescent="0.3">
      <c r="B37" s="2">
        <v>1</v>
      </c>
      <c r="C37" s="3" t="s">
        <v>30</v>
      </c>
      <c r="D37" s="2">
        <v>95</v>
      </c>
      <c r="E37" s="2">
        <v>23</v>
      </c>
      <c r="F37" s="2">
        <v>2</v>
      </c>
      <c r="H37" s="2">
        <v>1</v>
      </c>
      <c r="I37" s="3" t="s">
        <v>27</v>
      </c>
      <c r="J37" s="2">
        <v>94</v>
      </c>
      <c r="K37" s="2">
        <v>22</v>
      </c>
      <c r="L37" s="2">
        <v>3</v>
      </c>
      <c r="N37" s="2">
        <v>1</v>
      </c>
      <c r="O37" s="3" t="s">
        <v>14</v>
      </c>
      <c r="P37" s="2">
        <v>67</v>
      </c>
      <c r="Q37" s="2">
        <v>-7</v>
      </c>
      <c r="R37" s="2">
        <v>32</v>
      </c>
      <c r="T37" s="2">
        <v>1</v>
      </c>
      <c r="U37" s="3" t="s">
        <v>27</v>
      </c>
      <c r="V37" s="2">
        <v>75</v>
      </c>
      <c r="W37" s="2">
        <v>3</v>
      </c>
      <c r="X37" s="2">
        <v>22</v>
      </c>
    </row>
    <row r="38" spans="2:24" x14ac:dyDescent="0.3">
      <c r="C38" s="10" t="s">
        <v>22</v>
      </c>
      <c r="I38" s="10" t="s">
        <v>22</v>
      </c>
      <c r="O38" s="10" t="s">
        <v>22</v>
      </c>
      <c r="U38" s="10" t="s">
        <v>22</v>
      </c>
    </row>
    <row r="39" spans="2:24" x14ac:dyDescent="0.3">
      <c r="C39" s="10" t="s">
        <v>14</v>
      </c>
      <c r="I39" s="10" t="s">
        <v>14</v>
      </c>
      <c r="O39" s="10" t="s">
        <v>13</v>
      </c>
      <c r="U39" s="10" t="s">
        <v>14</v>
      </c>
    </row>
    <row r="40" spans="2:24" x14ac:dyDescent="0.3">
      <c r="C40" s="10" t="s">
        <v>13</v>
      </c>
      <c r="I40" s="10" t="s">
        <v>13</v>
      </c>
      <c r="O40" s="10" t="s">
        <v>11</v>
      </c>
      <c r="U40" s="10" t="s">
        <v>13</v>
      </c>
    </row>
    <row r="41" spans="2:24" x14ac:dyDescent="0.3">
      <c r="C41" s="10" t="s">
        <v>11</v>
      </c>
      <c r="I41" s="10" t="s">
        <v>11</v>
      </c>
      <c r="O41" s="10" t="s">
        <v>9</v>
      </c>
      <c r="U41" s="10" t="s">
        <v>11</v>
      </c>
    </row>
    <row r="42" spans="2:24" x14ac:dyDescent="0.3">
      <c r="C42" s="10" t="s">
        <v>9</v>
      </c>
      <c r="I42" s="10" t="s">
        <v>9</v>
      </c>
      <c r="O42" s="10" t="s">
        <v>12</v>
      </c>
      <c r="U42" s="10" t="s">
        <v>9</v>
      </c>
    </row>
    <row r="43" spans="2:24" x14ac:dyDescent="0.3">
      <c r="C43" s="10" t="s">
        <v>12</v>
      </c>
      <c r="I43" s="10" t="s">
        <v>12</v>
      </c>
      <c r="O43" s="10" t="s">
        <v>10</v>
      </c>
      <c r="U43" s="10" t="s">
        <v>12</v>
      </c>
    </row>
    <row r="44" spans="2:24" x14ac:dyDescent="0.3">
      <c r="C44" s="10" t="s">
        <v>10</v>
      </c>
      <c r="I44" s="10" t="s">
        <v>10</v>
      </c>
      <c r="O44" s="10" t="s">
        <v>19</v>
      </c>
      <c r="U44" s="10" t="s">
        <v>10</v>
      </c>
    </row>
    <row r="45" spans="2:24" x14ac:dyDescent="0.3">
      <c r="C45" s="10" t="s">
        <v>19</v>
      </c>
      <c r="I45" s="10" t="s">
        <v>19</v>
      </c>
      <c r="O45" s="10" t="s">
        <v>27</v>
      </c>
      <c r="U45" s="10" t="s">
        <v>19</v>
      </c>
    </row>
    <row r="46" spans="2:24" x14ac:dyDescent="0.3">
      <c r="C46" s="10" t="s">
        <v>27</v>
      </c>
      <c r="I46" s="10" t="s">
        <v>15</v>
      </c>
      <c r="O46" s="10" t="s">
        <v>15</v>
      </c>
      <c r="U46" s="10" t="s">
        <v>15</v>
      </c>
    </row>
    <row r="47" spans="2:24" x14ac:dyDescent="0.3">
      <c r="C47" s="10" t="s">
        <v>15</v>
      </c>
      <c r="I47" s="10" t="s">
        <v>16</v>
      </c>
      <c r="O47" s="10" t="s">
        <v>16</v>
      </c>
      <c r="U47" s="10" t="s">
        <v>16</v>
      </c>
    </row>
    <row r="48" spans="2:24" x14ac:dyDescent="0.3">
      <c r="C48" s="10" t="s">
        <v>16</v>
      </c>
      <c r="I48" s="10" t="s">
        <v>17</v>
      </c>
      <c r="O48" s="10" t="s">
        <v>17</v>
      </c>
      <c r="U48" s="10" t="s">
        <v>17</v>
      </c>
    </row>
    <row r="49" spans="3:21" x14ac:dyDescent="0.3">
      <c r="C49" s="10" t="s">
        <v>17</v>
      </c>
      <c r="I49" s="10" t="s">
        <v>33</v>
      </c>
      <c r="O49" s="10" t="s">
        <v>33</v>
      </c>
      <c r="U49" s="10" t="s">
        <v>33</v>
      </c>
    </row>
    <row r="50" spans="3:21" x14ac:dyDescent="0.3">
      <c r="C50" s="10" t="s">
        <v>33</v>
      </c>
      <c r="I50" s="10" t="s">
        <v>30</v>
      </c>
      <c r="O50" s="10" t="s">
        <v>30</v>
      </c>
      <c r="U50" s="10" t="s">
        <v>30</v>
      </c>
    </row>
    <row r="51" spans="3:21" x14ac:dyDescent="0.3">
      <c r="C51" s="10" t="s">
        <v>26</v>
      </c>
      <c r="I51" s="10" t="s">
        <v>26</v>
      </c>
      <c r="O51" s="10" t="s">
        <v>26</v>
      </c>
      <c r="U51" s="10" t="s">
        <v>26</v>
      </c>
    </row>
    <row r="52" spans="3:21" x14ac:dyDescent="0.3">
      <c r="C52" s="10" t="s">
        <v>21</v>
      </c>
      <c r="I52" s="10" t="s">
        <v>21</v>
      </c>
      <c r="O52" s="10" t="s">
        <v>21</v>
      </c>
      <c r="U52" s="10" t="s">
        <v>21</v>
      </c>
    </row>
    <row r="53" spans="3:21" x14ac:dyDescent="0.3">
      <c r="C53" s="10" t="s">
        <v>23</v>
      </c>
      <c r="I53" s="10" t="s">
        <v>23</v>
      </c>
      <c r="O53" s="10" t="s">
        <v>23</v>
      </c>
      <c r="U53" s="10" t="s">
        <v>23</v>
      </c>
    </row>
    <row r="54" spans="3:21" x14ac:dyDescent="0.3">
      <c r="C54" s="10" t="s">
        <v>24</v>
      </c>
      <c r="I54" s="10" t="s">
        <v>24</v>
      </c>
      <c r="O54" s="10" t="s">
        <v>24</v>
      </c>
      <c r="U54" s="10" t="s">
        <v>24</v>
      </c>
    </row>
    <row r="55" spans="3:21" x14ac:dyDescent="0.3">
      <c r="C55" s="10" t="s">
        <v>29</v>
      </c>
      <c r="I55" s="10" t="s">
        <v>29</v>
      </c>
      <c r="O55" s="10" t="s">
        <v>29</v>
      </c>
      <c r="U55" s="10" t="s">
        <v>29</v>
      </c>
    </row>
    <row r="56" spans="3:21" x14ac:dyDescent="0.3">
      <c r="C56" s="10" t="s">
        <v>18</v>
      </c>
      <c r="I56" s="10" t="s">
        <v>18</v>
      </c>
      <c r="O56" s="10" t="s">
        <v>18</v>
      </c>
      <c r="U56" s="10" t="s">
        <v>18</v>
      </c>
    </row>
    <row r="57" spans="3:21" x14ac:dyDescent="0.3">
      <c r="C57" s="10" t="s">
        <v>20</v>
      </c>
      <c r="I57" s="10" t="s">
        <v>20</v>
      </c>
      <c r="O57" s="10" t="s">
        <v>20</v>
      </c>
      <c r="U57" s="10" t="s">
        <v>20</v>
      </c>
    </row>
    <row r="58" spans="3:21" x14ac:dyDescent="0.3">
      <c r="C58" s="10" t="s">
        <v>25</v>
      </c>
      <c r="I58" s="10" t="s">
        <v>25</v>
      </c>
      <c r="O58" s="10" t="s">
        <v>25</v>
      </c>
      <c r="U58" s="10" t="s">
        <v>25</v>
      </c>
    </row>
    <row r="59" spans="3:21" x14ac:dyDescent="0.3">
      <c r="C59" s="10" t="s">
        <v>28</v>
      </c>
      <c r="I59" s="10" t="s">
        <v>28</v>
      </c>
      <c r="O59" s="10" t="s">
        <v>28</v>
      </c>
      <c r="U59" s="10" t="s">
        <v>28</v>
      </c>
    </row>
    <row r="60" spans="3:21" x14ac:dyDescent="0.3">
      <c r="C60" s="10" t="s">
        <v>32</v>
      </c>
      <c r="I60" s="10" t="s">
        <v>32</v>
      </c>
      <c r="O60" s="10" t="s">
        <v>32</v>
      </c>
      <c r="U60" s="10" t="s">
        <v>32</v>
      </c>
    </row>
    <row r="61" spans="3:21" x14ac:dyDescent="0.3">
      <c r="C61" s="10" t="s">
        <v>31</v>
      </c>
      <c r="I61" s="10" t="s">
        <v>31</v>
      </c>
      <c r="O61" s="10" t="s">
        <v>31</v>
      </c>
      <c r="U61" s="10" t="s">
        <v>31</v>
      </c>
    </row>
    <row r="68" spans="2:24" x14ac:dyDescent="0.3">
      <c r="B68" s="16" t="s">
        <v>106</v>
      </c>
      <c r="C68" s="12"/>
      <c r="D68" s="12"/>
      <c r="E68" s="8" t="s">
        <v>94</v>
      </c>
      <c r="F68" s="9">
        <v>72</v>
      </c>
      <c r="H68" s="16" t="s">
        <v>107</v>
      </c>
      <c r="I68" s="12"/>
      <c r="J68" s="12"/>
      <c r="K68" s="8" t="s">
        <v>94</v>
      </c>
      <c r="L68" s="9">
        <v>72</v>
      </c>
      <c r="N68" s="16" t="s">
        <v>108</v>
      </c>
      <c r="O68" s="12"/>
      <c r="P68" s="12"/>
      <c r="Q68" s="8" t="s">
        <v>94</v>
      </c>
      <c r="R68" s="9">
        <v>72</v>
      </c>
      <c r="T68" s="16" t="s">
        <v>109</v>
      </c>
      <c r="U68" s="12"/>
      <c r="V68" s="12"/>
      <c r="W68" s="8" t="s">
        <v>94</v>
      </c>
      <c r="X68" s="9">
        <v>72</v>
      </c>
    </row>
    <row r="69" spans="2:24" x14ac:dyDescent="0.3">
      <c r="B69" s="1" t="s">
        <v>5</v>
      </c>
      <c r="C69" s="1" t="s">
        <v>98</v>
      </c>
      <c r="D69" s="1" t="s">
        <v>99</v>
      </c>
      <c r="E69" s="1" t="s">
        <v>100</v>
      </c>
      <c r="F69" s="1" t="s">
        <v>101</v>
      </c>
      <c r="H69" s="1" t="s">
        <v>5</v>
      </c>
      <c r="I69" s="1" t="s">
        <v>98</v>
      </c>
      <c r="J69" s="1" t="s">
        <v>99</v>
      </c>
      <c r="K69" s="1" t="s">
        <v>100</v>
      </c>
      <c r="L69" s="1" t="s">
        <v>101</v>
      </c>
      <c r="N69" s="1" t="s">
        <v>5</v>
      </c>
      <c r="O69" s="1" t="s">
        <v>98</v>
      </c>
      <c r="P69" s="1" t="s">
        <v>99</v>
      </c>
      <c r="Q69" s="1" t="s">
        <v>100</v>
      </c>
      <c r="R69" s="1" t="s">
        <v>101</v>
      </c>
      <c r="T69" s="1" t="s">
        <v>5</v>
      </c>
      <c r="U69" s="1" t="s">
        <v>98</v>
      </c>
      <c r="V69" s="1" t="s">
        <v>99</v>
      </c>
      <c r="W69" s="1" t="s">
        <v>100</v>
      </c>
      <c r="X69" s="1" t="s">
        <v>101</v>
      </c>
    </row>
    <row r="70" spans="2:24" x14ac:dyDescent="0.3">
      <c r="B70" s="2">
        <v>1</v>
      </c>
      <c r="C70" s="3" t="s">
        <v>10</v>
      </c>
      <c r="D70" s="2">
        <v>77</v>
      </c>
      <c r="E70" s="2">
        <v>4</v>
      </c>
      <c r="F70" s="2">
        <v>21</v>
      </c>
      <c r="H70" s="2">
        <v>1</v>
      </c>
      <c r="I70" s="3" t="s">
        <v>27</v>
      </c>
      <c r="J70" s="2">
        <v>91</v>
      </c>
      <c r="K70" s="2">
        <v>19</v>
      </c>
      <c r="L70" s="2">
        <v>6</v>
      </c>
      <c r="N70" s="2">
        <v>1</v>
      </c>
      <c r="O70" s="3" t="s">
        <v>9</v>
      </c>
      <c r="P70" s="2">
        <v>73</v>
      </c>
      <c r="Q70" s="2">
        <v>4</v>
      </c>
      <c r="R70" s="2">
        <v>21</v>
      </c>
      <c r="T70" s="2">
        <v>1</v>
      </c>
      <c r="U70" s="3" t="s">
        <v>13</v>
      </c>
      <c r="V70" s="2">
        <v>78</v>
      </c>
      <c r="W70" s="2">
        <v>6</v>
      </c>
      <c r="X70" s="2">
        <v>19</v>
      </c>
    </row>
    <row r="71" spans="2:24" x14ac:dyDescent="0.3">
      <c r="B71" s="5">
        <v>2</v>
      </c>
      <c r="C71" s="6" t="s">
        <v>9</v>
      </c>
      <c r="D71" s="5">
        <v>79</v>
      </c>
      <c r="E71" s="5">
        <v>6</v>
      </c>
      <c r="F71" s="5">
        <v>19</v>
      </c>
      <c r="I71" s="10" t="s">
        <v>22</v>
      </c>
      <c r="N71" s="5">
        <v>2</v>
      </c>
      <c r="O71" s="6" t="s">
        <v>28</v>
      </c>
      <c r="P71" s="5">
        <v>77</v>
      </c>
      <c r="Q71" s="5">
        <v>8</v>
      </c>
      <c r="R71" s="5">
        <v>17</v>
      </c>
      <c r="T71" s="5">
        <v>2</v>
      </c>
      <c r="U71" s="6" t="s">
        <v>30</v>
      </c>
      <c r="V71" s="5">
        <v>83</v>
      </c>
      <c r="W71" s="5">
        <v>11</v>
      </c>
      <c r="X71" s="5">
        <v>14</v>
      </c>
    </row>
    <row r="72" spans="2:24" x14ac:dyDescent="0.3">
      <c r="B72" s="2">
        <v>3</v>
      </c>
      <c r="C72" s="3" t="s">
        <v>12</v>
      </c>
      <c r="D72" s="2">
        <v>80</v>
      </c>
      <c r="E72" s="2">
        <v>7</v>
      </c>
      <c r="F72" s="2">
        <v>18</v>
      </c>
      <c r="I72" s="10" t="s">
        <v>14</v>
      </c>
      <c r="N72" s="2">
        <v>3</v>
      </c>
      <c r="O72" s="3" t="s">
        <v>10</v>
      </c>
      <c r="P72" s="2">
        <v>80</v>
      </c>
      <c r="Q72" s="2">
        <v>11</v>
      </c>
      <c r="R72" s="2">
        <v>14</v>
      </c>
      <c r="U72" s="10" t="s">
        <v>22</v>
      </c>
    </row>
    <row r="73" spans="2:24" x14ac:dyDescent="0.3">
      <c r="B73" s="5">
        <v>4</v>
      </c>
      <c r="C73" s="6" t="s">
        <v>11</v>
      </c>
      <c r="D73" s="5">
        <v>81</v>
      </c>
      <c r="E73" s="5">
        <v>8</v>
      </c>
      <c r="F73" s="5">
        <v>17</v>
      </c>
      <c r="I73" s="10" t="s">
        <v>13</v>
      </c>
      <c r="N73" s="5">
        <v>3</v>
      </c>
      <c r="O73" s="6" t="s">
        <v>18</v>
      </c>
      <c r="P73" s="5">
        <v>80</v>
      </c>
      <c r="Q73" s="5">
        <v>11</v>
      </c>
      <c r="R73" s="5">
        <v>14</v>
      </c>
      <c r="U73" s="10" t="s">
        <v>14</v>
      </c>
    </row>
    <row r="74" spans="2:24" x14ac:dyDescent="0.3">
      <c r="B74" s="2">
        <v>5</v>
      </c>
      <c r="C74" s="3" t="s">
        <v>15</v>
      </c>
      <c r="D74" s="2">
        <v>82</v>
      </c>
      <c r="E74" s="2">
        <v>9</v>
      </c>
      <c r="F74" s="2">
        <v>16</v>
      </c>
      <c r="I74" s="10" t="s">
        <v>11</v>
      </c>
      <c r="N74" s="2">
        <v>5</v>
      </c>
      <c r="O74" s="3" t="s">
        <v>20</v>
      </c>
      <c r="P74" s="2">
        <v>81</v>
      </c>
      <c r="Q74" s="2">
        <v>12</v>
      </c>
      <c r="R74" s="2">
        <v>13</v>
      </c>
      <c r="U74" s="10" t="s">
        <v>11</v>
      </c>
    </row>
    <row r="75" spans="2:24" x14ac:dyDescent="0.3">
      <c r="B75" s="5">
        <v>6</v>
      </c>
      <c r="C75" s="6" t="s">
        <v>21</v>
      </c>
      <c r="D75" s="5">
        <v>84</v>
      </c>
      <c r="E75" s="5">
        <v>11</v>
      </c>
      <c r="F75" s="5">
        <v>14</v>
      </c>
      <c r="I75" s="10" t="s">
        <v>9</v>
      </c>
      <c r="N75" s="5">
        <v>6</v>
      </c>
      <c r="O75" s="6" t="s">
        <v>11</v>
      </c>
      <c r="P75" s="5">
        <v>83</v>
      </c>
      <c r="Q75" s="5">
        <v>14</v>
      </c>
      <c r="R75" s="5">
        <v>11</v>
      </c>
      <c r="U75" s="10" t="s">
        <v>9</v>
      </c>
    </row>
    <row r="76" spans="2:24" x14ac:dyDescent="0.3">
      <c r="B76" s="2">
        <v>7</v>
      </c>
      <c r="C76" s="3" t="s">
        <v>16</v>
      </c>
      <c r="D76" s="2">
        <v>85</v>
      </c>
      <c r="E76" s="2">
        <v>12</v>
      </c>
      <c r="F76" s="2">
        <v>13</v>
      </c>
      <c r="I76" s="10" t="s">
        <v>12</v>
      </c>
      <c r="N76" s="2">
        <v>6</v>
      </c>
      <c r="O76" s="3" t="s">
        <v>29</v>
      </c>
      <c r="P76" s="2">
        <v>83</v>
      </c>
      <c r="Q76" s="2">
        <v>14</v>
      </c>
      <c r="R76" s="2">
        <v>11</v>
      </c>
      <c r="U76" s="10" t="s">
        <v>12</v>
      </c>
    </row>
    <row r="77" spans="2:24" x14ac:dyDescent="0.3">
      <c r="B77" s="5">
        <v>8</v>
      </c>
      <c r="C77" s="6" t="s">
        <v>26</v>
      </c>
      <c r="D77" s="5">
        <v>88</v>
      </c>
      <c r="E77" s="5">
        <v>15</v>
      </c>
      <c r="F77" s="5">
        <v>10</v>
      </c>
      <c r="I77" s="10" t="s">
        <v>10</v>
      </c>
      <c r="N77" s="5">
        <v>8</v>
      </c>
      <c r="O77" s="6" t="s">
        <v>15</v>
      </c>
      <c r="P77" s="5">
        <v>84</v>
      </c>
      <c r="Q77" s="5">
        <v>15</v>
      </c>
      <c r="R77" s="5">
        <v>10</v>
      </c>
      <c r="U77" s="10" t="s">
        <v>10</v>
      </c>
    </row>
    <row r="78" spans="2:24" x14ac:dyDescent="0.3">
      <c r="B78" s="2">
        <v>8</v>
      </c>
      <c r="C78" s="3" t="s">
        <v>20</v>
      </c>
      <c r="D78" s="2">
        <v>88</v>
      </c>
      <c r="E78" s="2">
        <v>15</v>
      </c>
      <c r="F78" s="2">
        <v>10</v>
      </c>
      <c r="I78" s="10" t="s">
        <v>19</v>
      </c>
      <c r="N78" s="2">
        <v>8</v>
      </c>
      <c r="O78" s="3" t="s">
        <v>16</v>
      </c>
      <c r="P78" s="2">
        <v>84</v>
      </c>
      <c r="Q78" s="2">
        <v>15</v>
      </c>
      <c r="R78" s="2">
        <v>10</v>
      </c>
      <c r="U78" s="10" t="s">
        <v>19</v>
      </c>
    </row>
    <row r="79" spans="2:24" x14ac:dyDescent="0.3">
      <c r="B79" s="5">
        <v>10</v>
      </c>
      <c r="C79" s="6" t="s">
        <v>17</v>
      </c>
      <c r="D79" s="5">
        <v>89</v>
      </c>
      <c r="E79" s="5">
        <v>16</v>
      </c>
      <c r="F79" s="5">
        <v>9</v>
      </c>
      <c r="I79" s="10" t="s">
        <v>15</v>
      </c>
      <c r="N79" s="5">
        <v>10</v>
      </c>
      <c r="O79" s="6" t="s">
        <v>19</v>
      </c>
      <c r="P79" s="5">
        <v>95</v>
      </c>
      <c r="Q79" s="5">
        <v>26</v>
      </c>
      <c r="R79" s="5">
        <v>0</v>
      </c>
      <c r="U79" s="10" t="s">
        <v>27</v>
      </c>
    </row>
    <row r="80" spans="2:24" x14ac:dyDescent="0.3">
      <c r="B80" s="2">
        <v>11</v>
      </c>
      <c r="C80" s="3" t="s">
        <v>18</v>
      </c>
      <c r="D80" s="2">
        <v>90</v>
      </c>
      <c r="E80" s="2">
        <v>17</v>
      </c>
      <c r="F80" s="2">
        <v>8</v>
      </c>
      <c r="I80" s="10" t="s">
        <v>16</v>
      </c>
      <c r="N80" s="2">
        <v>11</v>
      </c>
      <c r="O80" s="3" t="s">
        <v>17</v>
      </c>
      <c r="P80" s="2">
        <v>99</v>
      </c>
      <c r="Q80" s="2">
        <v>30</v>
      </c>
      <c r="R80" s="2">
        <v>0</v>
      </c>
      <c r="U80" s="10" t="s">
        <v>15</v>
      </c>
    </row>
    <row r="81" spans="3:21" x14ac:dyDescent="0.3">
      <c r="C81" s="10" t="s">
        <v>22</v>
      </c>
      <c r="I81" s="10" t="s">
        <v>17</v>
      </c>
      <c r="N81" s="5">
        <v>12</v>
      </c>
      <c r="O81" s="6" t="s">
        <v>26</v>
      </c>
      <c r="P81" s="5">
        <v>102</v>
      </c>
      <c r="Q81" s="5">
        <v>33</v>
      </c>
      <c r="R81" s="5">
        <v>0</v>
      </c>
      <c r="U81" s="10" t="s">
        <v>16</v>
      </c>
    </row>
    <row r="82" spans="3:21" x14ac:dyDescent="0.3">
      <c r="C82" s="10" t="s">
        <v>14</v>
      </c>
      <c r="I82" s="10" t="s">
        <v>33</v>
      </c>
      <c r="O82" s="10" t="s">
        <v>22</v>
      </c>
      <c r="U82" s="10" t="s">
        <v>17</v>
      </c>
    </row>
    <row r="83" spans="3:21" x14ac:dyDescent="0.3">
      <c r="C83" s="10" t="s">
        <v>13</v>
      </c>
      <c r="I83" s="10" t="s">
        <v>30</v>
      </c>
      <c r="O83" s="10" t="s">
        <v>14</v>
      </c>
      <c r="U83" s="10" t="s">
        <v>33</v>
      </c>
    </row>
    <row r="84" spans="3:21" x14ac:dyDescent="0.3">
      <c r="C84" s="10" t="s">
        <v>19</v>
      </c>
      <c r="I84" s="10" t="s">
        <v>26</v>
      </c>
      <c r="O84" s="10" t="s">
        <v>13</v>
      </c>
      <c r="U84" s="10" t="s">
        <v>26</v>
      </c>
    </row>
    <row r="85" spans="3:21" x14ac:dyDescent="0.3">
      <c r="C85" s="10" t="s">
        <v>27</v>
      </c>
      <c r="I85" s="10" t="s">
        <v>21</v>
      </c>
      <c r="O85" s="10" t="s">
        <v>12</v>
      </c>
      <c r="U85" s="10" t="s">
        <v>21</v>
      </c>
    </row>
    <row r="86" spans="3:21" x14ac:dyDescent="0.3">
      <c r="C86" s="10" t="s">
        <v>33</v>
      </c>
      <c r="I86" s="10" t="s">
        <v>23</v>
      </c>
      <c r="O86" s="10" t="s">
        <v>27</v>
      </c>
      <c r="U86" s="10" t="s">
        <v>23</v>
      </c>
    </row>
    <row r="87" spans="3:21" x14ac:dyDescent="0.3">
      <c r="C87" s="10" t="s">
        <v>30</v>
      </c>
      <c r="I87" s="10" t="s">
        <v>24</v>
      </c>
      <c r="O87" s="10" t="s">
        <v>33</v>
      </c>
      <c r="U87" s="10" t="s">
        <v>24</v>
      </c>
    </row>
    <row r="88" spans="3:21" x14ac:dyDescent="0.3">
      <c r="C88" s="10" t="s">
        <v>23</v>
      </c>
      <c r="I88" s="10" t="s">
        <v>29</v>
      </c>
      <c r="O88" s="10" t="s">
        <v>30</v>
      </c>
      <c r="U88" s="10" t="s">
        <v>29</v>
      </c>
    </row>
    <row r="89" spans="3:21" x14ac:dyDescent="0.3">
      <c r="C89" s="10" t="s">
        <v>24</v>
      </c>
      <c r="I89" s="10" t="s">
        <v>18</v>
      </c>
      <c r="O89" s="10" t="s">
        <v>21</v>
      </c>
      <c r="U89" s="10" t="s">
        <v>18</v>
      </c>
    </row>
    <row r="90" spans="3:21" x14ac:dyDescent="0.3">
      <c r="C90" s="10" t="s">
        <v>29</v>
      </c>
      <c r="I90" s="10" t="s">
        <v>20</v>
      </c>
      <c r="O90" s="10" t="s">
        <v>23</v>
      </c>
      <c r="U90" s="10" t="s">
        <v>20</v>
      </c>
    </row>
    <row r="91" spans="3:21" x14ac:dyDescent="0.3">
      <c r="C91" s="10" t="s">
        <v>25</v>
      </c>
      <c r="I91" s="10" t="s">
        <v>25</v>
      </c>
      <c r="O91" s="10" t="s">
        <v>24</v>
      </c>
      <c r="U91" s="10" t="s">
        <v>25</v>
      </c>
    </row>
    <row r="92" spans="3:21" x14ac:dyDescent="0.3">
      <c r="C92" s="10" t="s">
        <v>28</v>
      </c>
      <c r="I92" s="10" t="s">
        <v>28</v>
      </c>
      <c r="O92" s="10" t="s">
        <v>25</v>
      </c>
      <c r="U92" s="10" t="s">
        <v>28</v>
      </c>
    </row>
    <row r="93" spans="3:21" x14ac:dyDescent="0.3">
      <c r="C93" s="10" t="s">
        <v>32</v>
      </c>
      <c r="I93" s="10" t="s">
        <v>32</v>
      </c>
      <c r="O93" s="10" t="s">
        <v>32</v>
      </c>
      <c r="U93" s="10" t="s">
        <v>32</v>
      </c>
    </row>
    <row r="94" spans="3:21" x14ac:dyDescent="0.3">
      <c r="C94" s="10" t="s">
        <v>31</v>
      </c>
      <c r="I94" s="10" t="s">
        <v>31</v>
      </c>
      <c r="O94" s="10" t="s">
        <v>31</v>
      </c>
      <c r="U94" s="10" t="s">
        <v>31</v>
      </c>
    </row>
  </sheetData>
  <mergeCells count="12">
    <mergeCell ref="T2:V2"/>
    <mergeCell ref="N68:P68"/>
    <mergeCell ref="T68:V68"/>
    <mergeCell ref="N2:P2"/>
    <mergeCell ref="B35:D35"/>
    <mergeCell ref="T35:V35"/>
    <mergeCell ref="H35:J35"/>
    <mergeCell ref="N35:P35"/>
    <mergeCell ref="H2:J2"/>
    <mergeCell ref="B68:D68"/>
    <mergeCell ref="H68:J68"/>
    <mergeCell ref="B2:D2"/>
  </mergeCells>
  <hyperlinks>
    <hyperlink ref="B2" r:id="rId1" xr:uid="{00000000-0004-0000-0200-000000000000}"/>
    <hyperlink ref="H2" r:id="rId2" xr:uid="{00000000-0004-0000-0200-000001000000}"/>
    <hyperlink ref="N2" r:id="rId3" xr:uid="{00000000-0004-0000-0200-000002000000}"/>
    <hyperlink ref="T2" r:id="rId4" xr:uid="{00000000-0004-0000-0200-000003000000}"/>
    <hyperlink ref="B35" r:id="rId5" xr:uid="{00000000-0004-0000-0200-000004000000}"/>
    <hyperlink ref="H35" r:id="rId6" xr:uid="{00000000-0004-0000-0200-000005000000}"/>
    <hyperlink ref="N35" r:id="rId7" xr:uid="{00000000-0004-0000-0200-000006000000}"/>
    <hyperlink ref="T35" r:id="rId8" xr:uid="{00000000-0004-0000-0200-000007000000}"/>
    <hyperlink ref="B68" r:id="rId9" xr:uid="{00000000-0004-0000-0200-000008000000}"/>
    <hyperlink ref="H68" r:id="rId10" xr:uid="{00000000-0004-0000-0200-000009000000}"/>
    <hyperlink ref="N68" r:id="rId11" xr:uid="{00000000-0004-0000-0200-00000A000000}"/>
    <hyperlink ref="T68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60"/>
  <sheetViews>
    <sheetView topLeftCell="A31" workbookViewId="0"/>
  </sheetViews>
  <sheetFormatPr defaultRowHeight="14.4" x14ac:dyDescent="0.3"/>
  <cols>
    <col min="1" max="1" width="2" customWidth="1"/>
    <col min="2" max="2" width="6" customWidth="1"/>
    <col min="3" max="3" width="26" customWidth="1"/>
    <col min="4" max="4" width="9" customWidth="1"/>
    <col min="5" max="6" width="8" customWidth="1"/>
    <col min="7" max="7" width="2" customWidth="1"/>
    <col min="8" max="8" width="6" customWidth="1"/>
    <col min="9" max="9" width="26" customWidth="1"/>
    <col min="10" max="10" width="9" customWidth="1"/>
    <col min="11" max="12" width="8" customWidth="1"/>
    <col min="13" max="13" width="2" customWidth="1"/>
    <col min="14" max="14" width="6" customWidth="1"/>
    <col min="15" max="15" width="26" customWidth="1"/>
    <col min="16" max="16" width="9" customWidth="1"/>
    <col min="17" max="18" width="8" customWidth="1"/>
    <col min="19" max="19" width="2" customWidth="1"/>
  </cols>
  <sheetData>
    <row r="2" spans="2:18" x14ac:dyDescent="0.3">
      <c r="B2" s="16" t="s">
        <v>110</v>
      </c>
      <c r="C2" s="12"/>
      <c r="D2" s="12"/>
      <c r="E2" s="8" t="s">
        <v>94</v>
      </c>
      <c r="F2" s="9">
        <v>73</v>
      </c>
      <c r="H2" s="16" t="s">
        <v>111</v>
      </c>
      <c r="I2" s="12"/>
      <c r="J2" s="12"/>
      <c r="K2" s="8" t="s">
        <v>94</v>
      </c>
      <c r="L2" s="9">
        <v>72</v>
      </c>
      <c r="N2" s="16" t="s">
        <v>112</v>
      </c>
      <c r="O2" s="12"/>
      <c r="P2" s="12"/>
      <c r="Q2" s="8" t="s">
        <v>94</v>
      </c>
      <c r="R2" s="9">
        <v>72</v>
      </c>
    </row>
    <row r="3" spans="2:18" x14ac:dyDescent="0.3">
      <c r="B3" s="1" t="s">
        <v>5</v>
      </c>
      <c r="C3" s="1" t="s">
        <v>98</v>
      </c>
      <c r="D3" s="1" t="s">
        <v>99</v>
      </c>
      <c r="E3" s="1" t="s">
        <v>100</v>
      </c>
      <c r="F3" s="1" t="s">
        <v>101</v>
      </c>
      <c r="H3" s="1" t="s">
        <v>5</v>
      </c>
      <c r="I3" s="1" t="s">
        <v>98</v>
      </c>
      <c r="J3" s="1" t="s">
        <v>99</v>
      </c>
      <c r="K3" s="1" t="s">
        <v>100</v>
      </c>
      <c r="L3" s="1" t="s">
        <v>101</v>
      </c>
      <c r="N3" s="1" t="s">
        <v>5</v>
      </c>
      <c r="O3" s="1" t="s">
        <v>98</v>
      </c>
      <c r="P3" s="1" t="s">
        <v>99</v>
      </c>
      <c r="Q3" s="1" t="s">
        <v>100</v>
      </c>
      <c r="R3" s="1" t="s">
        <v>101</v>
      </c>
    </row>
    <row r="4" spans="2:18" x14ac:dyDescent="0.3">
      <c r="B4" s="2">
        <v>1</v>
      </c>
      <c r="C4" s="3" t="s">
        <v>22</v>
      </c>
      <c r="D4" s="2">
        <v>74</v>
      </c>
      <c r="E4" s="2">
        <v>1</v>
      </c>
      <c r="F4" s="2">
        <v>24</v>
      </c>
      <c r="H4" s="2">
        <v>1</v>
      </c>
      <c r="I4" s="3" t="s">
        <v>14</v>
      </c>
      <c r="J4" s="2">
        <v>76</v>
      </c>
      <c r="K4" s="2">
        <v>4</v>
      </c>
      <c r="L4" s="2">
        <v>21</v>
      </c>
      <c r="N4" s="2">
        <v>1</v>
      </c>
      <c r="O4" s="3" t="s">
        <v>14</v>
      </c>
      <c r="P4" s="2">
        <v>75</v>
      </c>
      <c r="Q4" s="2">
        <v>3</v>
      </c>
      <c r="R4" s="2">
        <v>22</v>
      </c>
    </row>
    <row r="5" spans="2:18" x14ac:dyDescent="0.3">
      <c r="B5" s="5">
        <v>2</v>
      </c>
      <c r="C5" s="6" t="s">
        <v>28</v>
      </c>
      <c r="D5" s="5">
        <v>77</v>
      </c>
      <c r="E5" s="5">
        <v>4</v>
      </c>
      <c r="F5" s="5">
        <v>21</v>
      </c>
      <c r="H5" s="5">
        <v>2</v>
      </c>
      <c r="I5" s="6" t="s">
        <v>22</v>
      </c>
      <c r="J5" s="5">
        <v>78</v>
      </c>
      <c r="K5" s="5">
        <v>6</v>
      </c>
      <c r="L5" s="5">
        <v>19</v>
      </c>
      <c r="N5" s="5">
        <v>1</v>
      </c>
      <c r="O5" s="6" t="s">
        <v>28</v>
      </c>
      <c r="P5" s="5">
        <v>75</v>
      </c>
      <c r="Q5" s="5">
        <v>3</v>
      </c>
      <c r="R5" s="5">
        <v>22</v>
      </c>
    </row>
    <row r="6" spans="2:18" x14ac:dyDescent="0.3">
      <c r="B6" s="2">
        <v>3</v>
      </c>
      <c r="C6" s="3" t="s">
        <v>13</v>
      </c>
      <c r="D6" s="2">
        <v>78</v>
      </c>
      <c r="E6" s="2">
        <v>5</v>
      </c>
      <c r="F6" s="2">
        <v>20</v>
      </c>
      <c r="H6" s="2">
        <v>2</v>
      </c>
      <c r="I6" s="3" t="s">
        <v>9</v>
      </c>
      <c r="J6" s="2">
        <v>78</v>
      </c>
      <c r="K6" s="2">
        <v>6</v>
      </c>
      <c r="L6" s="2">
        <v>19</v>
      </c>
      <c r="N6" s="2">
        <v>3</v>
      </c>
      <c r="O6" s="3" t="s">
        <v>9</v>
      </c>
      <c r="P6" s="2">
        <v>76</v>
      </c>
      <c r="Q6" s="2">
        <v>4</v>
      </c>
      <c r="R6" s="2">
        <v>21</v>
      </c>
    </row>
    <row r="7" spans="2:18" x14ac:dyDescent="0.3">
      <c r="B7" s="5">
        <v>4</v>
      </c>
      <c r="C7" s="6" t="s">
        <v>15</v>
      </c>
      <c r="D7" s="5">
        <v>80</v>
      </c>
      <c r="E7" s="5">
        <v>7</v>
      </c>
      <c r="F7" s="5">
        <v>18</v>
      </c>
      <c r="H7" s="5">
        <v>4</v>
      </c>
      <c r="I7" s="6" t="s">
        <v>10</v>
      </c>
      <c r="J7" s="5">
        <v>81</v>
      </c>
      <c r="K7" s="5">
        <v>9</v>
      </c>
      <c r="L7" s="5">
        <v>16</v>
      </c>
      <c r="N7" s="5">
        <v>4</v>
      </c>
      <c r="O7" s="6" t="s">
        <v>12</v>
      </c>
      <c r="P7" s="5">
        <v>78</v>
      </c>
      <c r="Q7" s="5">
        <v>6</v>
      </c>
      <c r="R7" s="5">
        <v>19</v>
      </c>
    </row>
    <row r="8" spans="2:18" x14ac:dyDescent="0.3">
      <c r="B8" s="2">
        <v>5</v>
      </c>
      <c r="C8" s="3" t="s">
        <v>14</v>
      </c>
      <c r="D8" s="2">
        <v>82</v>
      </c>
      <c r="E8" s="2">
        <v>9</v>
      </c>
      <c r="F8" s="2">
        <v>16</v>
      </c>
      <c r="H8" s="2">
        <v>5</v>
      </c>
      <c r="I8" s="3" t="s">
        <v>13</v>
      </c>
      <c r="J8" s="2">
        <v>82</v>
      </c>
      <c r="K8" s="2">
        <v>10</v>
      </c>
      <c r="L8" s="2">
        <v>15</v>
      </c>
      <c r="N8" s="2">
        <v>5</v>
      </c>
      <c r="O8" s="3" t="s">
        <v>18</v>
      </c>
      <c r="P8" s="2">
        <v>80</v>
      </c>
      <c r="Q8" s="2">
        <v>8</v>
      </c>
      <c r="R8" s="2">
        <v>17</v>
      </c>
    </row>
    <row r="9" spans="2:18" x14ac:dyDescent="0.3">
      <c r="B9" s="5">
        <v>6</v>
      </c>
      <c r="C9" s="6" t="s">
        <v>12</v>
      </c>
      <c r="D9" s="5">
        <v>83</v>
      </c>
      <c r="E9" s="5">
        <v>10</v>
      </c>
      <c r="F9" s="5">
        <v>15</v>
      </c>
      <c r="H9" s="5">
        <v>6</v>
      </c>
      <c r="I9" s="6" t="s">
        <v>15</v>
      </c>
      <c r="J9" s="5">
        <v>83</v>
      </c>
      <c r="K9" s="5">
        <v>11</v>
      </c>
      <c r="L9" s="5">
        <v>14</v>
      </c>
      <c r="N9" s="5">
        <v>6</v>
      </c>
      <c r="O9" s="6" t="s">
        <v>13</v>
      </c>
      <c r="P9" s="5">
        <v>81</v>
      </c>
      <c r="Q9" s="5">
        <v>9</v>
      </c>
      <c r="R9" s="5">
        <v>16</v>
      </c>
    </row>
    <row r="10" spans="2:18" x14ac:dyDescent="0.3">
      <c r="B10" s="2">
        <v>6</v>
      </c>
      <c r="C10" s="3" t="s">
        <v>10</v>
      </c>
      <c r="D10" s="2">
        <v>83</v>
      </c>
      <c r="E10" s="2">
        <v>10</v>
      </c>
      <c r="F10" s="2">
        <v>15</v>
      </c>
      <c r="H10" s="2">
        <v>7</v>
      </c>
      <c r="I10" s="3" t="s">
        <v>30</v>
      </c>
      <c r="J10" s="2">
        <v>84</v>
      </c>
      <c r="K10" s="2">
        <v>12</v>
      </c>
      <c r="L10" s="2">
        <v>13</v>
      </c>
      <c r="N10" s="2">
        <v>7</v>
      </c>
      <c r="O10" s="3" t="s">
        <v>22</v>
      </c>
      <c r="P10" s="2">
        <v>82</v>
      </c>
      <c r="Q10" s="2">
        <v>10</v>
      </c>
      <c r="R10" s="2">
        <v>15</v>
      </c>
    </row>
    <row r="11" spans="2:18" x14ac:dyDescent="0.3">
      <c r="B11" s="5">
        <v>8</v>
      </c>
      <c r="C11" s="6" t="s">
        <v>19</v>
      </c>
      <c r="D11" s="5">
        <v>84</v>
      </c>
      <c r="E11" s="5">
        <v>11</v>
      </c>
      <c r="F11" s="5">
        <v>14</v>
      </c>
      <c r="H11" s="5">
        <v>8</v>
      </c>
      <c r="I11" s="6" t="s">
        <v>18</v>
      </c>
      <c r="J11" s="5">
        <v>86</v>
      </c>
      <c r="K11" s="5">
        <v>14</v>
      </c>
      <c r="L11" s="5">
        <v>11</v>
      </c>
      <c r="N11" s="5">
        <v>8</v>
      </c>
      <c r="O11" s="6" t="s">
        <v>10</v>
      </c>
      <c r="P11" s="5">
        <v>83</v>
      </c>
      <c r="Q11" s="5">
        <v>11</v>
      </c>
      <c r="R11" s="5">
        <v>14</v>
      </c>
    </row>
    <row r="12" spans="2:18" x14ac:dyDescent="0.3">
      <c r="B12" s="2">
        <v>9</v>
      </c>
      <c r="C12" s="3" t="s">
        <v>16</v>
      </c>
      <c r="D12" s="2">
        <v>88</v>
      </c>
      <c r="E12" s="2">
        <v>15</v>
      </c>
      <c r="F12" s="2">
        <v>10</v>
      </c>
      <c r="H12" s="2">
        <v>9</v>
      </c>
      <c r="I12" s="3" t="s">
        <v>12</v>
      </c>
      <c r="J12" s="2">
        <v>88</v>
      </c>
      <c r="K12" s="2">
        <v>16</v>
      </c>
      <c r="L12" s="2">
        <v>9</v>
      </c>
      <c r="N12" s="2">
        <v>9</v>
      </c>
      <c r="O12" s="3" t="s">
        <v>17</v>
      </c>
      <c r="P12" s="2">
        <v>88</v>
      </c>
      <c r="Q12" s="2">
        <v>16</v>
      </c>
      <c r="R12" s="2">
        <v>9</v>
      </c>
    </row>
    <row r="13" spans="2:18" x14ac:dyDescent="0.3">
      <c r="B13" s="5">
        <v>9</v>
      </c>
      <c r="C13" s="6" t="s">
        <v>18</v>
      </c>
      <c r="D13" s="5">
        <v>88</v>
      </c>
      <c r="E13" s="5">
        <v>15</v>
      </c>
      <c r="F13" s="5">
        <v>10</v>
      </c>
      <c r="H13" s="5">
        <v>9</v>
      </c>
      <c r="I13" s="6" t="s">
        <v>23</v>
      </c>
      <c r="J13" s="5">
        <v>88</v>
      </c>
      <c r="K13" s="5">
        <v>16</v>
      </c>
      <c r="L13" s="5">
        <v>9</v>
      </c>
      <c r="O13" s="10" t="s">
        <v>11</v>
      </c>
    </row>
    <row r="14" spans="2:18" x14ac:dyDescent="0.3">
      <c r="B14" s="2">
        <v>11</v>
      </c>
      <c r="C14" s="3" t="s">
        <v>17</v>
      </c>
      <c r="D14" s="2">
        <v>90</v>
      </c>
      <c r="E14" s="2">
        <v>17</v>
      </c>
      <c r="F14" s="2">
        <v>8</v>
      </c>
      <c r="H14" s="2">
        <v>9</v>
      </c>
      <c r="I14" s="3" t="s">
        <v>24</v>
      </c>
      <c r="J14" s="2">
        <v>88</v>
      </c>
      <c r="K14" s="2">
        <v>16</v>
      </c>
      <c r="L14" s="2">
        <v>9</v>
      </c>
      <c r="O14" s="10" t="s">
        <v>19</v>
      </c>
    </row>
    <row r="15" spans="2:18" x14ac:dyDescent="0.3">
      <c r="B15" s="5">
        <v>12</v>
      </c>
      <c r="C15" s="6" t="s">
        <v>26</v>
      </c>
      <c r="D15" s="5">
        <v>93</v>
      </c>
      <c r="E15" s="5">
        <v>20</v>
      </c>
      <c r="F15" s="5">
        <v>5</v>
      </c>
      <c r="H15" s="5">
        <v>12</v>
      </c>
      <c r="I15" s="6" t="s">
        <v>26</v>
      </c>
      <c r="J15" s="5">
        <v>89</v>
      </c>
      <c r="K15" s="5">
        <v>17</v>
      </c>
      <c r="L15" s="5">
        <v>8</v>
      </c>
      <c r="O15" s="10" t="s">
        <v>27</v>
      </c>
    </row>
    <row r="16" spans="2:18" x14ac:dyDescent="0.3">
      <c r="B16" s="2">
        <v>13</v>
      </c>
      <c r="C16" s="3" t="s">
        <v>30</v>
      </c>
      <c r="D16" s="2">
        <v>96</v>
      </c>
      <c r="E16" s="2">
        <v>23</v>
      </c>
      <c r="F16" s="2">
        <v>2</v>
      </c>
      <c r="H16" s="2">
        <v>13</v>
      </c>
      <c r="I16" s="3" t="s">
        <v>31</v>
      </c>
      <c r="J16" s="2">
        <v>90</v>
      </c>
      <c r="K16" s="2">
        <v>18</v>
      </c>
      <c r="L16" s="2">
        <v>7</v>
      </c>
      <c r="O16" s="10" t="s">
        <v>15</v>
      </c>
    </row>
    <row r="17" spans="3:15" x14ac:dyDescent="0.3">
      <c r="C17" s="10" t="s">
        <v>11</v>
      </c>
      <c r="H17" s="5">
        <v>14</v>
      </c>
      <c r="I17" s="6" t="s">
        <v>21</v>
      </c>
      <c r="J17" s="5">
        <v>91</v>
      </c>
      <c r="K17" s="5">
        <v>19</v>
      </c>
      <c r="L17" s="5">
        <v>6</v>
      </c>
      <c r="O17" s="10" t="s">
        <v>16</v>
      </c>
    </row>
    <row r="18" spans="3:15" x14ac:dyDescent="0.3">
      <c r="C18" s="10" t="s">
        <v>9</v>
      </c>
      <c r="H18" s="2">
        <v>15</v>
      </c>
      <c r="I18" s="3" t="s">
        <v>16</v>
      </c>
      <c r="J18" s="2">
        <v>92</v>
      </c>
      <c r="K18" s="2">
        <v>20</v>
      </c>
      <c r="L18" s="2">
        <v>5</v>
      </c>
      <c r="O18" s="10" t="s">
        <v>33</v>
      </c>
    </row>
    <row r="19" spans="3:15" x14ac:dyDescent="0.3">
      <c r="C19" s="10" t="s">
        <v>27</v>
      </c>
      <c r="I19" s="10" t="s">
        <v>11</v>
      </c>
      <c r="O19" s="10" t="s">
        <v>30</v>
      </c>
    </row>
    <row r="20" spans="3:15" x14ac:dyDescent="0.3">
      <c r="C20" s="10" t="s">
        <v>33</v>
      </c>
      <c r="I20" s="10" t="s">
        <v>19</v>
      </c>
      <c r="O20" s="10" t="s">
        <v>26</v>
      </c>
    </row>
    <row r="21" spans="3:15" x14ac:dyDescent="0.3">
      <c r="C21" s="10" t="s">
        <v>21</v>
      </c>
      <c r="I21" s="10" t="s">
        <v>27</v>
      </c>
      <c r="O21" s="10" t="s">
        <v>21</v>
      </c>
    </row>
    <row r="22" spans="3:15" x14ac:dyDescent="0.3">
      <c r="C22" s="10" t="s">
        <v>23</v>
      </c>
      <c r="I22" s="10" t="s">
        <v>17</v>
      </c>
      <c r="O22" s="10" t="s">
        <v>23</v>
      </c>
    </row>
    <row r="23" spans="3:15" x14ac:dyDescent="0.3">
      <c r="C23" s="10" t="s">
        <v>24</v>
      </c>
      <c r="I23" s="10" t="s">
        <v>33</v>
      </c>
      <c r="O23" s="10" t="s">
        <v>24</v>
      </c>
    </row>
    <row r="24" spans="3:15" x14ac:dyDescent="0.3">
      <c r="C24" s="10" t="s">
        <v>29</v>
      </c>
      <c r="I24" s="10" t="s">
        <v>29</v>
      </c>
      <c r="O24" s="10" t="s">
        <v>29</v>
      </c>
    </row>
    <row r="25" spans="3:15" x14ac:dyDescent="0.3">
      <c r="C25" s="10" t="s">
        <v>20</v>
      </c>
      <c r="I25" s="10" t="s">
        <v>20</v>
      </c>
      <c r="O25" s="10" t="s">
        <v>20</v>
      </c>
    </row>
    <row r="26" spans="3:15" x14ac:dyDescent="0.3">
      <c r="C26" s="10" t="s">
        <v>25</v>
      </c>
      <c r="I26" s="10" t="s">
        <v>25</v>
      </c>
      <c r="O26" s="10" t="s">
        <v>25</v>
      </c>
    </row>
    <row r="27" spans="3:15" x14ac:dyDescent="0.3">
      <c r="C27" s="10" t="s">
        <v>32</v>
      </c>
      <c r="I27" s="10" t="s">
        <v>28</v>
      </c>
      <c r="O27" s="10" t="s">
        <v>32</v>
      </c>
    </row>
    <row r="28" spans="3:15" x14ac:dyDescent="0.3">
      <c r="C28" s="10" t="s">
        <v>31</v>
      </c>
      <c r="I28" s="10" t="s">
        <v>32</v>
      </c>
      <c r="O28" s="10" t="s">
        <v>31</v>
      </c>
    </row>
    <row r="34" spans="2:18" x14ac:dyDescent="0.3">
      <c r="B34" s="16" t="s">
        <v>113</v>
      </c>
      <c r="C34" s="12"/>
      <c r="D34" s="12"/>
      <c r="E34" s="8" t="s">
        <v>94</v>
      </c>
      <c r="F34" s="9">
        <v>73</v>
      </c>
      <c r="H34" s="16" t="s">
        <v>114</v>
      </c>
      <c r="I34" s="12"/>
      <c r="J34" s="12"/>
      <c r="K34" s="8" t="s">
        <v>94</v>
      </c>
      <c r="L34" s="9">
        <v>72</v>
      </c>
      <c r="N34" s="16" t="s">
        <v>115</v>
      </c>
      <c r="O34" s="12"/>
      <c r="P34" s="12"/>
      <c r="Q34" s="8" t="s">
        <v>94</v>
      </c>
      <c r="R34" s="9">
        <v>72</v>
      </c>
    </row>
    <row r="35" spans="2:18" x14ac:dyDescent="0.3">
      <c r="B35" s="1" t="s">
        <v>5</v>
      </c>
      <c r="C35" s="1" t="s">
        <v>98</v>
      </c>
      <c r="D35" s="1" t="s">
        <v>99</v>
      </c>
      <c r="E35" s="1" t="s">
        <v>100</v>
      </c>
      <c r="F35" s="1" t="s">
        <v>101</v>
      </c>
      <c r="H35" s="1" t="s">
        <v>5</v>
      </c>
      <c r="I35" s="1" t="s">
        <v>98</v>
      </c>
      <c r="J35" s="1" t="s">
        <v>99</v>
      </c>
      <c r="K35" s="1" t="s">
        <v>100</v>
      </c>
      <c r="L35" s="1" t="s">
        <v>101</v>
      </c>
      <c r="N35" s="1" t="s">
        <v>5</v>
      </c>
      <c r="O35" s="1" t="s">
        <v>98</v>
      </c>
      <c r="P35" s="1" t="s">
        <v>99</v>
      </c>
      <c r="Q35" s="1" t="s">
        <v>100</v>
      </c>
      <c r="R35" s="1" t="s">
        <v>101</v>
      </c>
    </row>
    <row r="36" spans="2:18" x14ac:dyDescent="0.3">
      <c r="B36" s="2">
        <v>1</v>
      </c>
      <c r="C36" s="3" t="s">
        <v>14</v>
      </c>
      <c r="D36" s="2">
        <v>78</v>
      </c>
      <c r="E36" s="2">
        <v>5</v>
      </c>
      <c r="F36" s="2">
        <v>20</v>
      </c>
      <c r="H36" s="2">
        <v>1</v>
      </c>
      <c r="I36" s="3" t="s">
        <v>14</v>
      </c>
      <c r="J36" s="2">
        <v>80</v>
      </c>
      <c r="K36" s="2">
        <v>8</v>
      </c>
      <c r="L36" s="2">
        <v>17</v>
      </c>
      <c r="N36" s="2">
        <v>1</v>
      </c>
      <c r="O36" s="3" t="s">
        <v>28</v>
      </c>
      <c r="P36" s="2">
        <v>71</v>
      </c>
      <c r="Q36" s="2">
        <v>-1</v>
      </c>
      <c r="R36" s="2">
        <v>26</v>
      </c>
    </row>
    <row r="37" spans="2:18" x14ac:dyDescent="0.3">
      <c r="B37" s="5">
        <v>2</v>
      </c>
      <c r="C37" s="6" t="s">
        <v>13</v>
      </c>
      <c r="D37" s="5">
        <v>79</v>
      </c>
      <c r="E37" s="5">
        <v>6</v>
      </c>
      <c r="F37" s="5">
        <v>19</v>
      </c>
      <c r="H37" s="5">
        <v>2</v>
      </c>
      <c r="I37" s="6" t="s">
        <v>22</v>
      </c>
      <c r="J37" s="5">
        <v>81</v>
      </c>
      <c r="K37" s="5">
        <v>9</v>
      </c>
      <c r="L37" s="5">
        <v>16</v>
      </c>
      <c r="N37" s="5">
        <v>2</v>
      </c>
      <c r="O37" s="6" t="s">
        <v>14</v>
      </c>
      <c r="P37" s="5">
        <v>75</v>
      </c>
      <c r="Q37" s="5">
        <v>3</v>
      </c>
      <c r="R37" s="5">
        <v>22</v>
      </c>
    </row>
    <row r="38" spans="2:18" x14ac:dyDescent="0.3">
      <c r="B38" s="2">
        <v>3</v>
      </c>
      <c r="C38" s="3" t="s">
        <v>12</v>
      </c>
      <c r="D38" s="2">
        <v>80</v>
      </c>
      <c r="E38" s="2">
        <v>7</v>
      </c>
      <c r="F38" s="2">
        <v>18</v>
      </c>
      <c r="H38" s="2">
        <v>3</v>
      </c>
      <c r="I38" s="3" t="s">
        <v>10</v>
      </c>
      <c r="J38" s="2">
        <v>82</v>
      </c>
      <c r="K38" s="2">
        <v>10</v>
      </c>
      <c r="L38" s="2">
        <v>15</v>
      </c>
      <c r="N38" s="2">
        <v>3</v>
      </c>
      <c r="O38" s="3" t="s">
        <v>9</v>
      </c>
      <c r="P38" s="2">
        <v>78</v>
      </c>
      <c r="Q38" s="2">
        <v>6</v>
      </c>
      <c r="R38" s="2">
        <v>19</v>
      </c>
    </row>
    <row r="39" spans="2:18" x14ac:dyDescent="0.3">
      <c r="B39" s="5">
        <v>4</v>
      </c>
      <c r="C39" s="6" t="s">
        <v>28</v>
      </c>
      <c r="D39" s="5">
        <v>81</v>
      </c>
      <c r="E39" s="5">
        <v>8</v>
      </c>
      <c r="F39" s="5">
        <v>17</v>
      </c>
      <c r="H39" s="5">
        <v>4</v>
      </c>
      <c r="I39" s="6" t="s">
        <v>9</v>
      </c>
      <c r="J39" s="5">
        <v>84</v>
      </c>
      <c r="K39" s="5">
        <v>12</v>
      </c>
      <c r="L39" s="5">
        <v>13</v>
      </c>
      <c r="N39" s="5">
        <v>3</v>
      </c>
      <c r="O39" s="6" t="s">
        <v>18</v>
      </c>
      <c r="P39" s="5">
        <v>78</v>
      </c>
      <c r="Q39" s="5">
        <v>6</v>
      </c>
      <c r="R39" s="5">
        <v>19</v>
      </c>
    </row>
    <row r="40" spans="2:18" x14ac:dyDescent="0.3">
      <c r="B40" s="2">
        <v>5</v>
      </c>
      <c r="C40" s="3" t="s">
        <v>10</v>
      </c>
      <c r="D40" s="2">
        <v>82</v>
      </c>
      <c r="E40" s="2">
        <v>9</v>
      </c>
      <c r="F40" s="2">
        <v>16</v>
      </c>
      <c r="H40" s="2">
        <v>4</v>
      </c>
      <c r="I40" s="3" t="s">
        <v>12</v>
      </c>
      <c r="J40" s="2">
        <v>84</v>
      </c>
      <c r="K40" s="2">
        <v>12</v>
      </c>
      <c r="L40" s="2">
        <v>13</v>
      </c>
      <c r="N40" s="2">
        <v>5</v>
      </c>
      <c r="O40" s="3" t="s">
        <v>22</v>
      </c>
      <c r="P40" s="2">
        <v>81</v>
      </c>
      <c r="Q40" s="2">
        <v>9</v>
      </c>
      <c r="R40" s="2">
        <v>16</v>
      </c>
    </row>
    <row r="41" spans="2:18" x14ac:dyDescent="0.3">
      <c r="B41" s="5">
        <v>6</v>
      </c>
      <c r="C41" s="6" t="s">
        <v>17</v>
      </c>
      <c r="D41" s="5">
        <v>83</v>
      </c>
      <c r="E41" s="5">
        <v>10</v>
      </c>
      <c r="F41" s="5">
        <v>15</v>
      </c>
      <c r="H41" s="5">
        <v>6</v>
      </c>
      <c r="I41" s="6" t="s">
        <v>13</v>
      </c>
      <c r="J41" s="5">
        <v>86</v>
      </c>
      <c r="K41" s="5">
        <v>14</v>
      </c>
      <c r="L41" s="5">
        <v>11</v>
      </c>
      <c r="N41" s="5">
        <v>6</v>
      </c>
      <c r="O41" s="6" t="s">
        <v>12</v>
      </c>
      <c r="P41" s="5">
        <v>85</v>
      </c>
      <c r="Q41" s="5">
        <v>13</v>
      </c>
      <c r="R41" s="5">
        <v>12</v>
      </c>
    </row>
    <row r="42" spans="2:18" x14ac:dyDescent="0.3">
      <c r="B42" s="2">
        <v>7</v>
      </c>
      <c r="C42" s="3" t="s">
        <v>18</v>
      </c>
      <c r="D42" s="2">
        <v>84</v>
      </c>
      <c r="E42" s="2">
        <v>11</v>
      </c>
      <c r="F42" s="2">
        <v>14</v>
      </c>
      <c r="H42" s="2">
        <v>6</v>
      </c>
      <c r="I42" s="3" t="s">
        <v>26</v>
      </c>
      <c r="J42" s="2">
        <v>86</v>
      </c>
      <c r="K42" s="2">
        <v>14</v>
      </c>
      <c r="L42" s="2">
        <v>11</v>
      </c>
      <c r="N42" s="2">
        <v>6</v>
      </c>
      <c r="O42" s="3" t="s">
        <v>17</v>
      </c>
      <c r="P42" s="2">
        <v>85</v>
      </c>
      <c r="Q42" s="2">
        <v>13</v>
      </c>
      <c r="R42" s="2">
        <v>12</v>
      </c>
    </row>
    <row r="43" spans="2:18" x14ac:dyDescent="0.3">
      <c r="B43" s="5">
        <v>8</v>
      </c>
      <c r="C43" s="6" t="s">
        <v>19</v>
      </c>
      <c r="D43" s="5">
        <v>85</v>
      </c>
      <c r="E43" s="5">
        <v>12</v>
      </c>
      <c r="F43" s="5">
        <v>13</v>
      </c>
      <c r="H43" s="5">
        <v>8</v>
      </c>
      <c r="I43" s="6" t="s">
        <v>18</v>
      </c>
      <c r="J43" s="5">
        <v>88</v>
      </c>
      <c r="K43" s="5">
        <v>16</v>
      </c>
      <c r="L43" s="5">
        <v>9</v>
      </c>
      <c r="N43" s="5">
        <v>8</v>
      </c>
      <c r="O43" s="6" t="s">
        <v>10</v>
      </c>
      <c r="P43" s="5">
        <v>87</v>
      </c>
      <c r="Q43" s="5">
        <v>15</v>
      </c>
      <c r="R43" s="5">
        <v>10</v>
      </c>
    </row>
    <row r="44" spans="2:18" x14ac:dyDescent="0.3">
      <c r="B44" s="2">
        <v>8</v>
      </c>
      <c r="C44" s="3" t="s">
        <v>26</v>
      </c>
      <c r="D44" s="2">
        <v>85</v>
      </c>
      <c r="E44" s="2">
        <v>12</v>
      </c>
      <c r="F44" s="2">
        <v>13</v>
      </c>
      <c r="H44" s="2">
        <v>9</v>
      </c>
      <c r="I44" s="3" t="s">
        <v>15</v>
      </c>
      <c r="J44" s="2">
        <v>89</v>
      </c>
      <c r="K44" s="2">
        <v>17</v>
      </c>
      <c r="L44" s="2">
        <v>8</v>
      </c>
      <c r="N44" s="2">
        <v>9</v>
      </c>
      <c r="O44" s="3" t="s">
        <v>13</v>
      </c>
      <c r="P44" s="2">
        <v>91</v>
      </c>
      <c r="Q44" s="2">
        <v>19</v>
      </c>
      <c r="R44" s="2">
        <v>6</v>
      </c>
    </row>
    <row r="45" spans="2:18" x14ac:dyDescent="0.3">
      <c r="B45" s="5">
        <v>10</v>
      </c>
      <c r="C45" s="6" t="s">
        <v>22</v>
      </c>
      <c r="D45" s="5">
        <v>86</v>
      </c>
      <c r="E45" s="5">
        <v>13</v>
      </c>
      <c r="F45" s="5">
        <v>12</v>
      </c>
      <c r="H45" s="5">
        <v>10</v>
      </c>
      <c r="I45" s="6" t="s">
        <v>30</v>
      </c>
      <c r="J45" s="5">
        <v>90</v>
      </c>
      <c r="K45" s="5">
        <v>18</v>
      </c>
      <c r="L45" s="5">
        <v>7</v>
      </c>
      <c r="O45" s="10" t="s">
        <v>11</v>
      </c>
    </row>
    <row r="46" spans="2:18" x14ac:dyDescent="0.3">
      <c r="B46" s="2">
        <v>11</v>
      </c>
      <c r="C46" s="3" t="s">
        <v>15</v>
      </c>
      <c r="D46" s="2">
        <v>88</v>
      </c>
      <c r="E46" s="2">
        <v>15</v>
      </c>
      <c r="F46" s="2">
        <v>10</v>
      </c>
      <c r="H46" s="2">
        <v>11</v>
      </c>
      <c r="I46" s="3" t="s">
        <v>24</v>
      </c>
      <c r="J46" s="2">
        <v>91</v>
      </c>
      <c r="K46" s="2">
        <v>19</v>
      </c>
      <c r="L46" s="2">
        <v>6</v>
      </c>
      <c r="O46" s="10" t="s">
        <v>19</v>
      </c>
    </row>
    <row r="47" spans="2:18" x14ac:dyDescent="0.3">
      <c r="B47" s="5">
        <v>12</v>
      </c>
      <c r="C47" s="6" t="s">
        <v>30</v>
      </c>
      <c r="D47" s="5">
        <v>95</v>
      </c>
      <c r="E47" s="5">
        <v>22</v>
      </c>
      <c r="F47" s="5">
        <v>3</v>
      </c>
      <c r="H47" s="5">
        <v>12</v>
      </c>
      <c r="I47" s="6" t="s">
        <v>31</v>
      </c>
      <c r="J47" s="5">
        <v>93</v>
      </c>
      <c r="K47" s="5">
        <v>21</v>
      </c>
      <c r="L47" s="5">
        <v>4</v>
      </c>
      <c r="O47" s="10" t="s">
        <v>27</v>
      </c>
    </row>
    <row r="48" spans="2:18" x14ac:dyDescent="0.3">
      <c r="B48" s="2">
        <v>13</v>
      </c>
      <c r="C48" s="3" t="s">
        <v>16</v>
      </c>
      <c r="D48" s="2">
        <v>96</v>
      </c>
      <c r="E48" s="2">
        <v>23</v>
      </c>
      <c r="F48" s="2">
        <v>2</v>
      </c>
      <c r="H48" s="2">
        <v>13</v>
      </c>
      <c r="I48" s="3" t="s">
        <v>21</v>
      </c>
      <c r="J48" s="2">
        <v>94</v>
      </c>
      <c r="K48" s="2">
        <v>22</v>
      </c>
      <c r="L48" s="2">
        <v>3</v>
      </c>
      <c r="O48" s="10" t="s">
        <v>15</v>
      </c>
    </row>
    <row r="49" spans="3:15" x14ac:dyDescent="0.3">
      <c r="C49" s="10" t="s">
        <v>11</v>
      </c>
      <c r="H49" s="5">
        <v>14</v>
      </c>
      <c r="I49" s="6" t="s">
        <v>16</v>
      </c>
      <c r="J49" s="5">
        <v>97</v>
      </c>
      <c r="K49" s="5">
        <v>25</v>
      </c>
      <c r="L49" s="5">
        <v>0</v>
      </c>
      <c r="O49" s="10" t="s">
        <v>16</v>
      </c>
    </row>
    <row r="50" spans="3:15" x14ac:dyDescent="0.3">
      <c r="C50" s="10" t="s">
        <v>9</v>
      </c>
      <c r="H50" s="2">
        <v>15</v>
      </c>
      <c r="I50" s="3" t="s">
        <v>23</v>
      </c>
      <c r="J50" s="2">
        <v>99</v>
      </c>
      <c r="K50" s="2">
        <v>27</v>
      </c>
      <c r="L50" s="2">
        <v>0</v>
      </c>
      <c r="O50" s="10" t="s">
        <v>33</v>
      </c>
    </row>
    <row r="51" spans="3:15" x14ac:dyDescent="0.3">
      <c r="C51" s="10" t="s">
        <v>27</v>
      </c>
      <c r="I51" s="10" t="s">
        <v>11</v>
      </c>
      <c r="O51" s="10" t="s">
        <v>30</v>
      </c>
    </row>
    <row r="52" spans="3:15" x14ac:dyDescent="0.3">
      <c r="C52" s="10" t="s">
        <v>33</v>
      </c>
      <c r="I52" s="10" t="s">
        <v>19</v>
      </c>
      <c r="O52" s="10" t="s">
        <v>26</v>
      </c>
    </row>
    <row r="53" spans="3:15" x14ac:dyDescent="0.3">
      <c r="C53" s="10" t="s">
        <v>21</v>
      </c>
      <c r="I53" s="10" t="s">
        <v>27</v>
      </c>
      <c r="O53" s="10" t="s">
        <v>21</v>
      </c>
    </row>
    <row r="54" spans="3:15" x14ac:dyDescent="0.3">
      <c r="C54" s="10" t="s">
        <v>23</v>
      </c>
      <c r="I54" s="10" t="s">
        <v>17</v>
      </c>
      <c r="O54" s="10" t="s">
        <v>23</v>
      </c>
    </row>
    <row r="55" spans="3:15" x14ac:dyDescent="0.3">
      <c r="C55" s="10" t="s">
        <v>24</v>
      </c>
      <c r="I55" s="10" t="s">
        <v>33</v>
      </c>
      <c r="O55" s="10" t="s">
        <v>24</v>
      </c>
    </row>
    <row r="56" spans="3:15" x14ac:dyDescent="0.3">
      <c r="C56" s="10" t="s">
        <v>29</v>
      </c>
      <c r="I56" s="10" t="s">
        <v>29</v>
      </c>
      <c r="O56" s="10" t="s">
        <v>29</v>
      </c>
    </row>
    <row r="57" spans="3:15" x14ac:dyDescent="0.3">
      <c r="C57" s="10" t="s">
        <v>20</v>
      </c>
      <c r="I57" s="10" t="s">
        <v>20</v>
      </c>
      <c r="O57" s="10" t="s">
        <v>20</v>
      </c>
    </row>
    <row r="58" spans="3:15" x14ac:dyDescent="0.3">
      <c r="C58" s="10" t="s">
        <v>25</v>
      </c>
      <c r="I58" s="10" t="s">
        <v>25</v>
      </c>
      <c r="O58" s="10" t="s">
        <v>25</v>
      </c>
    </row>
    <row r="59" spans="3:15" x14ac:dyDescent="0.3">
      <c r="C59" s="10" t="s">
        <v>32</v>
      </c>
      <c r="I59" s="10" t="s">
        <v>28</v>
      </c>
      <c r="O59" s="10" t="s">
        <v>32</v>
      </c>
    </row>
    <row r="60" spans="3:15" x14ac:dyDescent="0.3">
      <c r="C60" s="10" t="s">
        <v>31</v>
      </c>
      <c r="I60" s="10" t="s">
        <v>32</v>
      </c>
      <c r="O60" s="10" t="s">
        <v>31</v>
      </c>
    </row>
  </sheetData>
  <mergeCells count="6">
    <mergeCell ref="N2:P2"/>
    <mergeCell ref="H34:J34"/>
    <mergeCell ref="H2:J2"/>
    <mergeCell ref="N34:P34"/>
    <mergeCell ref="B2:D2"/>
    <mergeCell ref="B34:D34"/>
  </mergeCells>
  <hyperlinks>
    <hyperlink ref="B2" r:id="rId1" xr:uid="{00000000-0004-0000-0300-000000000000}"/>
    <hyperlink ref="H2" r:id="rId2" xr:uid="{00000000-0004-0000-0300-000001000000}"/>
    <hyperlink ref="N2" r:id="rId3" xr:uid="{00000000-0004-0000-0300-000002000000}"/>
    <hyperlink ref="B34" r:id="rId4" xr:uid="{00000000-0004-0000-0300-000003000000}"/>
    <hyperlink ref="H34" r:id="rId5" xr:uid="{00000000-0004-0000-0300-000004000000}"/>
    <hyperlink ref="N34" r:id="rId6" xr:uid="{00000000-0004-0000-0300-000005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28"/>
  <sheetViews>
    <sheetView workbookViewId="0"/>
  </sheetViews>
  <sheetFormatPr defaultRowHeight="14.4" x14ac:dyDescent="0.3"/>
  <cols>
    <col min="1" max="1" width="2" customWidth="1"/>
    <col min="2" max="2" width="6" customWidth="1"/>
    <col min="3" max="3" width="26" customWidth="1"/>
    <col min="4" max="4" width="9" customWidth="1"/>
    <col min="5" max="6" width="8" customWidth="1"/>
    <col min="7" max="7" width="2" customWidth="1"/>
    <col min="8" max="8" width="6" customWidth="1"/>
    <col min="9" max="9" width="26" customWidth="1"/>
    <col min="10" max="10" width="9" customWidth="1"/>
    <col min="11" max="12" width="8" customWidth="1"/>
    <col min="13" max="13" width="2" customWidth="1"/>
  </cols>
  <sheetData>
    <row r="2" spans="2:12" x14ac:dyDescent="0.3">
      <c r="B2" s="16" t="s">
        <v>116</v>
      </c>
      <c r="C2" s="12"/>
      <c r="D2" s="12"/>
      <c r="E2" s="8" t="s">
        <v>94</v>
      </c>
      <c r="F2" s="9">
        <v>72</v>
      </c>
      <c r="H2" s="16" t="s">
        <v>117</v>
      </c>
      <c r="I2" s="12"/>
      <c r="J2" s="12"/>
      <c r="K2" s="8" t="s">
        <v>94</v>
      </c>
      <c r="L2" s="9">
        <v>72</v>
      </c>
    </row>
    <row r="3" spans="2:12" x14ac:dyDescent="0.3">
      <c r="B3" s="1" t="s">
        <v>5</v>
      </c>
      <c r="C3" s="1" t="s">
        <v>98</v>
      </c>
      <c r="D3" s="1" t="s">
        <v>99</v>
      </c>
      <c r="E3" s="1" t="s">
        <v>100</v>
      </c>
      <c r="F3" s="1" t="s">
        <v>101</v>
      </c>
      <c r="H3" s="1" t="s">
        <v>5</v>
      </c>
      <c r="I3" s="1" t="s">
        <v>98</v>
      </c>
      <c r="J3" s="1" t="s">
        <v>99</v>
      </c>
      <c r="K3" s="1" t="s">
        <v>100</v>
      </c>
      <c r="L3" s="1" t="s">
        <v>101</v>
      </c>
    </row>
    <row r="4" spans="2:12" x14ac:dyDescent="0.3">
      <c r="B4" s="2">
        <v>1</v>
      </c>
      <c r="C4" s="3" t="s">
        <v>9</v>
      </c>
      <c r="D4" s="2">
        <v>72</v>
      </c>
      <c r="E4" s="2">
        <v>0</v>
      </c>
      <c r="F4" s="2">
        <v>25</v>
      </c>
      <c r="H4" s="2">
        <v>1</v>
      </c>
      <c r="I4" s="3" t="s">
        <v>11</v>
      </c>
      <c r="J4" s="2">
        <v>73</v>
      </c>
      <c r="K4" s="2">
        <v>1</v>
      </c>
      <c r="L4" s="2">
        <v>24</v>
      </c>
    </row>
    <row r="5" spans="2:12" x14ac:dyDescent="0.3">
      <c r="B5" s="5">
        <v>2</v>
      </c>
      <c r="C5" s="6" t="s">
        <v>10</v>
      </c>
      <c r="D5" s="5">
        <v>74</v>
      </c>
      <c r="E5" s="5">
        <v>2</v>
      </c>
      <c r="F5" s="5">
        <v>23</v>
      </c>
      <c r="H5" s="5">
        <v>2</v>
      </c>
      <c r="I5" s="6" t="s">
        <v>9</v>
      </c>
      <c r="J5" s="5">
        <v>74</v>
      </c>
      <c r="K5" s="5">
        <v>2</v>
      </c>
      <c r="L5" s="5">
        <v>23</v>
      </c>
    </row>
    <row r="6" spans="2:12" x14ac:dyDescent="0.3">
      <c r="B6" s="2">
        <v>3</v>
      </c>
      <c r="C6" s="3" t="s">
        <v>29</v>
      </c>
      <c r="D6" s="2">
        <v>77</v>
      </c>
      <c r="E6" s="2">
        <v>5</v>
      </c>
      <c r="F6" s="2">
        <v>20</v>
      </c>
      <c r="H6" s="2">
        <v>2</v>
      </c>
      <c r="I6" s="3" t="s">
        <v>10</v>
      </c>
      <c r="J6" s="2">
        <v>74</v>
      </c>
      <c r="K6" s="2">
        <v>2</v>
      </c>
      <c r="L6" s="2">
        <v>23</v>
      </c>
    </row>
    <row r="7" spans="2:12" x14ac:dyDescent="0.3">
      <c r="B7" s="5">
        <v>4</v>
      </c>
      <c r="C7" s="6" t="s">
        <v>11</v>
      </c>
      <c r="D7" s="5">
        <v>78</v>
      </c>
      <c r="E7" s="5">
        <v>6</v>
      </c>
      <c r="F7" s="5">
        <v>19</v>
      </c>
      <c r="H7" s="5">
        <v>4</v>
      </c>
      <c r="I7" s="6" t="s">
        <v>13</v>
      </c>
      <c r="J7" s="5">
        <v>77</v>
      </c>
      <c r="K7" s="5">
        <v>5</v>
      </c>
      <c r="L7" s="5">
        <v>20</v>
      </c>
    </row>
    <row r="8" spans="2:12" x14ac:dyDescent="0.3">
      <c r="B8" s="2">
        <v>4</v>
      </c>
      <c r="C8" s="3" t="s">
        <v>18</v>
      </c>
      <c r="D8" s="2">
        <v>78</v>
      </c>
      <c r="E8" s="2">
        <v>6</v>
      </c>
      <c r="F8" s="2">
        <v>19</v>
      </c>
      <c r="H8" s="2">
        <v>5</v>
      </c>
      <c r="I8" s="3" t="s">
        <v>12</v>
      </c>
      <c r="J8" s="2">
        <v>78</v>
      </c>
      <c r="K8" s="2">
        <v>6</v>
      </c>
      <c r="L8" s="2">
        <v>19</v>
      </c>
    </row>
    <row r="9" spans="2:12" x14ac:dyDescent="0.3">
      <c r="B9" s="5">
        <v>6</v>
      </c>
      <c r="C9" s="6" t="s">
        <v>16</v>
      </c>
      <c r="D9" s="5">
        <v>79</v>
      </c>
      <c r="E9" s="5">
        <v>7</v>
      </c>
      <c r="F9" s="5">
        <v>18</v>
      </c>
      <c r="H9" s="5">
        <v>6</v>
      </c>
      <c r="I9" s="6" t="s">
        <v>27</v>
      </c>
      <c r="J9" s="5">
        <v>79</v>
      </c>
      <c r="K9" s="5">
        <v>7</v>
      </c>
      <c r="L9" s="5">
        <v>18</v>
      </c>
    </row>
    <row r="10" spans="2:12" x14ac:dyDescent="0.3">
      <c r="B10" s="2">
        <v>6</v>
      </c>
      <c r="C10" s="3" t="s">
        <v>17</v>
      </c>
      <c r="D10" s="2">
        <v>79</v>
      </c>
      <c r="E10" s="2">
        <v>7</v>
      </c>
      <c r="F10" s="2">
        <v>18</v>
      </c>
      <c r="H10" s="2">
        <v>7</v>
      </c>
      <c r="I10" s="3" t="s">
        <v>22</v>
      </c>
      <c r="J10" s="2">
        <v>80</v>
      </c>
      <c r="K10" s="2">
        <v>8</v>
      </c>
      <c r="L10" s="2">
        <v>17</v>
      </c>
    </row>
    <row r="11" spans="2:12" x14ac:dyDescent="0.3">
      <c r="B11" s="5">
        <v>6</v>
      </c>
      <c r="C11" s="6" t="s">
        <v>28</v>
      </c>
      <c r="D11" s="5">
        <v>79</v>
      </c>
      <c r="E11" s="5">
        <v>7</v>
      </c>
      <c r="F11" s="5">
        <v>18</v>
      </c>
      <c r="H11" s="5">
        <v>8</v>
      </c>
      <c r="I11" s="6" t="s">
        <v>20</v>
      </c>
      <c r="J11" s="5">
        <v>81</v>
      </c>
      <c r="K11" s="5">
        <v>9</v>
      </c>
      <c r="L11" s="5">
        <v>16</v>
      </c>
    </row>
    <row r="12" spans="2:12" x14ac:dyDescent="0.3">
      <c r="B12" s="2">
        <v>9</v>
      </c>
      <c r="C12" s="3" t="s">
        <v>22</v>
      </c>
      <c r="D12" s="2">
        <v>80</v>
      </c>
      <c r="E12" s="2">
        <v>8</v>
      </c>
      <c r="F12" s="2">
        <v>17</v>
      </c>
      <c r="H12" s="2">
        <v>9</v>
      </c>
      <c r="I12" s="3" t="s">
        <v>16</v>
      </c>
      <c r="J12" s="2">
        <v>82</v>
      </c>
      <c r="K12" s="2">
        <v>10</v>
      </c>
      <c r="L12" s="2">
        <v>15</v>
      </c>
    </row>
    <row r="13" spans="2:12" x14ac:dyDescent="0.3">
      <c r="B13" s="5">
        <v>10</v>
      </c>
      <c r="C13" s="6" t="s">
        <v>13</v>
      </c>
      <c r="D13" s="5">
        <v>81</v>
      </c>
      <c r="E13" s="5">
        <v>9</v>
      </c>
      <c r="F13" s="5">
        <v>16</v>
      </c>
      <c r="H13" s="5">
        <v>10</v>
      </c>
      <c r="I13" s="6" t="s">
        <v>15</v>
      </c>
      <c r="J13" s="5">
        <v>83</v>
      </c>
      <c r="K13" s="5">
        <v>11</v>
      </c>
      <c r="L13" s="5">
        <v>14</v>
      </c>
    </row>
    <row r="14" spans="2:12" x14ac:dyDescent="0.3">
      <c r="B14" s="2">
        <v>11</v>
      </c>
      <c r="C14" s="3" t="s">
        <v>23</v>
      </c>
      <c r="D14" s="2">
        <v>84</v>
      </c>
      <c r="E14" s="2">
        <v>12</v>
      </c>
      <c r="F14" s="2">
        <v>13</v>
      </c>
      <c r="H14" s="2">
        <v>11</v>
      </c>
      <c r="I14" s="3" t="s">
        <v>17</v>
      </c>
      <c r="J14" s="2">
        <v>84</v>
      </c>
      <c r="K14" s="2">
        <v>12</v>
      </c>
      <c r="L14" s="2">
        <v>13</v>
      </c>
    </row>
    <row r="15" spans="2:12" x14ac:dyDescent="0.3">
      <c r="B15" s="5">
        <v>12</v>
      </c>
      <c r="C15" s="6" t="s">
        <v>12</v>
      </c>
      <c r="D15" s="5">
        <v>85</v>
      </c>
      <c r="E15" s="5">
        <v>13</v>
      </c>
      <c r="F15" s="5">
        <v>12</v>
      </c>
      <c r="H15" s="5">
        <v>11</v>
      </c>
      <c r="I15" s="6" t="s">
        <v>29</v>
      </c>
      <c r="J15" s="5">
        <v>84</v>
      </c>
      <c r="K15" s="5">
        <v>12</v>
      </c>
      <c r="L15" s="5">
        <v>13</v>
      </c>
    </row>
    <row r="16" spans="2:12" x14ac:dyDescent="0.3">
      <c r="B16" s="2">
        <v>13</v>
      </c>
      <c r="C16" s="3" t="s">
        <v>21</v>
      </c>
      <c r="D16" s="2">
        <v>86</v>
      </c>
      <c r="E16" s="2">
        <v>14</v>
      </c>
      <c r="F16" s="2">
        <v>11</v>
      </c>
      <c r="H16" s="2">
        <v>11</v>
      </c>
      <c r="I16" s="3" t="s">
        <v>18</v>
      </c>
      <c r="J16" s="2">
        <v>84</v>
      </c>
      <c r="K16" s="2">
        <v>12</v>
      </c>
      <c r="L16" s="2">
        <v>13</v>
      </c>
    </row>
    <row r="17" spans="2:12" x14ac:dyDescent="0.3">
      <c r="B17" s="5">
        <v>14</v>
      </c>
      <c r="C17" s="6" t="s">
        <v>30</v>
      </c>
      <c r="D17" s="5">
        <v>87</v>
      </c>
      <c r="E17" s="5">
        <v>15</v>
      </c>
      <c r="F17" s="5">
        <v>10</v>
      </c>
      <c r="H17" s="5">
        <v>14</v>
      </c>
      <c r="I17" s="6" t="s">
        <v>30</v>
      </c>
      <c r="J17" s="5">
        <v>86</v>
      </c>
      <c r="K17" s="5">
        <v>14</v>
      </c>
      <c r="L17" s="5">
        <v>11</v>
      </c>
    </row>
    <row r="18" spans="2:12" x14ac:dyDescent="0.3">
      <c r="B18" s="2">
        <v>14</v>
      </c>
      <c r="C18" s="3" t="s">
        <v>24</v>
      </c>
      <c r="D18" s="2">
        <v>87</v>
      </c>
      <c r="E18" s="2">
        <v>15</v>
      </c>
      <c r="F18" s="2">
        <v>10</v>
      </c>
      <c r="H18" s="2">
        <v>15</v>
      </c>
      <c r="I18" s="3" t="s">
        <v>24</v>
      </c>
      <c r="J18" s="2">
        <v>88</v>
      </c>
      <c r="K18" s="2">
        <v>16</v>
      </c>
      <c r="L18" s="2">
        <v>9</v>
      </c>
    </row>
    <row r="19" spans="2:12" x14ac:dyDescent="0.3">
      <c r="B19" s="5">
        <v>16</v>
      </c>
      <c r="C19" s="6" t="s">
        <v>15</v>
      </c>
      <c r="D19" s="5">
        <v>88</v>
      </c>
      <c r="E19" s="5">
        <v>16</v>
      </c>
      <c r="F19" s="5">
        <v>9</v>
      </c>
      <c r="H19" s="5">
        <v>16</v>
      </c>
      <c r="I19" s="6" t="s">
        <v>25</v>
      </c>
      <c r="J19" s="5">
        <v>89</v>
      </c>
      <c r="K19" s="5">
        <v>17</v>
      </c>
      <c r="L19" s="5">
        <v>8</v>
      </c>
    </row>
    <row r="20" spans="2:12" x14ac:dyDescent="0.3">
      <c r="B20" s="2">
        <v>17</v>
      </c>
      <c r="C20" s="3" t="s">
        <v>25</v>
      </c>
      <c r="D20" s="2">
        <v>91</v>
      </c>
      <c r="E20" s="2">
        <v>19</v>
      </c>
      <c r="F20" s="2">
        <v>6</v>
      </c>
      <c r="H20" s="2">
        <v>17</v>
      </c>
      <c r="I20" s="3" t="s">
        <v>23</v>
      </c>
      <c r="J20" s="2">
        <v>95</v>
      </c>
      <c r="K20" s="2">
        <v>23</v>
      </c>
      <c r="L20" s="2">
        <v>2</v>
      </c>
    </row>
    <row r="21" spans="2:12" x14ac:dyDescent="0.3">
      <c r="B21" s="5">
        <v>18</v>
      </c>
      <c r="C21" s="6" t="s">
        <v>20</v>
      </c>
      <c r="D21" s="5">
        <v>92</v>
      </c>
      <c r="E21" s="5">
        <v>20</v>
      </c>
      <c r="F21" s="5">
        <v>5</v>
      </c>
      <c r="I21" s="10" t="s">
        <v>14</v>
      </c>
    </row>
    <row r="22" spans="2:12" x14ac:dyDescent="0.3">
      <c r="B22" s="2">
        <v>19</v>
      </c>
      <c r="C22" s="3" t="s">
        <v>27</v>
      </c>
      <c r="D22" s="2">
        <v>94</v>
      </c>
      <c r="E22" s="2">
        <v>22</v>
      </c>
      <c r="F22" s="2">
        <v>3</v>
      </c>
      <c r="I22" s="10" t="s">
        <v>19</v>
      </c>
    </row>
    <row r="23" spans="2:12" x14ac:dyDescent="0.3">
      <c r="C23" s="10" t="s">
        <v>14</v>
      </c>
      <c r="I23" s="10" t="s">
        <v>33</v>
      </c>
    </row>
    <row r="24" spans="2:12" x14ac:dyDescent="0.3">
      <c r="C24" s="10" t="s">
        <v>19</v>
      </c>
      <c r="I24" s="10" t="s">
        <v>26</v>
      </c>
    </row>
    <row r="25" spans="2:12" x14ac:dyDescent="0.3">
      <c r="C25" s="10" t="s">
        <v>33</v>
      </c>
      <c r="I25" s="10" t="s">
        <v>21</v>
      </c>
    </row>
    <row r="26" spans="2:12" x14ac:dyDescent="0.3">
      <c r="C26" s="10" t="s">
        <v>26</v>
      </c>
      <c r="I26" s="10" t="s">
        <v>28</v>
      </c>
    </row>
    <row r="27" spans="2:12" x14ac:dyDescent="0.3">
      <c r="C27" s="10" t="s">
        <v>32</v>
      </c>
      <c r="I27" s="10" t="s">
        <v>32</v>
      </c>
    </row>
    <row r="28" spans="2:12" x14ac:dyDescent="0.3">
      <c r="C28" s="10" t="s">
        <v>31</v>
      </c>
      <c r="I28" s="10" t="s">
        <v>31</v>
      </c>
    </row>
  </sheetData>
  <mergeCells count="2">
    <mergeCell ref="B2:D2"/>
    <mergeCell ref="H2:J2"/>
  </mergeCells>
  <hyperlinks>
    <hyperlink ref="B2" r:id="rId1" xr:uid="{00000000-0004-0000-0400-000000000000}"/>
    <hyperlink ref="H2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61"/>
  <sheetViews>
    <sheetView workbookViewId="0"/>
  </sheetViews>
  <sheetFormatPr defaultRowHeight="14.4" x14ac:dyDescent="0.3"/>
  <cols>
    <col min="1" max="1" width="2" customWidth="1"/>
    <col min="2" max="2" width="6" customWidth="1"/>
    <col min="3" max="3" width="26" customWidth="1"/>
    <col min="4" max="4" width="9" customWidth="1"/>
    <col min="5" max="6" width="8" customWidth="1"/>
    <col min="7" max="7" width="2" customWidth="1"/>
    <col min="8" max="8" width="6" customWidth="1"/>
    <col min="9" max="9" width="26" customWidth="1"/>
    <col min="10" max="10" width="9" customWidth="1"/>
    <col min="11" max="12" width="8" customWidth="1"/>
    <col min="13" max="13" width="2" customWidth="1"/>
    <col min="14" max="14" width="6" customWidth="1"/>
    <col min="15" max="15" width="26" customWidth="1"/>
    <col min="16" max="16" width="9" customWidth="1"/>
    <col min="17" max="18" width="8" customWidth="1"/>
    <col min="19" max="19" width="2" customWidth="1"/>
    <col min="20" max="20" width="6" customWidth="1"/>
    <col min="21" max="21" width="26" customWidth="1"/>
    <col min="22" max="22" width="9" customWidth="1"/>
    <col min="23" max="24" width="8" customWidth="1"/>
    <col min="25" max="25" width="2" customWidth="1"/>
  </cols>
  <sheetData>
    <row r="1" spans="2:24" x14ac:dyDescent="0.3">
      <c r="B1" s="17" t="s">
        <v>118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2:24" x14ac:dyDescent="0.3">
      <c r="B2" s="16" t="s">
        <v>119</v>
      </c>
      <c r="C2" s="12"/>
      <c r="D2" s="12"/>
      <c r="E2" s="8" t="s">
        <v>94</v>
      </c>
      <c r="F2" s="9">
        <v>72</v>
      </c>
      <c r="H2" s="16" t="s">
        <v>120</v>
      </c>
      <c r="I2" s="12"/>
      <c r="J2" s="12"/>
      <c r="K2" s="8" t="s">
        <v>94</v>
      </c>
      <c r="L2" s="9">
        <v>72</v>
      </c>
      <c r="N2" s="16" t="s">
        <v>121</v>
      </c>
      <c r="O2" s="12"/>
      <c r="P2" s="12"/>
      <c r="Q2" s="8" t="s">
        <v>94</v>
      </c>
      <c r="R2" s="9">
        <v>72</v>
      </c>
      <c r="T2" s="16" t="s">
        <v>122</v>
      </c>
      <c r="U2" s="12"/>
      <c r="V2" s="12"/>
      <c r="W2" s="8" t="s">
        <v>94</v>
      </c>
      <c r="X2" s="9">
        <v>72</v>
      </c>
    </row>
    <row r="3" spans="2:24" x14ac:dyDescent="0.3">
      <c r="B3" s="1" t="s">
        <v>5</v>
      </c>
      <c r="C3" s="1" t="s">
        <v>98</v>
      </c>
      <c r="D3" s="1" t="s">
        <v>99</v>
      </c>
      <c r="E3" s="1" t="s">
        <v>100</v>
      </c>
      <c r="F3" s="1" t="s">
        <v>101</v>
      </c>
      <c r="H3" s="1" t="s">
        <v>5</v>
      </c>
      <c r="I3" s="1" t="s">
        <v>98</v>
      </c>
      <c r="J3" s="1" t="s">
        <v>99</v>
      </c>
      <c r="K3" s="1" t="s">
        <v>100</v>
      </c>
      <c r="L3" s="1" t="s">
        <v>101</v>
      </c>
      <c r="N3" s="1" t="s">
        <v>5</v>
      </c>
      <c r="O3" s="1" t="s">
        <v>98</v>
      </c>
      <c r="P3" s="1" t="s">
        <v>99</v>
      </c>
      <c r="Q3" s="1" t="s">
        <v>100</v>
      </c>
      <c r="R3" s="1" t="s">
        <v>101</v>
      </c>
      <c r="T3" s="1" t="s">
        <v>5</v>
      </c>
      <c r="U3" s="1" t="s">
        <v>98</v>
      </c>
      <c r="V3" s="1" t="s">
        <v>99</v>
      </c>
      <c r="W3" s="1" t="s">
        <v>100</v>
      </c>
      <c r="X3" s="1" t="s">
        <v>101</v>
      </c>
    </row>
    <row r="4" spans="2:24" x14ac:dyDescent="0.3">
      <c r="B4" s="2">
        <v>1</v>
      </c>
      <c r="C4" s="3" t="s">
        <v>28</v>
      </c>
      <c r="D4" s="2">
        <v>74</v>
      </c>
      <c r="E4" s="2">
        <v>2</v>
      </c>
      <c r="F4" s="2">
        <v>23</v>
      </c>
      <c r="H4" s="2">
        <v>1</v>
      </c>
      <c r="I4" s="3" t="s">
        <v>28</v>
      </c>
      <c r="J4" s="2">
        <v>72</v>
      </c>
      <c r="K4" s="2">
        <v>0</v>
      </c>
      <c r="L4" s="2">
        <v>25</v>
      </c>
      <c r="N4" s="2">
        <v>1</v>
      </c>
      <c r="O4" s="3" t="s">
        <v>9</v>
      </c>
      <c r="P4" s="2">
        <v>74</v>
      </c>
      <c r="Q4" s="2">
        <v>2</v>
      </c>
      <c r="R4" s="2">
        <v>23</v>
      </c>
      <c r="T4" s="2">
        <v>1</v>
      </c>
      <c r="U4" s="3" t="s">
        <v>9</v>
      </c>
      <c r="V4" s="2">
        <v>79</v>
      </c>
      <c r="W4" s="2">
        <v>7</v>
      </c>
      <c r="X4" s="2">
        <v>18</v>
      </c>
    </row>
    <row r="5" spans="2:24" x14ac:dyDescent="0.3">
      <c r="B5" s="5">
        <v>2</v>
      </c>
      <c r="C5" s="6" t="s">
        <v>19</v>
      </c>
      <c r="D5" s="5">
        <v>75</v>
      </c>
      <c r="E5" s="5">
        <v>3</v>
      </c>
      <c r="F5" s="5">
        <v>22</v>
      </c>
      <c r="H5" s="5">
        <v>2</v>
      </c>
      <c r="I5" s="6" t="s">
        <v>13</v>
      </c>
      <c r="J5" s="5">
        <v>78</v>
      </c>
      <c r="K5" s="5">
        <v>6</v>
      </c>
      <c r="L5" s="5">
        <v>19</v>
      </c>
      <c r="N5" s="5">
        <v>2</v>
      </c>
      <c r="O5" s="6" t="s">
        <v>12</v>
      </c>
      <c r="P5" s="5">
        <v>79</v>
      </c>
      <c r="Q5" s="5">
        <v>7</v>
      </c>
      <c r="R5" s="5">
        <v>18</v>
      </c>
      <c r="T5" s="5">
        <v>2</v>
      </c>
      <c r="U5" s="6" t="s">
        <v>12</v>
      </c>
      <c r="V5" s="5">
        <v>80</v>
      </c>
      <c r="W5" s="5">
        <v>8</v>
      </c>
      <c r="X5" s="5">
        <v>17</v>
      </c>
    </row>
    <row r="6" spans="2:24" x14ac:dyDescent="0.3">
      <c r="B6" s="2">
        <v>3</v>
      </c>
      <c r="C6" s="3" t="s">
        <v>10</v>
      </c>
      <c r="D6" s="2">
        <v>76</v>
      </c>
      <c r="E6" s="2">
        <v>4</v>
      </c>
      <c r="F6" s="2">
        <v>21</v>
      </c>
      <c r="H6" s="2">
        <v>3</v>
      </c>
      <c r="I6" s="3" t="s">
        <v>15</v>
      </c>
      <c r="J6" s="2">
        <v>79</v>
      </c>
      <c r="K6" s="2">
        <v>7</v>
      </c>
      <c r="L6" s="2">
        <v>18</v>
      </c>
      <c r="N6" s="2">
        <v>3</v>
      </c>
      <c r="O6" s="3" t="s">
        <v>23</v>
      </c>
      <c r="P6" s="2">
        <v>82</v>
      </c>
      <c r="Q6" s="2">
        <v>10</v>
      </c>
      <c r="R6" s="2">
        <v>15</v>
      </c>
      <c r="T6" s="2">
        <v>3</v>
      </c>
      <c r="U6" s="3" t="s">
        <v>23</v>
      </c>
      <c r="V6" s="2">
        <v>84</v>
      </c>
      <c r="W6" s="2">
        <v>12</v>
      </c>
      <c r="X6" s="2">
        <v>13</v>
      </c>
    </row>
    <row r="7" spans="2:24" x14ac:dyDescent="0.3">
      <c r="B7" s="5">
        <v>4</v>
      </c>
      <c r="C7" s="6" t="s">
        <v>13</v>
      </c>
      <c r="D7" s="5">
        <v>80</v>
      </c>
      <c r="E7" s="5">
        <v>8</v>
      </c>
      <c r="F7" s="5">
        <v>17</v>
      </c>
      <c r="H7" s="5">
        <v>4</v>
      </c>
      <c r="I7" s="6" t="s">
        <v>10</v>
      </c>
      <c r="J7" s="5">
        <v>80</v>
      </c>
      <c r="K7" s="5">
        <v>8</v>
      </c>
      <c r="L7" s="5">
        <v>17</v>
      </c>
      <c r="N7" s="5">
        <v>4</v>
      </c>
      <c r="O7" s="6" t="s">
        <v>18</v>
      </c>
      <c r="P7" s="5">
        <v>84</v>
      </c>
      <c r="Q7" s="5">
        <v>12</v>
      </c>
      <c r="R7" s="5">
        <v>13</v>
      </c>
      <c r="T7" s="5">
        <v>3</v>
      </c>
      <c r="U7" s="6" t="s">
        <v>18</v>
      </c>
      <c r="V7" s="5">
        <v>84</v>
      </c>
      <c r="W7" s="5">
        <v>12</v>
      </c>
      <c r="X7" s="5">
        <v>13</v>
      </c>
    </row>
    <row r="8" spans="2:24" x14ac:dyDescent="0.3">
      <c r="B8" s="2">
        <v>5</v>
      </c>
      <c r="C8" s="3" t="s">
        <v>14</v>
      </c>
      <c r="D8" s="2">
        <v>83</v>
      </c>
      <c r="E8" s="2">
        <v>11</v>
      </c>
      <c r="F8" s="2">
        <v>14</v>
      </c>
      <c r="H8" s="2">
        <v>5</v>
      </c>
      <c r="I8" s="3" t="s">
        <v>14</v>
      </c>
      <c r="J8" s="2">
        <v>83</v>
      </c>
      <c r="K8" s="2">
        <v>11</v>
      </c>
      <c r="L8" s="2">
        <v>14</v>
      </c>
      <c r="N8" s="2">
        <v>5</v>
      </c>
      <c r="O8" s="3" t="s">
        <v>16</v>
      </c>
      <c r="P8" s="2">
        <v>85</v>
      </c>
      <c r="Q8" s="2">
        <v>13</v>
      </c>
      <c r="R8" s="2">
        <v>12</v>
      </c>
      <c r="T8" s="2">
        <v>5</v>
      </c>
      <c r="U8" s="3" t="s">
        <v>16</v>
      </c>
      <c r="V8" s="2">
        <v>85</v>
      </c>
      <c r="W8" s="2">
        <v>13</v>
      </c>
      <c r="X8" s="2">
        <v>12</v>
      </c>
    </row>
    <row r="9" spans="2:24" x14ac:dyDescent="0.3">
      <c r="B9" s="5">
        <v>6</v>
      </c>
      <c r="C9" s="6" t="s">
        <v>24</v>
      </c>
      <c r="D9" s="5">
        <v>89</v>
      </c>
      <c r="E9" s="5">
        <v>17</v>
      </c>
      <c r="F9" s="5">
        <v>8</v>
      </c>
      <c r="H9" s="5">
        <v>6</v>
      </c>
      <c r="I9" s="6" t="s">
        <v>19</v>
      </c>
      <c r="J9" s="5">
        <v>85</v>
      </c>
      <c r="K9" s="5">
        <v>13</v>
      </c>
      <c r="L9" s="5">
        <v>12</v>
      </c>
      <c r="O9" s="10" t="s">
        <v>22</v>
      </c>
      <c r="U9" s="10" t="s">
        <v>22</v>
      </c>
    </row>
    <row r="10" spans="2:24" x14ac:dyDescent="0.3">
      <c r="B10" s="2">
        <v>7</v>
      </c>
      <c r="C10" s="3" t="s">
        <v>15</v>
      </c>
      <c r="D10" s="2">
        <v>91</v>
      </c>
      <c r="E10" s="2">
        <v>19</v>
      </c>
      <c r="F10" s="2">
        <v>6</v>
      </c>
      <c r="H10" s="2">
        <v>6</v>
      </c>
      <c r="I10" s="3" t="s">
        <v>17</v>
      </c>
      <c r="J10" s="2">
        <v>85</v>
      </c>
      <c r="K10" s="2">
        <v>13</v>
      </c>
      <c r="L10" s="2">
        <v>12</v>
      </c>
      <c r="O10" s="10" t="s">
        <v>14</v>
      </c>
      <c r="U10" s="10" t="s">
        <v>14</v>
      </c>
    </row>
    <row r="11" spans="2:24" x14ac:dyDescent="0.3">
      <c r="B11" s="5">
        <v>8</v>
      </c>
      <c r="C11" s="6" t="s">
        <v>17</v>
      </c>
      <c r="D11" s="5">
        <v>93</v>
      </c>
      <c r="E11" s="5">
        <v>21</v>
      </c>
      <c r="F11" s="5">
        <v>4</v>
      </c>
      <c r="H11" s="5">
        <v>8</v>
      </c>
      <c r="I11" s="6" t="s">
        <v>24</v>
      </c>
      <c r="J11" s="5">
        <v>89</v>
      </c>
      <c r="K11" s="5">
        <v>17</v>
      </c>
      <c r="L11" s="5">
        <v>8</v>
      </c>
      <c r="O11" s="10" t="s">
        <v>13</v>
      </c>
      <c r="U11" s="10" t="s">
        <v>13</v>
      </c>
    </row>
    <row r="12" spans="2:24" x14ac:dyDescent="0.3">
      <c r="C12" s="10" t="s">
        <v>22</v>
      </c>
      <c r="I12" s="10" t="s">
        <v>22</v>
      </c>
      <c r="O12" s="10" t="s">
        <v>11</v>
      </c>
      <c r="U12" s="10" t="s">
        <v>11</v>
      </c>
    </row>
    <row r="13" spans="2:24" x14ac:dyDescent="0.3">
      <c r="C13" s="10" t="s">
        <v>11</v>
      </c>
      <c r="I13" s="10" t="s">
        <v>11</v>
      </c>
      <c r="O13" s="10" t="s">
        <v>10</v>
      </c>
      <c r="U13" s="10" t="s">
        <v>10</v>
      </c>
    </row>
    <row r="14" spans="2:24" x14ac:dyDescent="0.3">
      <c r="C14" s="10" t="s">
        <v>9</v>
      </c>
      <c r="I14" s="10" t="s">
        <v>9</v>
      </c>
      <c r="O14" s="10" t="s">
        <v>19</v>
      </c>
      <c r="U14" s="10" t="s">
        <v>19</v>
      </c>
    </row>
    <row r="15" spans="2:24" x14ac:dyDescent="0.3">
      <c r="C15" s="10" t="s">
        <v>12</v>
      </c>
      <c r="I15" s="10" t="s">
        <v>12</v>
      </c>
      <c r="O15" s="10" t="s">
        <v>27</v>
      </c>
      <c r="U15" s="10" t="s">
        <v>27</v>
      </c>
    </row>
    <row r="16" spans="2:24" x14ac:dyDescent="0.3">
      <c r="C16" s="10" t="s">
        <v>27</v>
      </c>
      <c r="I16" s="10" t="s">
        <v>27</v>
      </c>
      <c r="O16" s="10" t="s">
        <v>15</v>
      </c>
      <c r="U16" s="10" t="s">
        <v>15</v>
      </c>
    </row>
    <row r="17" spans="3:21" x14ac:dyDescent="0.3">
      <c r="C17" s="10" t="s">
        <v>16</v>
      </c>
      <c r="I17" s="10" t="s">
        <v>16</v>
      </c>
      <c r="O17" s="10" t="s">
        <v>17</v>
      </c>
      <c r="U17" s="10" t="s">
        <v>17</v>
      </c>
    </row>
    <row r="18" spans="3:21" x14ac:dyDescent="0.3">
      <c r="C18" s="10" t="s">
        <v>33</v>
      </c>
      <c r="I18" s="10" t="s">
        <v>33</v>
      </c>
      <c r="O18" s="10" t="s">
        <v>33</v>
      </c>
      <c r="U18" s="10" t="s">
        <v>33</v>
      </c>
    </row>
    <row r="19" spans="3:21" x14ac:dyDescent="0.3">
      <c r="C19" s="10" t="s">
        <v>30</v>
      </c>
      <c r="I19" s="10" t="s">
        <v>30</v>
      </c>
      <c r="O19" s="10" t="s">
        <v>30</v>
      </c>
      <c r="U19" s="10" t="s">
        <v>30</v>
      </c>
    </row>
    <row r="20" spans="3:21" x14ac:dyDescent="0.3">
      <c r="C20" s="10" t="s">
        <v>26</v>
      </c>
      <c r="I20" s="10" t="s">
        <v>26</v>
      </c>
      <c r="O20" s="10" t="s">
        <v>26</v>
      </c>
      <c r="U20" s="10" t="s">
        <v>26</v>
      </c>
    </row>
    <row r="21" spans="3:21" x14ac:dyDescent="0.3">
      <c r="C21" s="10" t="s">
        <v>21</v>
      </c>
      <c r="I21" s="10" t="s">
        <v>21</v>
      </c>
      <c r="O21" s="10" t="s">
        <v>21</v>
      </c>
      <c r="U21" s="10" t="s">
        <v>21</v>
      </c>
    </row>
    <row r="22" spans="3:21" x14ac:dyDescent="0.3">
      <c r="C22" s="10" t="s">
        <v>23</v>
      </c>
      <c r="I22" s="10" t="s">
        <v>23</v>
      </c>
      <c r="O22" s="10" t="s">
        <v>24</v>
      </c>
      <c r="U22" s="10" t="s">
        <v>24</v>
      </c>
    </row>
    <row r="23" spans="3:21" x14ac:dyDescent="0.3">
      <c r="C23" s="10" t="s">
        <v>29</v>
      </c>
      <c r="I23" s="10" t="s">
        <v>29</v>
      </c>
      <c r="O23" s="10" t="s">
        <v>29</v>
      </c>
      <c r="U23" s="10" t="s">
        <v>29</v>
      </c>
    </row>
    <row r="24" spans="3:21" x14ac:dyDescent="0.3">
      <c r="C24" s="10" t="s">
        <v>18</v>
      </c>
      <c r="I24" s="10" t="s">
        <v>18</v>
      </c>
      <c r="O24" s="10" t="s">
        <v>20</v>
      </c>
      <c r="U24" s="10" t="s">
        <v>20</v>
      </c>
    </row>
    <row r="25" spans="3:21" x14ac:dyDescent="0.3">
      <c r="C25" s="10" t="s">
        <v>20</v>
      </c>
      <c r="I25" s="10" t="s">
        <v>20</v>
      </c>
      <c r="O25" s="10" t="s">
        <v>25</v>
      </c>
      <c r="U25" s="10" t="s">
        <v>25</v>
      </c>
    </row>
    <row r="26" spans="3:21" x14ac:dyDescent="0.3">
      <c r="C26" s="10" t="s">
        <v>25</v>
      </c>
      <c r="I26" s="10" t="s">
        <v>25</v>
      </c>
      <c r="O26" s="10" t="s">
        <v>28</v>
      </c>
      <c r="U26" s="10" t="s">
        <v>28</v>
      </c>
    </row>
    <row r="27" spans="3:21" x14ac:dyDescent="0.3">
      <c r="C27" s="10" t="s">
        <v>32</v>
      </c>
      <c r="I27" s="10" t="s">
        <v>32</v>
      </c>
      <c r="O27" s="10" t="s">
        <v>32</v>
      </c>
      <c r="U27" s="10" t="s">
        <v>32</v>
      </c>
    </row>
    <row r="28" spans="3:21" x14ac:dyDescent="0.3">
      <c r="C28" s="10" t="s">
        <v>31</v>
      </c>
      <c r="I28" s="10" t="s">
        <v>31</v>
      </c>
      <c r="O28" s="10" t="s">
        <v>31</v>
      </c>
      <c r="U28" s="10" t="s">
        <v>31</v>
      </c>
    </row>
    <row r="35" spans="2:12" x14ac:dyDescent="0.3">
      <c r="B35" s="16" t="s">
        <v>123</v>
      </c>
      <c r="C35" s="12"/>
      <c r="D35" s="12"/>
      <c r="E35" s="8" t="s">
        <v>94</v>
      </c>
      <c r="F35" s="9">
        <v>72</v>
      </c>
      <c r="H35" s="16" t="s">
        <v>124</v>
      </c>
      <c r="I35" s="12"/>
      <c r="J35" s="12"/>
      <c r="K35" s="8" t="s">
        <v>94</v>
      </c>
      <c r="L35" s="9">
        <v>72</v>
      </c>
    </row>
    <row r="36" spans="2:12" x14ac:dyDescent="0.3">
      <c r="B36" s="1" t="s">
        <v>5</v>
      </c>
      <c r="C36" s="1" t="s">
        <v>98</v>
      </c>
      <c r="D36" s="1" t="s">
        <v>99</v>
      </c>
      <c r="E36" s="1" t="s">
        <v>100</v>
      </c>
      <c r="F36" s="1" t="s">
        <v>101</v>
      </c>
      <c r="H36" s="1" t="s">
        <v>5</v>
      </c>
      <c r="I36" s="1" t="s">
        <v>98</v>
      </c>
      <c r="J36" s="1" t="s">
        <v>99</v>
      </c>
      <c r="K36" s="1" t="s">
        <v>100</v>
      </c>
      <c r="L36" s="1" t="s">
        <v>101</v>
      </c>
    </row>
    <row r="37" spans="2:12" x14ac:dyDescent="0.3">
      <c r="B37" s="2">
        <v>1</v>
      </c>
      <c r="C37" s="3" t="s">
        <v>11</v>
      </c>
      <c r="D37" s="2">
        <v>77</v>
      </c>
      <c r="E37" s="2">
        <v>5</v>
      </c>
      <c r="F37" s="2">
        <v>20</v>
      </c>
      <c r="H37" s="2">
        <v>1</v>
      </c>
      <c r="I37" s="3" t="s">
        <v>11</v>
      </c>
      <c r="J37" s="2">
        <v>77</v>
      </c>
      <c r="K37" s="2">
        <v>5</v>
      </c>
      <c r="L37" s="2">
        <v>20</v>
      </c>
    </row>
    <row r="38" spans="2:12" x14ac:dyDescent="0.3">
      <c r="B38" s="5">
        <v>2</v>
      </c>
      <c r="C38" s="6" t="s">
        <v>29</v>
      </c>
      <c r="D38" s="5">
        <v>85</v>
      </c>
      <c r="E38" s="5">
        <v>13</v>
      </c>
      <c r="F38" s="5">
        <v>12</v>
      </c>
      <c r="H38" s="5">
        <v>2</v>
      </c>
      <c r="I38" s="6" t="s">
        <v>27</v>
      </c>
      <c r="J38" s="5">
        <v>82</v>
      </c>
      <c r="K38" s="5">
        <v>10</v>
      </c>
      <c r="L38" s="5">
        <v>15</v>
      </c>
    </row>
    <row r="39" spans="2:12" x14ac:dyDescent="0.3">
      <c r="B39" s="2">
        <v>3</v>
      </c>
      <c r="C39" s="3" t="s">
        <v>27</v>
      </c>
      <c r="D39" s="2">
        <v>87</v>
      </c>
      <c r="E39" s="2">
        <v>15</v>
      </c>
      <c r="F39" s="2">
        <v>10</v>
      </c>
      <c r="H39" s="2">
        <v>2</v>
      </c>
      <c r="I39" s="3" t="s">
        <v>29</v>
      </c>
      <c r="J39" s="2">
        <v>82</v>
      </c>
      <c r="K39" s="2">
        <v>10</v>
      </c>
      <c r="L39" s="2">
        <v>15</v>
      </c>
    </row>
    <row r="40" spans="2:12" x14ac:dyDescent="0.3">
      <c r="C40" s="10" t="s">
        <v>22</v>
      </c>
      <c r="I40" s="10" t="s">
        <v>22</v>
      </c>
    </row>
    <row r="41" spans="2:12" x14ac:dyDescent="0.3">
      <c r="C41" s="10" t="s">
        <v>14</v>
      </c>
      <c r="I41" s="10" t="s">
        <v>14</v>
      </c>
    </row>
    <row r="42" spans="2:12" x14ac:dyDescent="0.3">
      <c r="C42" s="10" t="s">
        <v>13</v>
      </c>
      <c r="I42" s="10" t="s">
        <v>13</v>
      </c>
    </row>
    <row r="43" spans="2:12" x14ac:dyDescent="0.3">
      <c r="C43" s="10" t="s">
        <v>9</v>
      </c>
      <c r="I43" s="10" t="s">
        <v>9</v>
      </c>
    </row>
    <row r="44" spans="2:12" x14ac:dyDescent="0.3">
      <c r="C44" s="10" t="s">
        <v>12</v>
      </c>
      <c r="I44" s="10" t="s">
        <v>12</v>
      </c>
    </row>
    <row r="45" spans="2:12" x14ac:dyDescent="0.3">
      <c r="C45" s="10" t="s">
        <v>10</v>
      </c>
      <c r="I45" s="10" t="s">
        <v>10</v>
      </c>
    </row>
    <row r="46" spans="2:12" x14ac:dyDescent="0.3">
      <c r="C46" s="10" t="s">
        <v>19</v>
      </c>
      <c r="I46" s="10" t="s">
        <v>19</v>
      </c>
    </row>
    <row r="47" spans="2:12" x14ac:dyDescent="0.3">
      <c r="C47" s="10" t="s">
        <v>15</v>
      </c>
      <c r="I47" s="10" t="s">
        <v>15</v>
      </c>
    </row>
    <row r="48" spans="2:12" x14ac:dyDescent="0.3">
      <c r="C48" s="10" t="s">
        <v>16</v>
      </c>
      <c r="I48" s="10" t="s">
        <v>16</v>
      </c>
    </row>
    <row r="49" spans="3:9" x14ac:dyDescent="0.3">
      <c r="C49" s="10" t="s">
        <v>17</v>
      </c>
      <c r="I49" s="10" t="s">
        <v>17</v>
      </c>
    </row>
    <row r="50" spans="3:9" x14ac:dyDescent="0.3">
      <c r="C50" s="10" t="s">
        <v>33</v>
      </c>
      <c r="I50" s="10" t="s">
        <v>33</v>
      </c>
    </row>
    <row r="51" spans="3:9" x14ac:dyDescent="0.3">
      <c r="C51" s="10" t="s">
        <v>30</v>
      </c>
      <c r="I51" s="10" t="s">
        <v>30</v>
      </c>
    </row>
    <row r="52" spans="3:9" x14ac:dyDescent="0.3">
      <c r="C52" s="10" t="s">
        <v>26</v>
      </c>
      <c r="I52" s="10" t="s">
        <v>26</v>
      </c>
    </row>
    <row r="53" spans="3:9" x14ac:dyDescent="0.3">
      <c r="C53" s="10" t="s">
        <v>21</v>
      </c>
      <c r="I53" s="10" t="s">
        <v>21</v>
      </c>
    </row>
    <row r="54" spans="3:9" x14ac:dyDescent="0.3">
      <c r="C54" s="10" t="s">
        <v>23</v>
      </c>
      <c r="I54" s="10" t="s">
        <v>23</v>
      </c>
    </row>
    <row r="55" spans="3:9" x14ac:dyDescent="0.3">
      <c r="C55" s="10" t="s">
        <v>24</v>
      </c>
      <c r="I55" s="10" t="s">
        <v>24</v>
      </c>
    </row>
    <row r="56" spans="3:9" x14ac:dyDescent="0.3">
      <c r="C56" s="10" t="s">
        <v>18</v>
      </c>
      <c r="I56" s="10" t="s">
        <v>18</v>
      </c>
    </row>
    <row r="57" spans="3:9" x14ac:dyDescent="0.3">
      <c r="C57" s="10" t="s">
        <v>20</v>
      </c>
      <c r="I57" s="10" t="s">
        <v>20</v>
      </c>
    </row>
    <row r="58" spans="3:9" x14ac:dyDescent="0.3">
      <c r="C58" s="10" t="s">
        <v>25</v>
      </c>
      <c r="I58" s="10" t="s">
        <v>25</v>
      </c>
    </row>
    <row r="59" spans="3:9" x14ac:dyDescent="0.3">
      <c r="C59" s="10" t="s">
        <v>28</v>
      </c>
      <c r="I59" s="10" t="s">
        <v>28</v>
      </c>
    </row>
    <row r="60" spans="3:9" x14ac:dyDescent="0.3">
      <c r="C60" s="10" t="s">
        <v>32</v>
      </c>
      <c r="I60" s="10" t="s">
        <v>32</v>
      </c>
    </row>
    <row r="61" spans="3:9" x14ac:dyDescent="0.3">
      <c r="C61" s="10" t="s">
        <v>31</v>
      </c>
      <c r="I61" s="10" t="s">
        <v>31</v>
      </c>
    </row>
  </sheetData>
  <mergeCells count="7">
    <mergeCell ref="T2:V2"/>
    <mergeCell ref="N2:P2"/>
    <mergeCell ref="B35:D35"/>
    <mergeCell ref="B1:M1"/>
    <mergeCell ref="H35:J35"/>
    <mergeCell ref="H2:J2"/>
    <mergeCell ref="B2:D2"/>
  </mergeCells>
  <hyperlinks>
    <hyperlink ref="B2" r:id="rId1" xr:uid="{00000000-0004-0000-0500-000000000000}"/>
    <hyperlink ref="H2" r:id="rId2" xr:uid="{00000000-0004-0000-0500-000001000000}"/>
    <hyperlink ref="N2" r:id="rId3" xr:uid="{00000000-0004-0000-0500-000002000000}"/>
    <hyperlink ref="T2" r:id="rId4" xr:uid="{00000000-0004-0000-0500-000003000000}"/>
    <hyperlink ref="B35" r:id="rId5" xr:uid="{00000000-0004-0000-0500-000004000000}"/>
    <hyperlink ref="H35" r:id="rId6" xr:uid="{00000000-0004-0000-0500-000005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Jogadores PJA 2026</vt:lpstr>
      <vt:lpstr>Ranking 2026</vt:lpstr>
      <vt:lpstr>RESULTADOS DT 2026</vt:lpstr>
      <vt:lpstr>RESULTADOS AQUAP 2026</vt:lpstr>
      <vt:lpstr>RESULTADOS PJA 2026 EXCUS</vt:lpstr>
      <vt:lpstr>Greatgolf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Sousa</cp:lastModifiedBy>
  <dcterms:created xsi:type="dcterms:W3CDTF">2026-05-26T11:59:47Z</dcterms:created>
  <dcterms:modified xsi:type="dcterms:W3CDTF">2026-05-26T12:11:44Z</dcterms:modified>
</cp:coreProperties>
</file>