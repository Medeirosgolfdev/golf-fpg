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Sub 12" sheetId="2" state="visible" r:id="rId2"/>
    <sheet xmlns:r="http://schemas.openxmlformats.org/officeDocument/2006/relationships" name="Sub 14" sheetId="3" state="visible" r:id="rId3"/>
    <sheet xmlns:r="http://schemas.openxmlformats.org/officeDocument/2006/relationships" name="Sub 16" sheetId="4" state="visible" r:id="rId4"/>
    <sheet xmlns:r="http://schemas.openxmlformats.org/officeDocument/2006/relationships" name="Sub 23" sheetId="5" state="visible" r:id="rId5"/>
    <sheet xmlns:r="http://schemas.openxmlformats.org/officeDocument/2006/relationships" name="royal_obidos" sheetId="6" state="visible" r:id="rId6"/>
    <sheet xmlns:r="http://schemas.openxmlformats.org/officeDocument/2006/relationships" name="aroeira_fev" sheetId="7" state="visible" r:id="rId7"/>
    <sheet xmlns:r="http://schemas.openxmlformats.org/officeDocument/2006/relationships" name="ribagolfe" sheetId="8" state="visible" r:id="rId8"/>
    <sheet xmlns:r="http://schemas.openxmlformats.org/officeDocument/2006/relationships" name="greatgolf" sheetId="9" state="visible" r:id="rId9"/>
    <sheet xmlns:r="http://schemas.openxmlformats.org/officeDocument/2006/relationships" name="antonio_dantas" sheetId="10" state="visible" r:id="rId10"/>
    <sheet xmlns:r="http://schemas.openxmlformats.org/officeDocument/2006/relationships" name="vale_pisao" sheetId="11" state="visible" r:id="rId11"/>
    <sheet xmlns:r="http://schemas.openxmlformats.org/officeDocument/2006/relationships" name="race_to_dunas" sheetId="12" state="visible" r:id="rId12"/>
    <sheet xmlns:r="http://schemas.openxmlformats.org/officeDocument/2006/relationships" name="troia" sheetId="13" state="visible" r:id="rId13"/>
    <sheet xmlns:r="http://schemas.openxmlformats.org/officeDocument/2006/relationships" name="aroeira_2" sheetId="14" state="visible" r:id="rId14"/>
    <sheet xmlns:r="http://schemas.openxmlformats.org/officeDocument/2006/relationships" name="grande_fin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0563C1"/>
      <u val="single"/>
    </font>
    <font>
      <i val="1"/>
      <color rgb="00C00000"/>
    </font>
    <font>
      <b val="1"/>
    </font>
    <font>
      <b val="1"/>
      <color rgb="00FFFFFF"/>
      <sz val="11"/>
    </font>
    <font>
      <b val="1"/>
      <i val="1"/>
    </font>
    <font>
      <i val="1"/>
      <sz val="10"/>
    </font>
    <font>
      <b val="1"/>
      <i val="1"/>
      <color rgb="00C00000"/>
      <sz val="10"/>
    </font>
    <font>
      <i val="1"/>
      <sz val="8"/>
    </font>
    <font>
      <b val="1"/>
      <color rgb="00FFFFFF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DC2626"/>
        </patternFill>
      </fill>
    </dxf>
    <dxf>
      <fill>
        <patternFill patternType="solid">
          <fgColor rgb="00BFDBFE"/>
        </patternFill>
      </fill>
    </dxf>
    <dxf>
      <font>
        <b val="1"/>
        <color rgb="00FFFFFF"/>
      </font>
      <fill>
        <patternFill patternType="solid">
          <fgColor rgb="0060A5FA"/>
        </patternFill>
      </fill>
    </dxf>
    <dxf>
      <font>
        <b val="1"/>
        <color rgb="00FFFFFF"/>
      </font>
      <fill>
        <patternFill patternType="solid">
          <fgColor rgb="001E3A8A"/>
        </patternFill>
      </fill>
    </dxf>
    <dxf>
      <font>
        <b val="1"/>
        <color rgb="00FFFFFF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scoring.datagolf.pt/pt/Classifications.aspx?ccode=152&amp;tcode=104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scoring.datagolf.pt/pt/Classifications.aspx?ccode=029&amp;tcode=104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coring.datagolf.pt/pt/Classifications.aspx?ccode=191&amp;tcode=100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scoring.datagolf.pt/pt/Classifications.aspx?ccode=935&amp;tcode=102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scoring.datagolf.pt/pt/Classifications.aspx?ccode=038&amp;tcode=106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scoring.datagolf.pt/pt/Classifications.aspx?ccode=125&amp;tcode=103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scoring.datagolf.pt/pt/Classifications.aspx?ccode=192&amp;tcode=1001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scoring.datagolf.pt/pt/Classifications.aspx?ccode=017&amp;tcode=101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scoring.datagolf.pt/pt/Classifications.aspx?ccode=029&amp;tcode=105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scoring.datagolf.pt/pt/Classifications.aspx?ccode=192&amp;tcode=10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1" customWidth="1" min="15" max="15"/>
    <col width="12" customWidth="1" min="16" max="16"/>
  </cols>
  <sheetData>
    <row r="1" ht="26" customHeight="1">
      <c r="A1" s="1" t="inlineStr">
        <is>
          <t>PJA TOUR 2025 — Race to Dunas Ranking</t>
        </is>
      </c>
    </row>
    <row r="2">
      <c r="A2" s="2" t="inlineStr">
        <is>
          <t>Fórmula por ronda: pts = MAX(0, 25 − toPar) × multiplicador (1.0 standard · 1.75 Royal Óbidos · 1.5 Grande Final)</t>
        </is>
      </c>
    </row>
    <row r="3">
      <c r="A3" s="3" t="inlineStr">
        <is>
          <t>Regra 2025: Top-7 melhores torneios regulares contam + Grande Final adicionada separadamente. Vale Pisão D1+D2 contam como 1 torneio só.</t>
        </is>
      </c>
    </row>
    <row r="4">
      <c r="E4" s="4" t="inlineStr">
        <is>
          <t>Royal Óbidos AT&amp;T</t>
        </is>
      </c>
      <c r="F4" s="4" t="inlineStr">
        <is>
          <t>Aroeira Master by Details (Fev)</t>
        </is>
      </c>
      <c r="G4" s="4" t="inlineStr">
        <is>
          <t>Ribagolfe Oaks Masters</t>
        </is>
      </c>
      <c r="H4" s="4" t="inlineStr">
        <is>
          <t>Greatgolf Junior Open w/ Luis Figo Foundation</t>
        </is>
      </c>
      <c r="I4" s="4" t="inlineStr">
        <is>
          <t>PJA António Dantas Classic</t>
        </is>
      </c>
      <c r="J4" s="4" t="inlineStr">
        <is>
          <t>PJA TOUR Vale Pisão</t>
        </is>
      </c>
      <c r="K4" s="4" t="inlineStr">
        <is>
          <t>PJA Race to Dunas</t>
        </is>
      </c>
      <c r="L4" s="4" t="inlineStr">
        <is>
          <t>PJA Tour Troia</t>
        </is>
      </c>
      <c r="M4" s="4" t="inlineStr">
        <is>
          <t>PJA Masters by Details — Aroeira 2</t>
        </is>
      </c>
      <c r="N4" s="4" t="inlineStr">
        <is>
          <t>Soma top 7 torneios</t>
        </is>
      </c>
      <c r="O4" s="4" t="inlineStr">
        <is>
          <t>Grande Final</t>
        </is>
      </c>
      <c r="P4" s="4" t="inlineStr">
        <is>
          <t>Top-7 + GF</t>
        </is>
      </c>
    </row>
    <row r="5">
      <c r="A5" s="5" t="inlineStr">
        <is>
          <t>Pos</t>
        </is>
      </c>
      <c r="B5" s="5" t="inlineStr">
        <is>
          <t>Jogador</t>
        </is>
      </c>
      <c r="C5" s="5" t="inlineStr">
        <is>
          <t>FedCode</t>
        </is>
      </c>
      <c r="D5" s="5" t="inlineStr">
        <is>
          <t>Escalão</t>
        </is>
      </c>
      <c r="E5" s="5" t="inlineStr">
        <is>
          <t>royal_obidos</t>
        </is>
      </c>
      <c r="F5" s="5" t="inlineStr">
        <is>
          <t>aroeira_fev</t>
        </is>
      </c>
      <c r="G5" s="5" t="inlineStr">
        <is>
          <t>ribagolfe</t>
        </is>
      </c>
      <c r="H5" s="5" t="inlineStr">
        <is>
          <t>greatgolf</t>
        </is>
      </c>
      <c r="I5" s="5" t="inlineStr">
        <is>
          <t>antonio_dantas</t>
        </is>
      </c>
      <c r="J5" s="5" t="inlineStr">
        <is>
          <t>vale_pisao</t>
        </is>
      </c>
      <c r="K5" s="5" t="inlineStr">
        <is>
          <t>race_to_dunas</t>
        </is>
      </c>
      <c r="L5" s="5" t="inlineStr">
        <is>
          <t>troia</t>
        </is>
      </c>
      <c r="M5" s="5" t="inlineStr">
        <is>
          <t>aroeira_2</t>
        </is>
      </c>
      <c r="N5" s="5" t="inlineStr">
        <is>
          <t>Top-7</t>
        </is>
      </c>
      <c r="O5" s="5" t="inlineStr">
        <is>
          <t>GF ×1.5</t>
        </is>
      </c>
      <c r="P5" s="6" t="inlineStr">
        <is>
          <t>TOTAL</t>
        </is>
      </c>
    </row>
    <row r="6">
      <c r="A6" s="7">
        <f>RANK(P6,$P$6:$P$45)</f>
        <v/>
      </c>
      <c r="B6" t="inlineStr">
        <is>
          <t>João Maria Ivo de Carvalho</t>
        </is>
      </c>
      <c r="C6" s="8" t="inlineStr">
        <is>
          <t>38334</t>
        </is>
      </c>
      <c r="D6" s="8" t="inlineStr">
        <is>
          <t>Sub 23</t>
        </is>
      </c>
      <c r="E6" s="8">
        <f>'royal_obidos'!AB12</f>
        <v/>
      </c>
      <c r="F6" s="8">
        <f>'aroeira_fev'!AX14</f>
        <v/>
      </c>
      <c r="G6" s="8">
        <f>'ribagolfe'!AX12</f>
        <v/>
      </c>
      <c r="H6" s="8" t="n">
        <v>0</v>
      </c>
      <c r="I6" s="8">
        <f>'antonio_dantas'!AX15</f>
        <v/>
      </c>
      <c r="J6" s="8" t="n">
        <v>0</v>
      </c>
      <c r="K6" s="8">
        <f>'race_to_dunas'!AX18</f>
        <v/>
      </c>
      <c r="L6" s="8" t="n">
        <v>0</v>
      </c>
      <c r="M6" s="8">
        <f>'aroeira_2'!AX12</f>
        <v/>
      </c>
      <c r="N6" s="7">
        <f>IFERROR(LARGE(E6:M6,1),0)+IFERROR(LARGE(E6:M6,2),0)+IFERROR(LARGE(E6:M6,3),0)+IFERROR(LARGE(E6:M6,4),0)+IFERROR(LARGE(E6:M6,5),0)+IFERROR(LARGE(E6:M6,6),0)+IFERROR(LARGE(E6:M6,7),0)</f>
        <v/>
      </c>
      <c r="O6" s="8">
        <f>'grande_final'!AX12</f>
        <v/>
      </c>
      <c r="P6" s="9">
        <f>N6+O6</f>
        <v/>
      </c>
    </row>
    <row r="7">
      <c r="A7" s="7">
        <f>RANK(P7,$P$6:$P$45)</f>
        <v/>
      </c>
      <c r="B7" t="inlineStr">
        <is>
          <t>Santiago Dias</t>
        </is>
      </c>
      <c r="C7" s="8" t="inlineStr">
        <is>
          <t>42908</t>
        </is>
      </c>
      <c r="D7" s="8" t="inlineStr">
        <is>
          <t>Sub 14</t>
        </is>
      </c>
      <c r="E7" s="8">
        <f>'royal_obidos'!AB13</f>
        <v/>
      </c>
      <c r="F7" s="8" t="n">
        <v>0</v>
      </c>
      <c r="G7" s="8" t="n">
        <v>0</v>
      </c>
      <c r="H7" s="8">
        <f>'greatgolf'!AX15</f>
        <v/>
      </c>
      <c r="I7" s="8" t="n">
        <v>0</v>
      </c>
      <c r="J7" s="8" t="n">
        <v>0</v>
      </c>
      <c r="K7" s="8" t="n">
        <v>0</v>
      </c>
      <c r="L7" s="8">
        <f>'troia'!AX13</f>
        <v/>
      </c>
      <c r="M7" s="8" t="n">
        <v>0</v>
      </c>
      <c r="N7" s="7">
        <f>IFERROR(LARGE(E7:M7,1),0)+IFERROR(LARGE(E7:M7,2),0)+IFERROR(LARGE(E7:M7,3),0)+IFERROR(LARGE(E7:M7,4),0)+IFERROR(LARGE(E7:M7,5),0)+IFERROR(LARGE(E7:M7,6),0)+IFERROR(LARGE(E7:M7,7),0)</f>
        <v/>
      </c>
      <c r="O7" s="8" t="n">
        <v>0</v>
      </c>
      <c r="P7" s="9">
        <f>N7+O7</f>
        <v/>
      </c>
    </row>
    <row r="8">
      <c r="A8" s="7">
        <f>RANK(P8,$P$6:$P$45)</f>
        <v/>
      </c>
      <c r="B8" t="inlineStr">
        <is>
          <t>João Setúbal</t>
        </is>
      </c>
      <c r="C8" s="8" t="inlineStr">
        <is>
          <t>43732</t>
        </is>
      </c>
      <c r="D8" s="8" t="inlineStr">
        <is>
          <t>Sub 14</t>
        </is>
      </c>
      <c r="E8" s="8">
        <f>'royal_obidos'!AB14</f>
        <v/>
      </c>
      <c r="F8" s="8" t="n">
        <v>0</v>
      </c>
      <c r="G8" s="8" t="n">
        <v>0</v>
      </c>
      <c r="H8" s="8">
        <f>'greatgolf'!AX17</f>
        <v/>
      </c>
      <c r="I8" s="8">
        <f>'antonio_dantas'!AX13</f>
        <v/>
      </c>
      <c r="J8" s="8" t="n">
        <v>0</v>
      </c>
      <c r="K8" s="8">
        <f>'race_to_dunas'!AX12</f>
        <v/>
      </c>
      <c r="L8" s="8">
        <f>'troia'!AX12</f>
        <v/>
      </c>
      <c r="M8" s="8" t="n">
        <v>0</v>
      </c>
      <c r="N8" s="7">
        <f>IFERROR(LARGE(E8:M8,1),0)+IFERROR(LARGE(E8:M8,2),0)+IFERROR(LARGE(E8:M8,3),0)+IFERROR(LARGE(E8:M8,4),0)+IFERROR(LARGE(E8:M8,5),0)+IFERROR(LARGE(E8:M8,6),0)+IFERROR(LARGE(E8:M8,7),0)</f>
        <v/>
      </c>
      <c r="O8" s="8">
        <f>'grande_final'!AX13</f>
        <v/>
      </c>
      <c r="P8" s="9">
        <f>N8+O8</f>
        <v/>
      </c>
    </row>
    <row r="9">
      <c r="A9" s="7">
        <f>RANK(P9,$P$6:$P$45)</f>
        <v/>
      </c>
      <c r="B9" t="inlineStr">
        <is>
          <t>Clara Trindade</t>
        </is>
      </c>
      <c r="C9" s="8" t="inlineStr">
        <is>
          <t>45812</t>
        </is>
      </c>
      <c r="D9" s="8" t="inlineStr">
        <is>
          <t>Sub 14</t>
        </is>
      </c>
      <c r="E9" s="8">
        <f>'royal_obidos'!AB15</f>
        <v/>
      </c>
      <c r="F9" s="8">
        <f>'aroeira_fev'!AX19</f>
        <v/>
      </c>
      <c r="G9" s="8">
        <f>'ribagolfe'!AX20</f>
        <v/>
      </c>
      <c r="H9" s="8">
        <f>'greatgolf'!AX41</f>
        <v/>
      </c>
      <c r="I9" s="8" t="n">
        <v>0</v>
      </c>
      <c r="J9" s="8" t="n">
        <v>0</v>
      </c>
      <c r="K9" s="8">
        <f>'race_to_dunas'!AX20</f>
        <v/>
      </c>
      <c r="L9" s="8">
        <f>'troia'!AX17</f>
        <v/>
      </c>
      <c r="M9" s="8" t="n">
        <v>0</v>
      </c>
      <c r="N9" s="7">
        <f>IFERROR(LARGE(E9:M9,1),0)+IFERROR(LARGE(E9:M9,2),0)+IFERROR(LARGE(E9:M9,3),0)+IFERROR(LARGE(E9:M9,4),0)+IFERROR(LARGE(E9:M9,5),0)+IFERROR(LARGE(E9:M9,6),0)+IFERROR(LARGE(E9:M9,7),0)</f>
        <v/>
      </c>
      <c r="O9" s="8">
        <f>'grande_final'!AX23</f>
        <v/>
      </c>
      <c r="P9" s="9">
        <f>N9+O9</f>
        <v/>
      </c>
    </row>
    <row r="10">
      <c r="A10" s="7">
        <f>RANK(P10,$P$6:$P$45)</f>
        <v/>
      </c>
      <c r="B10" t="inlineStr">
        <is>
          <t>Miguel Coelho Porfirio</t>
        </is>
      </c>
      <c r="C10" s="8" t="inlineStr">
        <is>
          <t>44160</t>
        </is>
      </c>
      <c r="D10" s="8" t="inlineStr">
        <is>
          <t>Sub 12</t>
        </is>
      </c>
      <c r="E10" s="8">
        <f>'royal_obidos'!AB16</f>
        <v/>
      </c>
      <c r="F10" s="8">
        <f>'aroeira_fev'!AX17</f>
        <v/>
      </c>
      <c r="G10" s="8" t="n">
        <v>0</v>
      </c>
      <c r="H10" s="8">
        <f>'greatgolf'!AX28</f>
        <v/>
      </c>
      <c r="I10" s="8">
        <f>'antonio_dantas'!AX17</f>
        <v/>
      </c>
      <c r="J10" s="8" t="n">
        <v>0</v>
      </c>
      <c r="K10" s="8" t="n">
        <v>0</v>
      </c>
      <c r="L10" s="8" t="n">
        <v>0</v>
      </c>
      <c r="M10" s="8" t="n">
        <v>0</v>
      </c>
      <c r="N10" s="7">
        <f>IFERROR(LARGE(E10:M10,1),0)+IFERROR(LARGE(E10:M10,2),0)+IFERROR(LARGE(E10:M10,3),0)+IFERROR(LARGE(E10:M10,4),0)+IFERROR(LARGE(E10:M10,5),0)+IFERROR(LARGE(E10:M10,6),0)+IFERROR(LARGE(E10:M10,7),0)</f>
        <v/>
      </c>
      <c r="O10" s="8" t="n">
        <v>0</v>
      </c>
      <c r="P10" s="9">
        <f>N10+O10</f>
        <v/>
      </c>
    </row>
    <row r="11">
      <c r="A11" s="7">
        <f>RANK(P11,$P$6:$P$45)</f>
        <v/>
      </c>
      <c r="B11" t="inlineStr">
        <is>
          <t>Henrique Almeida da Silva</t>
        </is>
      </c>
      <c r="C11" s="8" t="inlineStr">
        <is>
          <t>41612</t>
        </is>
      </c>
      <c r="D11" s="8" t="inlineStr">
        <is>
          <t>Sub 16</t>
        </is>
      </c>
      <c r="E11" s="8">
        <f>'royal_obidos'!AB17</f>
        <v/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7">
        <f>IFERROR(LARGE(E11:M11,1),0)+IFERROR(LARGE(E11:M11,2),0)+IFERROR(LARGE(E11:M11,3),0)+IFERROR(LARGE(E11:M11,4),0)+IFERROR(LARGE(E11:M11,5),0)+IFERROR(LARGE(E11:M11,6),0)+IFERROR(LARGE(E11:M11,7),0)</f>
        <v/>
      </c>
      <c r="O11" s="8" t="n">
        <v>0</v>
      </c>
      <c r="P11" s="9">
        <f>N11+O11</f>
        <v/>
      </c>
    </row>
    <row r="12">
      <c r="A12" s="7">
        <f>RANK(P12,$P$6:$P$45)</f>
        <v/>
      </c>
      <c r="B12" t="inlineStr">
        <is>
          <t>Ricardo Castro Ferreira</t>
        </is>
      </c>
      <c r="C12" s="8" t="inlineStr">
        <is>
          <t>49085</t>
        </is>
      </c>
      <c r="D12" s="8" t="inlineStr">
        <is>
          <t>Sub 12</t>
        </is>
      </c>
      <c r="E12" s="8">
        <f>'royal_obidos'!AB18</f>
        <v/>
      </c>
      <c r="F12" s="8">
        <f>'aroeira_fev'!AX13</f>
        <v/>
      </c>
      <c r="G12" s="8">
        <f>'ribagolfe'!AX17</f>
        <v/>
      </c>
      <c r="H12" s="8">
        <f>'greatgolf'!AX22</f>
        <v/>
      </c>
      <c r="I12" s="8">
        <f>'antonio_dantas'!AX12</f>
        <v/>
      </c>
      <c r="J12" s="8">
        <f>'vale_pisao'!AX12</f>
        <v/>
      </c>
      <c r="K12" s="8">
        <f>'race_to_dunas'!AX14</f>
        <v/>
      </c>
      <c r="L12" s="8">
        <f>'troia'!AX25</f>
        <v/>
      </c>
      <c r="M12" s="8">
        <f>'aroeira_2'!AX13</f>
        <v/>
      </c>
      <c r="N12" s="7">
        <f>IFERROR(LARGE(E12:M12,1),0)+IFERROR(LARGE(E12:M12,2),0)+IFERROR(LARGE(E12:M12,3),0)+IFERROR(LARGE(E12:M12,4),0)+IFERROR(LARGE(E12:M12,5),0)+IFERROR(LARGE(E12:M12,6),0)+IFERROR(LARGE(E12:M12,7),0)</f>
        <v/>
      </c>
      <c r="O12" s="8">
        <f>'grande_final'!AX17</f>
        <v/>
      </c>
      <c r="P12" s="9">
        <f>N12+O12</f>
        <v/>
      </c>
    </row>
    <row r="13">
      <c r="A13" s="7">
        <f>RANK(P13,$P$6:$P$45)</f>
        <v/>
      </c>
      <c r="B13" t="inlineStr">
        <is>
          <t>Rafael Gonçales Benesi</t>
        </is>
      </c>
      <c r="C13" s="8" t="inlineStr">
        <is>
          <t>54774</t>
        </is>
      </c>
      <c r="D13" s="8" t="inlineStr">
        <is>
          <t>Sub 14</t>
        </is>
      </c>
      <c r="E13" s="8">
        <f>'royal_obidos'!AB19</f>
        <v/>
      </c>
      <c r="F13" s="8">
        <f>'aroeira_fev'!AX16</f>
        <v/>
      </c>
      <c r="G13" s="8">
        <f>'ribagolfe'!AX13</f>
        <v/>
      </c>
      <c r="H13" s="8" t="n">
        <v>0</v>
      </c>
      <c r="I13" s="8">
        <f>'antonio_dantas'!AX23</f>
        <v/>
      </c>
      <c r="J13" s="8" t="n">
        <v>0</v>
      </c>
      <c r="K13" s="8">
        <f>'race_to_dunas'!AX26</f>
        <v/>
      </c>
      <c r="L13" s="8">
        <f>'troia'!AX27</f>
        <v/>
      </c>
      <c r="M13" s="8">
        <f>'aroeira_2'!AX20</f>
        <v/>
      </c>
      <c r="N13" s="7">
        <f>IFERROR(LARGE(E13:M13,1),0)+IFERROR(LARGE(E13:M13,2),0)+IFERROR(LARGE(E13:M13,3),0)+IFERROR(LARGE(E13:M13,4),0)+IFERROR(LARGE(E13:M13,5),0)+IFERROR(LARGE(E13:M13,6),0)+IFERROR(LARGE(E13:M13,7),0)</f>
        <v/>
      </c>
      <c r="O13" s="8" t="n">
        <v>0</v>
      </c>
      <c r="P13" s="9">
        <f>N13+O13</f>
        <v/>
      </c>
    </row>
    <row r="14">
      <c r="A14" s="7">
        <f>RANK(P14,$P$6:$P$45)</f>
        <v/>
      </c>
      <c r="B14" t="inlineStr">
        <is>
          <t>Pedro Costa Alemão</t>
        </is>
      </c>
      <c r="C14" s="8" t="inlineStr">
        <is>
          <t>46706</t>
        </is>
      </c>
      <c r="D14" s="8" t="inlineStr">
        <is>
          <t>Sub 14</t>
        </is>
      </c>
      <c r="E14" s="8">
        <f>'royal_obidos'!AB20</f>
        <v/>
      </c>
      <c r="F14" s="8">
        <f>'aroeira_fev'!AX15</f>
        <v/>
      </c>
      <c r="G14" s="8">
        <f>'ribagolfe'!AX14</f>
        <v/>
      </c>
      <c r="H14" s="8">
        <f>'greatgolf'!AX13</f>
        <v/>
      </c>
      <c r="I14" s="8">
        <f>'antonio_dantas'!AX24</f>
        <v/>
      </c>
      <c r="J14" s="8" t="n">
        <v>0</v>
      </c>
      <c r="K14" s="8">
        <f>'race_to_dunas'!AX22</f>
        <v/>
      </c>
      <c r="L14" s="8">
        <f>'troia'!AX22</f>
        <v/>
      </c>
      <c r="M14" s="8">
        <f>'aroeira_2'!AX19</f>
        <v/>
      </c>
      <c r="N14" s="7">
        <f>IFERROR(LARGE(E14:M14,1),0)+IFERROR(LARGE(E14:M14,2),0)+IFERROR(LARGE(E14:M14,3),0)+IFERROR(LARGE(E14:M14,4),0)+IFERROR(LARGE(E14:M14,5),0)+IFERROR(LARGE(E14:M14,6),0)+IFERROR(LARGE(E14:M14,7),0)</f>
        <v/>
      </c>
      <c r="O14" s="8">
        <f>'grande_final'!AX21</f>
        <v/>
      </c>
      <c r="P14" s="9">
        <f>N14+O14</f>
        <v/>
      </c>
    </row>
    <row r="15">
      <c r="A15" s="7">
        <f>RANK(P15,$P$6:$P$45)</f>
        <v/>
      </c>
      <c r="B15" t="inlineStr">
        <is>
          <t>Nuno Palmares Jr.</t>
        </is>
      </c>
      <c r="C15" s="8" t="inlineStr">
        <is>
          <t>49124</t>
        </is>
      </c>
      <c r="D15" s="8" t="inlineStr">
        <is>
          <t>Sub 14</t>
        </is>
      </c>
      <c r="E15" s="8">
        <f>'royal_obidos'!AB21</f>
        <v/>
      </c>
      <c r="F15" s="8">
        <f>'aroeira_fev'!AX18</f>
        <v/>
      </c>
      <c r="G15" s="8" t="n">
        <v>0</v>
      </c>
      <c r="H15" s="8">
        <f>'greatgolf'!AX24</f>
        <v/>
      </c>
      <c r="I15" s="8">
        <f>'antonio_dantas'!AX19</f>
        <v/>
      </c>
      <c r="J15" s="8" t="n">
        <v>0</v>
      </c>
      <c r="K15" s="8">
        <f>'race_to_dunas'!AX15</f>
        <v/>
      </c>
      <c r="L15" s="8">
        <f>'troia'!AX15</f>
        <v/>
      </c>
      <c r="M15" s="8">
        <f>'aroeira_2'!AX17</f>
        <v/>
      </c>
      <c r="N15" s="7">
        <f>IFERROR(LARGE(E15:M15,1),0)+IFERROR(LARGE(E15:M15,2),0)+IFERROR(LARGE(E15:M15,3),0)+IFERROR(LARGE(E15:M15,4),0)+IFERROR(LARGE(E15:M15,5),0)+IFERROR(LARGE(E15:M15,6),0)+IFERROR(LARGE(E15:M15,7),0)</f>
        <v/>
      </c>
      <c r="O15" s="8">
        <f>'grande_final'!AX18</f>
        <v/>
      </c>
      <c r="P15" s="9">
        <f>N15+O15</f>
        <v/>
      </c>
    </row>
    <row r="16">
      <c r="A16" s="7">
        <f>RANK(P16,$P$6:$P$45)</f>
        <v/>
      </c>
      <c r="B16" t="inlineStr">
        <is>
          <t>Filipe Pinheiro</t>
        </is>
      </c>
      <c r="C16" s="8" t="inlineStr">
        <is>
          <t>46591</t>
        </is>
      </c>
      <c r="D16" s="8" t="inlineStr">
        <is>
          <t>Sub 14</t>
        </is>
      </c>
      <c r="E16" s="8">
        <f>'royal_obidos'!AB22</f>
        <v/>
      </c>
      <c r="F16" s="8">
        <f>'aroeira_fev'!AX22</f>
        <v/>
      </c>
      <c r="G16" s="8">
        <f>'ribagolfe'!AX18</f>
        <v/>
      </c>
      <c r="H16" s="8">
        <f>'greatgolf'!AX16</f>
        <v/>
      </c>
      <c r="I16" s="8">
        <f>'antonio_dantas'!AX16</f>
        <v/>
      </c>
      <c r="J16" s="8" t="n">
        <v>0</v>
      </c>
      <c r="K16" s="8">
        <f>'race_to_dunas'!AX17</f>
        <v/>
      </c>
      <c r="L16" s="8" t="n">
        <v>0</v>
      </c>
      <c r="M16" s="8" t="n">
        <v>0</v>
      </c>
      <c r="N16" s="7">
        <f>IFERROR(LARGE(E16:M16,1),0)+IFERROR(LARGE(E16:M16,2),0)+IFERROR(LARGE(E16:M16,3),0)+IFERROR(LARGE(E16:M16,4),0)+IFERROR(LARGE(E16:M16,5),0)+IFERROR(LARGE(E16:M16,6),0)+IFERROR(LARGE(E16:M16,7),0)</f>
        <v/>
      </c>
      <c r="O16" s="8" t="n">
        <v>0</v>
      </c>
      <c r="P16" s="9">
        <f>N16+O16</f>
        <v/>
      </c>
    </row>
    <row r="17">
      <c r="A17" s="7">
        <f>RANK(P17,$P$6:$P$45)</f>
        <v/>
      </c>
      <c r="B17" t="inlineStr">
        <is>
          <t>Salvador Ivo de Carvalho</t>
        </is>
      </c>
      <c r="C17" s="8" t="inlineStr">
        <is>
          <t>43968</t>
        </is>
      </c>
      <c r="D17" s="8" t="inlineStr">
        <is>
          <t>Sub 14</t>
        </is>
      </c>
      <c r="E17" s="8">
        <f>'royal_obidos'!AB23</f>
        <v/>
      </c>
      <c r="F17" s="8">
        <f>'aroeira_fev'!AX24</f>
        <v/>
      </c>
      <c r="G17" s="8">
        <f>'ribagolfe'!AX21</f>
        <v/>
      </c>
      <c r="H17" s="8" t="n">
        <v>0</v>
      </c>
      <c r="I17" s="8">
        <f>'antonio_dantas'!AX21</f>
        <v/>
      </c>
      <c r="J17" s="8" t="n">
        <v>0</v>
      </c>
      <c r="K17" s="8">
        <f>'race_to_dunas'!AX25</f>
        <v/>
      </c>
      <c r="L17" s="8">
        <f>'troia'!AX24</f>
        <v/>
      </c>
      <c r="M17" s="8">
        <f>'aroeira_2'!AX21</f>
        <v/>
      </c>
      <c r="N17" s="7">
        <f>IFERROR(LARGE(E17:M17,1),0)+IFERROR(LARGE(E17:M17,2),0)+IFERROR(LARGE(E17:M17,3),0)+IFERROR(LARGE(E17:M17,4),0)+IFERROR(LARGE(E17:M17,5),0)+IFERROR(LARGE(E17:M17,6),0)+IFERROR(LARGE(E17:M17,7),0)</f>
        <v/>
      </c>
      <c r="O17" s="8">
        <f>'grande_final'!AX16</f>
        <v/>
      </c>
      <c r="P17" s="9">
        <f>N17+O17</f>
        <v/>
      </c>
    </row>
    <row r="18">
      <c r="A18" s="7">
        <f>RANK(P18,$P$6:$P$45)</f>
        <v/>
      </c>
      <c r="B18" t="inlineStr">
        <is>
          <t>Martim Sousa de Morais</t>
        </is>
      </c>
      <c r="C18" s="8" t="inlineStr">
        <is>
          <t>41609</t>
        </is>
      </c>
      <c r="D18" s="8" t="inlineStr">
        <is>
          <t>Sub 23</t>
        </is>
      </c>
      <c r="E18" s="8">
        <f>'royal_obidos'!AB24</f>
        <v/>
      </c>
      <c r="F18" s="8">
        <f>'aroeira_fev'!AX25</f>
        <v/>
      </c>
      <c r="G18" s="8">
        <f>'ribagolfe'!AX23</f>
        <v/>
      </c>
      <c r="H18" s="8" t="n">
        <v>0</v>
      </c>
      <c r="I18" s="8">
        <f>'antonio_dantas'!AX30</f>
        <v/>
      </c>
      <c r="J18" s="8" t="n">
        <v>0</v>
      </c>
      <c r="K18" s="8" t="n">
        <v>0</v>
      </c>
      <c r="L18" s="8">
        <f>'troia'!AX26</f>
        <v/>
      </c>
      <c r="M18" s="8">
        <f>'aroeira_2'!AX25</f>
        <v/>
      </c>
      <c r="N18" s="7">
        <f>IFERROR(LARGE(E18:M18,1),0)+IFERROR(LARGE(E18:M18,2),0)+IFERROR(LARGE(E18:M18,3),0)+IFERROR(LARGE(E18:M18,4),0)+IFERROR(LARGE(E18:M18,5),0)+IFERROR(LARGE(E18:M18,6),0)+IFERROR(LARGE(E18:M18,7),0)</f>
        <v/>
      </c>
      <c r="O18" s="8">
        <f>'grande_final'!AX29</f>
        <v/>
      </c>
      <c r="P18" s="9">
        <f>N18+O18</f>
        <v/>
      </c>
    </row>
    <row r="19">
      <c r="A19" s="7">
        <f>RANK(P19,$P$6:$P$45)</f>
        <v/>
      </c>
      <c r="B19" t="inlineStr">
        <is>
          <t>Ryan Dantas</t>
        </is>
      </c>
      <c r="C19" s="8" t="inlineStr">
        <is>
          <t>45439</t>
        </is>
      </c>
      <c r="D19" s="8" t="inlineStr">
        <is>
          <t>Sub 14</t>
        </is>
      </c>
      <c r="E19" s="8">
        <f>'royal_obidos'!AB25</f>
        <v/>
      </c>
      <c r="F19" s="8">
        <f>'aroeira_fev'!AX27</f>
        <v/>
      </c>
      <c r="G19" s="8" t="n">
        <v>0</v>
      </c>
      <c r="H19" s="8">
        <f>'greatgolf'!AX47</f>
        <v/>
      </c>
      <c r="I19" s="8" t="n">
        <v>0</v>
      </c>
      <c r="J19" s="8" t="n">
        <v>0</v>
      </c>
      <c r="K19" s="8" t="n">
        <v>0</v>
      </c>
      <c r="L19" s="8">
        <f>'troia'!AX32</f>
        <v/>
      </c>
      <c r="M19" s="8">
        <f>'aroeira_2'!AX28</f>
        <v/>
      </c>
      <c r="N19" s="7">
        <f>IFERROR(LARGE(E19:M19,1),0)+IFERROR(LARGE(E19:M19,2),0)+IFERROR(LARGE(E19:M19,3),0)+IFERROR(LARGE(E19:M19,4),0)+IFERROR(LARGE(E19:M19,5),0)+IFERROR(LARGE(E19:M19,6),0)+IFERROR(LARGE(E19:M19,7),0)</f>
        <v/>
      </c>
      <c r="O19" s="8" t="n">
        <v>0</v>
      </c>
      <c r="P19" s="9">
        <f>N19+O19</f>
        <v/>
      </c>
    </row>
    <row r="20">
      <c r="A20" s="7">
        <f>RANK(P20,$P$6:$P$45)</f>
        <v/>
      </c>
      <c r="B20" t="inlineStr">
        <is>
          <t>Rodrigo Faria Constantino</t>
        </is>
      </c>
      <c r="C20" s="8" t="inlineStr">
        <is>
          <t>45278</t>
        </is>
      </c>
      <c r="D20" s="8" t="inlineStr">
        <is>
          <t>Sub 23</t>
        </is>
      </c>
      <c r="E20" s="8">
        <f>'royal_obidos'!AB26</f>
        <v/>
      </c>
      <c r="F20" s="8">
        <f>'aroeira_fev'!AX23</f>
        <v/>
      </c>
      <c r="G20" s="8">
        <f>'ribagolfe'!AX16</f>
        <v/>
      </c>
      <c r="H20" s="8" t="n">
        <v>0</v>
      </c>
      <c r="I20" s="8">
        <f>'antonio_dantas'!AX31</f>
        <v/>
      </c>
      <c r="J20" s="8" t="n">
        <v>0</v>
      </c>
      <c r="K20" s="8">
        <f>'race_to_dunas'!AX19</f>
        <v/>
      </c>
      <c r="L20" s="8">
        <f>'troia'!AX21</f>
        <v/>
      </c>
      <c r="M20" s="8">
        <f>'aroeira_2'!AX16</f>
        <v/>
      </c>
      <c r="N20" s="7">
        <f>IFERROR(LARGE(E20:M20,1),0)+IFERROR(LARGE(E20:M20,2),0)+IFERROR(LARGE(E20:M20,3),0)+IFERROR(LARGE(E20:M20,4),0)+IFERROR(LARGE(E20:M20,5),0)+IFERROR(LARGE(E20:M20,6),0)+IFERROR(LARGE(E20:M20,7),0)</f>
        <v/>
      </c>
      <c r="O20" s="8">
        <f>'grande_final'!AX19</f>
        <v/>
      </c>
      <c r="P20" s="9">
        <f>N20+O20</f>
        <v/>
      </c>
    </row>
    <row r="21">
      <c r="A21" s="7">
        <f>RANK(P21,$P$6:$P$45)</f>
        <v/>
      </c>
      <c r="B21" t="inlineStr">
        <is>
          <t>João Rocha</t>
        </is>
      </c>
      <c r="C21" s="8" t="inlineStr">
        <is>
          <t>48297</t>
        </is>
      </c>
      <c r="D21" s="8" t="inlineStr">
        <is>
          <t>Sub 14</t>
        </is>
      </c>
      <c r="E21" s="8">
        <f>'royal_obidos'!AB27</f>
        <v/>
      </c>
      <c r="F21" s="8">
        <f>'aroeira_fev'!AX20</f>
        <v/>
      </c>
      <c r="G21" s="8">
        <f>'ribagolfe'!AX19</f>
        <v/>
      </c>
      <c r="H21" s="8">
        <f>'greatgolf'!AX29</f>
        <v/>
      </c>
      <c r="I21" s="8">
        <f>'antonio_dantas'!AX28</f>
        <v/>
      </c>
      <c r="J21" s="8" t="n">
        <v>0</v>
      </c>
      <c r="K21" s="8">
        <f>'race_to_dunas'!AX23</f>
        <v/>
      </c>
      <c r="L21" s="8">
        <f>'troia'!AX19</f>
        <v/>
      </c>
      <c r="M21" s="8" t="n">
        <v>0</v>
      </c>
      <c r="N21" s="7">
        <f>IFERROR(LARGE(E21:M21,1),0)+IFERROR(LARGE(E21:M21,2),0)+IFERROR(LARGE(E21:M21,3),0)+IFERROR(LARGE(E21:M21,4),0)+IFERROR(LARGE(E21:M21,5),0)+IFERROR(LARGE(E21:M21,6),0)+IFERROR(LARGE(E21:M21,7),0)</f>
        <v/>
      </c>
      <c r="O21" s="8">
        <f>'grande_final'!AX28</f>
        <v/>
      </c>
      <c r="P21" s="9">
        <f>N21+O21</f>
        <v/>
      </c>
    </row>
    <row r="22">
      <c r="A22" s="7">
        <f>RANK(P22,$P$6:$P$45)</f>
        <v/>
      </c>
      <c r="B22" t="inlineStr">
        <is>
          <t>Frederico Almeida da Silva</t>
        </is>
      </c>
      <c r="C22" s="8" t="inlineStr">
        <is>
          <t>41613</t>
        </is>
      </c>
      <c r="D22" s="8" t="inlineStr">
        <is>
          <t>Sub 14</t>
        </is>
      </c>
      <c r="E22" s="8">
        <f>'royal_obidos'!AB28</f>
        <v/>
      </c>
      <c r="F22" s="8">
        <f>'aroeira_fev'!AX21</f>
        <v/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7">
        <f>IFERROR(LARGE(E22:M22,1),0)+IFERROR(LARGE(E22:M22,2),0)+IFERROR(LARGE(E22:M22,3),0)+IFERROR(LARGE(E22:M22,4),0)+IFERROR(LARGE(E22:M22,5),0)+IFERROR(LARGE(E22:M22,6),0)+IFERROR(LARGE(E22:M22,7),0)</f>
        <v/>
      </c>
      <c r="O22" s="8" t="n">
        <v>0</v>
      </c>
      <c r="P22" s="9">
        <f>N22+O22</f>
        <v/>
      </c>
    </row>
    <row r="23">
      <c r="A23" s="7">
        <f>RANK(P23,$P$6:$P$45)</f>
        <v/>
      </c>
      <c r="B23" t="inlineStr">
        <is>
          <t>Manuel Goulartt Medeiros</t>
        </is>
      </c>
      <c r="C23" s="8" t="inlineStr">
        <is>
          <t>52884</t>
        </is>
      </c>
      <c r="D23" s="8" t="inlineStr">
        <is>
          <t>Sub 12</t>
        </is>
      </c>
      <c r="E23" s="8">
        <f>'royal_obidos'!AB29</f>
        <v/>
      </c>
      <c r="F23" s="8">
        <f>'aroeira_fev'!AX26</f>
        <v/>
      </c>
      <c r="G23" s="8">
        <f>'ribagolfe'!AX24</f>
        <v/>
      </c>
      <c r="H23" s="8">
        <f>'greatgolf'!AX39</f>
        <v/>
      </c>
      <c r="I23" s="8" t="n">
        <v>0</v>
      </c>
      <c r="J23" s="8">
        <f>'vale_pisao'!AX18</f>
        <v/>
      </c>
      <c r="K23" s="8">
        <f>'race_to_dunas'!AX27</f>
        <v/>
      </c>
      <c r="L23" s="8">
        <f>'troia'!AX20</f>
        <v/>
      </c>
      <c r="M23" s="8">
        <f>'aroeira_2'!AX26</f>
        <v/>
      </c>
      <c r="N23" s="7">
        <f>IFERROR(LARGE(E23:M23,1),0)+IFERROR(LARGE(E23:M23,2),0)+IFERROR(LARGE(E23:M23,3),0)+IFERROR(LARGE(E23:M23,4),0)+IFERROR(LARGE(E23:M23,5),0)+IFERROR(LARGE(E23:M23,6),0)+IFERROR(LARGE(E23:M23,7),0)</f>
        <v/>
      </c>
      <c r="O23" s="8">
        <f>'grande_final'!AX26</f>
        <v/>
      </c>
      <c r="P23" s="9">
        <f>N23+O23</f>
        <v/>
      </c>
    </row>
    <row r="24">
      <c r="A24" s="7">
        <f>RANK(P24,$P$6:$P$45)</f>
        <v/>
      </c>
      <c r="B24" t="inlineStr">
        <is>
          <t>Luís Pinheiro Jr.</t>
        </is>
      </c>
      <c r="C24" s="8" t="inlineStr">
        <is>
          <t>46590</t>
        </is>
      </c>
      <c r="D24" s="8" t="inlineStr">
        <is>
          <t>Sub 16</t>
        </is>
      </c>
      <c r="E24" s="8">
        <f>'royal_obidos'!AB30</f>
        <v/>
      </c>
      <c r="F24" s="8" t="n">
        <v>0</v>
      </c>
      <c r="G24" s="8" t="n">
        <v>0</v>
      </c>
      <c r="H24" s="8">
        <f>'greatgolf'!AX48</f>
        <v/>
      </c>
      <c r="I24" s="8" t="n">
        <v>0</v>
      </c>
      <c r="J24" s="8" t="n">
        <v>0</v>
      </c>
      <c r="K24" s="8">
        <f>'race_to_dunas'!AX30</f>
        <v/>
      </c>
      <c r="L24" s="8" t="n">
        <v>0</v>
      </c>
      <c r="M24" s="8" t="n">
        <v>0</v>
      </c>
      <c r="N24" s="7">
        <f>IFERROR(LARGE(E24:M24,1),0)+IFERROR(LARGE(E24:M24,2),0)+IFERROR(LARGE(E24:M24,3),0)+IFERROR(LARGE(E24:M24,4),0)+IFERROR(LARGE(E24:M24,5),0)+IFERROR(LARGE(E24:M24,6),0)+IFERROR(LARGE(E24:M24,7),0)</f>
        <v/>
      </c>
      <c r="O24" s="8" t="n">
        <v>0</v>
      </c>
      <c r="P24" s="9">
        <f>N24+O24</f>
        <v/>
      </c>
    </row>
    <row r="25">
      <c r="A25" s="7">
        <f>RANK(P25,$P$6:$P$45)</f>
        <v/>
      </c>
      <c r="B25" t="inlineStr">
        <is>
          <t>Rafaela Pinto</t>
        </is>
      </c>
      <c r="C25" s="8" t="inlineStr">
        <is>
          <t>40390</t>
        </is>
      </c>
      <c r="D25" s="8" t="inlineStr">
        <is>
          <t>Sub 23</t>
        </is>
      </c>
      <c r="E25" s="8" t="n">
        <v>0</v>
      </c>
      <c r="F25" s="8">
        <f>'aroeira_fev'!AX12</f>
        <v/>
      </c>
      <c r="G25" s="8">
        <f>'ribagolfe'!AX15</f>
        <v/>
      </c>
      <c r="H25" s="8">
        <f>'greatgolf'!AX23</f>
        <v/>
      </c>
      <c r="I25" s="8">
        <f>'antonio_dantas'!AX29</f>
        <v/>
      </c>
      <c r="J25" s="8" t="n">
        <v>0</v>
      </c>
      <c r="K25" s="8" t="n">
        <v>0</v>
      </c>
      <c r="L25" s="8" t="n">
        <v>0</v>
      </c>
      <c r="M25" s="8">
        <f>'aroeira_2'!AX24</f>
        <v/>
      </c>
      <c r="N25" s="7">
        <f>IFERROR(LARGE(E25:M25,1),0)+IFERROR(LARGE(E25:M25,2),0)+IFERROR(LARGE(E25:M25,3),0)+IFERROR(LARGE(E25:M25,4),0)+IFERROR(LARGE(E25:M25,5),0)+IFERROR(LARGE(E25:M25,6),0)+IFERROR(LARGE(E25:M25,7),0)</f>
        <v/>
      </c>
      <c r="O25" s="8">
        <f>'grande_final'!AX15</f>
        <v/>
      </c>
      <c r="P25" s="9">
        <f>N25+O25</f>
        <v/>
      </c>
    </row>
    <row r="26">
      <c r="A26" s="7">
        <f>RANK(P26,$P$6:$P$45)</f>
        <v/>
      </c>
      <c r="B26" t="inlineStr">
        <is>
          <t>Tomás Rente</t>
        </is>
      </c>
      <c r="C26" s="8" t="inlineStr">
        <is>
          <t>46311</t>
        </is>
      </c>
      <c r="D26" s="8" t="inlineStr">
        <is>
          <t>Sub 14</t>
        </is>
      </c>
      <c r="E26" s="8" t="n">
        <v>0</v>
      </c>
      <c r="F26" s="8" t="n">
        <v>0</v>
      </c>
      <c r="G26" s="8" t="n">
        <v>0</v>
      </c>
      <c r="H26" s="8">
        <f>'greatgolf'!AX25</f>
        <v/>
      </c>
      <c r="I26" s="8" t="n">
        <v>0</v>
      </c>
      <c r="J26" s="8">
        <f>'vale_pisao'!AX16</f>
        <v/>
      </c>
      <c r="K26" s="8" t="n">
        <v>0</v>
      </c>
      <c r="L26" s="8" t="n">
        <v>0</v>
      </c>
      <c r="M26" s="8" t="n">
        <v>0</v>
      </c>
      <c r="N26" s="7">
        <f>IFERROR(LARGE(E26:M26,1),0)+IFERROR(LARGE(E26:M26,2),0)+IFERROR(LARGE(E26:M26,3),0)+IFERROR(LARGE(E26:M26,4),0)+IFERROR(LARGE(E26:M26,5),0)+IFERROR(LARGE(E26:M26,6),0)+IFERROR(LARGE(E26:M26,7),0)</f>
        <v/>
      </c>
      <c r="O26" s="8" t="n">
        <v>0</v>
      </c>
      <c r="P26" s="9">
        <f>N26+O26</f>
        <v/>
      </c>
    </row>
    <row r="27">
      <c r="A27" s="7">
        <f>RANK(P27,$P$6:$P$45)</f>
        <v/>
      </c>
      <c r="B27" t="inlineStr">
        <is>
          <t>David Filip</t>
        </is>
      </c>
      <c r="C27" s="8" t="inlineStr">
        <is>
          <t>51949</t>
        </is>
      </c>
      <c r="D27" s="8" t="inlineStr">
        <is>
          <t>Sub 12</t>
        </is>
      </c>
      <c r="E27" s="8" t="n">
        <v>0</v>
      </c>
      <c r="F27" s="8" t="n">
        <v>0</v>
      </c>
      <c r="G27" s="8" t="n">
        <v>0</v>
      </c>
      <c r="H27" s="8">
        <f>'greatgolf'!AX27</f>
        <v/>
      </c>
      <c r="I27" s="8">
        <f>'antonio_dantas'!AX22</f>
        <v/>
      </c>
      <c r="J27" s="8" t="n">
        <v>0</v>
      </c>
      <c r="K27" s="8" t="n">
        <v>0</v>
      </c>
      <c r="L27" s="8">
        <f>'troia'!AX23</f>
        <v/>
      </c>
      <c r="M27" s="8">
        <f>'aroeira_2'!AX18</f>
        <v/>
      </c>
      <c r="N27" s="7">
        <f>IFERROR(LARGE(E27:M27,1),0)+IFERROR(LARGE(E27:M27,2),0)+IFERROR(LARGE(E27:M27,3),0)+IFERROR(LARGE(E27:M27,4),0)+IFERROR(LARGE(E27:M27,5),0)+IFERROR(LARGE(E27:M27,6),0)+IFERROR(LARGE(E27:M27,7),0)</f>
        <v/>
      </c>
      <c r="O27" s="8">
        <f>'grande_final'!AX14</f>
        <v/>
      </c>
      <c r="P27" s="9">
        <f>N27+O27</f>
        <v/>
      </c>
    </row>
    <row r="28">
      <c r="A28" s="7">
        <f>RANK(P28,$P$6:$P$45)</f>
        <v/>
      </c>
      <c r="B28" t="inlineStr">
        <is>
          <t>Tomás Lima Pinto</t>
        </is>
      </c>
      <c r="C28" s="8" t="inlineStr">
        <is>
          <t>46037</t>
        </is>
      </c>
      <c r="D28" s="8" t="inlineStr">
        <is>
          <t>Sub 14</t>
        </is>
      </c>
      <c r="E28" s="8" t="n">
        <v>0</v>
      </c>
      <c r="F28" s="8" t="n">
        <v>0</v>
      </c>
      <c r="G28" s="8" t="n">
        <v>0</v>
      </c>
      <c r="H28" s="8">
        <f>'greatgolf'!AX30</f>
        <v/>
      </c>
      <c r="I28" s="8">
        <f>'antonio_dantas'!AX34</f>
        <v/>
      </c>
      <c r="J28" s="8" t="n">
        <v>0</v>
      </c>
      <c r="K28" s="8" t="n">
        <v>0</v>
      </c>
      <c r="L28" s="8">
        <f>'troia'!AX30</f>
        <v/>
      </c>
      <c r="M28" s="8" t="n">
        <v>0</v>
      </c>
      <c r="N28" s="7">
        <f>IFERROR(LARGE(E28:M28,1),0)+IFERROR(LARGE(E28:M28,2),0)+IFERROR(LARGE(E28:M28,3),0)+IFERROR(LARGE(E28:M28,4),0)+IFERROR(LARGE(E28:M28,5),0)+IFERROR(LARGE(E28:M28,6),0)+IFERROR(LARGE(E28:M28,7),0)</f>
        <v/>
      </c>
      <c r="O28" s="8">
        <f>'grande_final'!AX24</f>
        <v/>
      </c>
      <c r="P28" s="9">
        <f>N28+O28</f>
        <v/>
      </c>
    </row>
    <row r="29">
      <c r="A29" s="7">
        <f>RANK(P29,$P$6:$P$45)</f>
        <v/>
      </c>
      <c r="B29" t="inlineStr">
        <is>
          <t>Rodrigo Sousa Correia</t>
        </is>
      </c>
      <c r="C29" s="8" t="inlineStr">
        <is>
          <t>44934</t>
        </is>
      </c>
      <c r="D29" s="8" t="inlineStr">
        <is>
          <t>Sub 14</t>
        </is>
      </c>
      <c r="E29" s="8" t="n">
        <v>0</v>
      </c>
      <c r="F29" s="8" t="n">
        <v>0</v>
      </c>
      <c r="G29" s="8" t="n">
        <v>0</v>
      </c>
      <c r="H29" s="8">
        <f>'greatgolf'!AX32</f>
        <v/>
      </c>
      <c r="I29" s="8">
        <f>'antonio_dantas'!AX26</f>
        <v/>
      </c>
      <c r="J29" s="8" t="n">
        <v>0</v>
      </c>
      <c r="K29" s="8">
        <f>'race_to_dunas'!AX16</f>
        <v/>
      </c>
      <c r="L29" s="8">
        <f>'troia'!AX16</f>
        <v/>
      </c>
      <c r="M29" s="8" t="n">
        <v>0</v>
      </c>
      <c r="N29" s="7">
        <f>IFERROR(LARGE(E29:M29,1),0)+IFERROR(LARGE(E29:M29,2),0)+IFERROR(LARGE(E29:M29,3),0)+IFERROR(LARGE(E29:M29,4),0)+IFERROR(LARGE(E29:M29,5),0)+IFERROR(LARGE(E29:M29,6),0)+IFERROR(LARGE(E29:M29,7),0)</f>
        <v/>
      </c>
      <c r="O29" s="8">
        <f>'grande_final'!AX20</f>
        <v/>
      </c>
      <c r="P29" s="9">
        <f>N29+O29</f>
        <v/>
      </c>
    </row>
    <row r="30">
      <c r="A30" s="7">
        <f>RANK(P30,$P$6:$P$45)</f>
        <v/>
      </c>
      <c r="B30" t="inlineStr">
        <is>
          <t>Sabrina Ribeiro Crisóstomo</t>
        </is>
      </c>
      <c r="C30" s="8" t="inlineStr">
        <is>
          <t>48971</t>
        </is>
      </c>
      <c r="D30" s="8" t="inlineStr">
        <is>
          <t>Sub 12</t>
        </is>
      </c>
      <c r="E30" s="8" t="n">
        <v>0</v>
      </c>
      <c r="F30" s="8" t="n">
        <v>0</v>
      </c>
      <c r="G30" s="8" t="n">
        <v>0</v>
      </c>
      <c r="H30" s="8">
        <f>'greatgolf'!AX33</f>
        <v/>
      </c>
      <c r="I30" s="8">
        <f>'antonio_dantas'!AX18</f>
        <v/>
      </c>
      <c r="J30" s="8" t="n">
        <v>0</v>
      </c>
      <c r="K30" s="8" t="n">
        <v>0</v>
      </c>
      <c r="L30" s="8" t="n">
        <v>0</v>
      </c>
      <c r="M30" s="8" t="n">
        <v>0</v>
      </c>
      <c r="N30" s="7">
        <f>IFERROR(LARGE(E30:M30,1),0)+IFERROR(LARGE(E30:M30,2),0)+IFERROR(LARGE(E30:M30,3),0)+IFERROR(LARGE(E30:M30,4),0)+IFERROR(LARGE(E30:M30,5),0)+IFERROR(LARGE(E30:M30,6),0)+IFERROR(LARGE(E30:M30,7),0)</f>
        <v/>
      </c>
      <c r="O30" s="8" t="n">
        <v>0</v>
      </c>
      <c r="P30" s="9">
        <f>N30+O30</f>
        <v/>
      </c>
    </row>
    <row r="31">
      <c r="A31" s="7">
        <f>RANK(P31,$P$6:$P$45)</f>
        <v/>
      </c>
      <c r="B31" t="inlineStr">
        <is>
          <t>Carlota Braz Gil</t>
        </is>
      </c>
      <c r="C31" s="8" t="inlineStr">
        <is>
          <t>47374</t>
        </is>
      </c>
      <c r="D31" s="8" t="inlineStr">
        <is>
          <t>Sub 14</t>
        </is>
      </c>
      <c r="E31" s="8" t="n">
        <v>0</v>
      </c>
      <c r="F31" s="8" t="n">
        <v>0</v>
      </c>
      <c r="G31" s="8" t="n">
        <v>0</v>
      </c>
      <c r="H31" s="8">
        <f>'greatgolf'!AX42</f>
        <v/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7">
        <f>IFERROR(LARGE(E31:M31,1),0)+IFERROR(LARGE(E31:M31,2),0)+IFERROR(LARGE(E31:M31,3),0)+IFERROR(LARGE(E31:M31,4),0)+IFERROR(LARGE(E31:M31,5),0)+IFERROR(LARGE(E31:M31,6),0)+IFERROR(LARGE(E31:M31,7),0)</f>
        <v/>
      </c>
      <c r="O31" s="8" t="n">
        <v>0</v>
      </c>
      <c r="P31" s="9">
        <f>N31+O31</f>
        <v/>
      </c>
    </row>
    <row r="32">
      <c r="A32" s="7">
        <f>RANK(P32,$P$6:$P$45)</f>
        <v/>
      </c>
      <c r="B32" t="inlineStr">
        <is>
          <t>Ricardo Serpa</t>
        </is>
      </c>
      <c r="C32" s="8" t="inlineStr">
        <is>
          <t>28845</t>
        </is>
      </c>
      <c r="D32" s="8" t="inlineStr">
        <is>
          <t>Sub 23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>
        <f>'antonio_dantas'!AX14</f>
        <v/>
      </c>
      <c r="J32" s="8" t="n">
        <v>0</v>
      </c>
      <c r="K32" s="8" t="n">
        <v>0</v>
      </c>
      <c r="L32" s="8" t="n">
        <v>0</v>
      </c>
      <c r="M32" s="8" t="n">
        <v>0</v>
      </c>
      <c r="N32" s="7">
        <f>IFERROR(LARGE(E32:M32,1),0)+IFERROR(LARGE(E32:M32,2),0)+IFERROR(LARGE(E32:M32,3),0)+IFERROR(LARGE(E32:M32,4),0)+IFERROR(LARGE(E32:M32,5),0)+IFERROR(LARGE(E32:M32,6),0)+IFERROR(LARGE(E32:M32,7),0)</f>
        <v/>
      </c>
      <c r="O32" s="8" t="n">
        <v>0</v>
      </c>
      <c r="P32" s="9">
        <f>N32+O32</f>
        <v/>
      </c>
    </row>
    <row r="33">
      <c r="A33" s="7">
        <f>RANK(P33,$P$6:$P$45)</f>
        <v/>
      </c>
      <c r="B33" t="inlineStr">
        <is>
          <t>Gabriel Fantasia Leite</t>
        </is>
      </c>
      <c r="C33" s="8" t="inlineStr">
        <is>
          <t>33811</t>
        </is>
      </c>
      <c r="D33" s="8" t="inlineStr">
        <is>
          <t>Sub 23</t>
        </is>
      </c>
      <c r="E33" s="8" t="n">
        <v>0</v>
      </c>
      <c r="F33" s="8" t="n">
        <v>0</v>
      </c>
      <c r="G33" s="8" t="n">
        <v>0</v>
      </c>
      <c r="H33" s="8" t="n">
        <v>0</v>
      </c>
      <c r="I33" s="8">
        <f>'antonio_dantas'!AX20</f>
        <v/>
      </c>
      <c r="J33" s="8" t="n">
        <v>0</v>
      </c>
      <c r="K33" s="8" t="n">
        <v>0</v>
      </c>
      <c r="L33" s="8" t="n">
        <v>0</v>
      </c>
      <c r="M33" s="8" t="n">
        <v>0</v>
      </c>
      <c r="N33" s="7">
        <f>IFERROR(LARGE(E33:M33,1),0)+IFERROR(LARGE(E33:M33,2),0)+IFERROR(LARGE(E33:M33,3),0)+IFERROR(LARGE(E33:M33,4),0)+IFERROR(LARGE(E33:M33,5),0)+IFERROR(LARGE(E33:M33,6),0)+IFERROR(LARGE(E33:M33,7),0)</f>
        <v/>
      </c>
      <c r="O33" s="8" t="n">
        <v>0</v>
      </c>
      <c r="P33" s="9">
        <f>N33+O33</f>
        <v/>
      </c>
    </row>
    <row r="34">
      <c r="A34" s="7">
        <f>RANK(P34,$P$6:$P$45)</f>
        <v/>
      </c>
      <c r="B34" t="inlineStr">
        <is>
          <t>Angelina Gao</t>
        </is>
      </c>
      <c r="C34" s="8" t="inlineStr">
        <is>
          <t>51523</t>
        </is>
      </c>
      <c r="D34" s="8" t="inlineStr">
        <is>
          <t>Sub 14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>
        <f>'antonio_dantas'!AX25</f>
        <v/>
      </c>
      <c r="J34" s="8" t="n">
        <v>0</v>
      </c>
      <c r="K34" s="8">
        <f>'race_to_dunas'!AX13</f>
        <v/>
      </c>
      <c r="L34" s="8">
        <f>'troia'!AX28</f>
        <v/>
      </c>
      <c r="M34" s="8" t="n">
        <v>0</v>
      </c>
      <c r="N34" s="7">
        <f>IFERROR(LARGE(E34:M34,1),0)+IFERROR(LARGE(E34:M34,2),0)+IFERROR(LARGE(E34:M34,3),0)+IFERROR(LARGE(E34:M34,4),0)+IFERROR(LARGE(E34:M34,5),0)+IFERROR(LARGE(E34:M34,6),0)+IFERROR(LARGE(E34:M34,7),0)</f>
        <v/>
      </c>
      <c r="O34" s="8" t="n">
        <v>0</v>
      </c>
      <c r="P34" s="9">
        <f>N34+O34</f>
        <v/>
      </c>
    </row>
    <row r="35">
      <c r="A35" s="7">
        <f>RANK(P35,$P$6:$P$45)</f>
        <v/>
      </c>
      <c r="B35" t="inlineStr">
        <is>
          <t>Guo Ziyang</t>
        </is>
      </c>
      <c r="C35" s="8" t="inlineStr">
        <is>
          <t>57904</t>
        </is>
      </c>
      <c r="D35" s="8" t="inlineStr">
        <is>
          <t>Sub 12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>
        <f>'antonio_dantas'!AX27</f>
        <v/>
      </c>
      <c r="J35" s="8">
        <f>'vale_pisao'!AX13</f>
        <v/>
      </c>
      <c r="K35" s="8">
        <f>'race_to_dunas'!AX21</f>
        <v/>
      </c>
      <c r="L35" s="8">
        <f>'troia'!AX18</f>
        <v/>
      </c>
      <c r="M35" s="8">
        <f>'aroeira_2'!AX23</f>
        <v/>
      </c>
      <c r="N35" s="7">
        <f>IFERROR(LARGE(E35:M35,1),0)+IFERROR(LARGE(E35:M35,2),0)+IFERROR(LARGE(E35:M35,3),0)+IFERROR(LARGE(E35:M35,4),0)+IFERROR(LARGE(E35:M35,5),0)+IFERROR(LARGE(E35:M35,6),0)+IFERROR(LARGE(E35:M35,7),0)</f>
        <v/>
      </c>
      <c r="O35" s="8">
        <f>'grande_final'!AX27</f>
        <v/>
      </c>
      <c r="P35" s="9">
        <f>N35+O35</f>
        <v/>
      </c>
    </row>
    <row r="36">
      <c r="A36" s="7">
        <f>RANK(P36,$P$6:$P$45)</f>
        <v/>
      </c>
      <c r="B36" t="inlineStr">
        <is>
          <t>Diogo Sequeira</t>
        </is>
      </c>
      <c r="C36" s="8" t="inlineStr">
        <is>
          <t>56654</t>
        </is>
      </c>
      <c r="D36" s="8" t="inlineStr">
        <is>
          <t>Sub 14</t>
        </is>
      </c>
      <c r="E36" s="8" t="n">
        <v>0</v>
      </c>
      <c r="F36" s="8" t="n">
        <v>0</v>
      </c>
      <c r="G36" s="8" t="n">
        <v>0</v>
      </c>
      <c r="H36" s="8" t="n">
        <v>0</v>
      </c>
      <c r="I36" s="8">
        <f>'antonio_dantas'!AX32</f>
        <v/>
      </c>
      <c r="J36" s="8" t="n">
        <v>0</v>
      </c>
      <c r="K36" s="8">
        <f>'race_to_dunas'!AX28</f>
        <v/>
      </c>
      <c r="L36" s="8">
        <f>'troia'!AX31</f>
        <v/>
      </c>
      <c r="M36" s="8">
        <f>'aroeira_2'!AX22</f>
        <v/>
      </c>
      <c r="N36" s="7">
        <f>IFERROR(LARGE(E36:M36,1),0)+IFERROR(LARGE(E36:M36,2),0)+IFERROR(LARGE(E36:M36,3),0)+IFERROR(LARGE(E36:M36,4),0)+IFERROR(LARGE(E36:M36,5),0)+IFERROR(LARGE(E36:M36,6),0)+IFERROR(LARGE(E36:M36,7),0)</f>
        <v/>
      </c>
      <c r="O36" s="8" t="n">
        <v>0</v>
      </c>
      <c r="P36" s="9">
        <f>N36+O36</f>
        <v/>
      </c>
    </row>
    <row r="37">
      <c r="A37" s="7">
        <f>RANK(P37,$P$6:$P$45)</f>
        <v/>
      </c>
      <c r="B37" t="inlineStr">
        <is>
          <t>William Gao</t>
        </is>
      </c>
      <c r="C37" s="8" t="inlineStr">
        <is>
          <t>51524</t>
        </is>
      </c>
      <c r="D37" s="8" t="inlineStr">
        <is>
          <t>Sub 14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>
        <f>'antonio_dantas'!AX33</f>
        <v/>
      </c>
      <c r="J37" s="8" t="n">
        <v>0</v>
      </c>
      <c r="K37" s="8">
        <f>'race_to_dunas'!AX29</f>
        <v/>
      </c>
      <c r="L37" s="8">
        <f>'troia'!AX33</f>
        <v/>
      </c>
      <c r="M37" s="8" t="n">
        <v>0</v>
      </c>
      <c r="N37" s="7">
        <f>IFERROR(LARGE(E37:M37,1),0)+IFERROR(LARGE(E37:M37,2),0)+IFERROR(LARGE(E37:M37,3),0)+IFERROR(LARGE(E37:M37,4),0)+IFERROR(LARGE(E37:M37,5),0)+IFERROR(LARGE(E37:M37,6),0)+IFERROR(LARGE(E37:M37,7),0)</f>
        <v/>
      </c>
      <c r="O37" s="8" t="n">
        <v>0</v>
      </c>
      <c r="P37" s="9">
        <f>N37+O37</f>
        <v/>
      </c>
    </row>
    <row r="38">
      <c r="A38" s="7">
        <f>RANK(P38,$P$6:$P$45)</f>
        <v/>
      </c>
      <c r="B38" t="inlineStr">
        <is>
          <t>Francisco Carvalho</t>
        </is>
      </c>
      <c r="C38" s="8" t="inlineStr">
        <is>
          <t>52856</t>
        </is>
      </c>
      <c r="D38" s="8" t="inlineStr">
        <is>
          <t>Sub 12</t>
        </is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>
        <f>'vale_pisao'!AX14</f>
        <v/>
      </c>
      <c r="K38" s="8">
        <f>'race_to_dunas'!AX24</f>
        <v/>
      </c>
      <c r="L38" s="8" t="n">
        <v>0</v>
      </c>
      <c r="M38" s="8" t="n">
        <v>0</v>
      </c>
      <c r="N38" s="7">
        <f>IFERROR(LARGE(E38:M38,1),0)+IFERROR(LARGE(E38:M38,2),0)+IFERROR(LARGE(E38:M38,3),0)+IFERROR(LARGE(E38:M38,4),0)+IFERROR(LARGE(E38:M38,5),0)+IFERROR(LARGE(E38:M38,6),0)+IFERROR(LARGE(E38:M38,7),0)</f>
        <v/>
      </c>
      <c r="O38" s="8">
        <f>'grande_final'!AX22</f>
        <v/>
      </c>
      <c r="P38" s="9">
        <f>N38+O38</f>
        <v/>
      </c>
    </row>
    <row r="39">
      <c r="A39" s="7">
        <f>RANK(P39,$P$6:$P$45)</f>
        <v/>
      </c>
      <c r="B39" t="inlineStr">
        <is>
          <t>André Castro Mendes</t>
        </is>
      </c>
      <c r="C39" s="8" t="inlineStr">
        <is>
          <t>55056</t>
        </is>
      </c>
      <c r="D39" s="8" t="inlineStr">
        <is>
          <t>Sub 23</t>
        </is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>
        <f>'troia'!AX14</f>
        <v/>
      </c>
      <c r="M39" s="8">
        <f>'aroeira_2'!AX27</f>
        <v/>
      </c>
      <c r="N39" s="7">
        <f>IFERROR(LARGE(E39:M39,1),0)+IFERROR(LARGE(E39:M39,2),0)+IFERROR(LARGE(E39:M39,3),0)+IFERROR(LARGE(E39:M39,4),0)+IFERROR(LARGE(E39:M39,5),0)+IFERROR(LARGE(E39:M39,6),0)+IFERROR(LARGE(E39:M39,7),0)</f>
        <v/>
      </c>
      <c r="O39" s="8">
        <f>'grande_final'!AX25</f>
        <v/>
      </c>
      <c r="P39" s="9">
        <f>N39+O39</f>
        <v/>
      </c>
    </row>
    <row r="40">
      <c r="A40" s="7">
        <f>RANK(P40,$P$6:$P$45)</f>
        <v/>
      </c>
      <c r="B40" t="inlineStr">
        <is>
          <t>Madalena Figueiredo</t>
        </is>
      </c>
      <c r="C40" s="8" t="inlineStr">
        <is>
          <t>52011</t>
        </is>
      </c>
      <c r="D40" s="8" t="inlineStr">
        <is>
          <t>Sub 16</t>
        </is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>
        <f>'troia'!AX29</f>
        <v/>
      </c>
      <c r="M40" s="8" t="n">
        <v>0</v>
      </c>
      <c r="N40" s="7">
        <f>IFERROR(LARGE(E40:M40,1),0)+IFERROR(LARGE(E40:M40,2),0)+IFERROR(LARGE(E40:M40,3),0)+IFERROR(LARGE(E40:M40,4),0)+IFERROR(LARGE(E40:M40,5),0)+IFERROR(LARGE(E40:M40,6),0)+IFERROR(LARGE(E40:M40,7),0)</f>
        <v/>
      </c>
      <c r="O40" s="8" t="n">
        <v>0</v>
      </c>
      <c r="P40" s="9">
        <f>N40+O40</f>
        <v/>
      </c>
    </row>
    <row r="41">
      <c r="A41" s="7">
        <f>RANK(P41,$P$6:$P$45)</f>
        <v/>
      </c>
      <c r="B41" t="inlineStr">
        <is>
          <t>Henrique Cunha</t>
        </is>
      </c>
      <c r="C41" s="8" t="inlineStr">
        <is>
          <t>36844</t>
        </is>
      </c>
      <c r="D41" s="8" t="inlineStr">
        <is>
          <t>Sub 23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>
        <f>'troia'!AX34</f>
        <v/>
      </c>
      <c r="M41" s="8" t="n">
        <v>0</v>
      </c>
      <c r="N41" s="7">
        <f>IFERROR(LARGE(E41:M41,1),0)+IFERROR(LARGE(E41:M41,2),0)+IFERROR(LARGE(E41:M41,3),0)+IFERROR(LARGE(E41:M41,4),0)+IFERROR(LARGE(E41:M41,5),0)+IFERROR(LARGE(E41:M41,6),0)+IFERROR(LARGE(E41:M41,7),0)</f>
        <v/>
      </c>
      <c r="O41" s="8" t="n">
        <v>0</v>
      </c>
      <c r="P41" s="9">
        <f>N41+O41</f>
        <v/>
      </c>
    </row>
    <row r="42">
      <c r="A42" s="7">
        <f>RANK(P42,$P$6:$P$45)</f>
        <v/>
      </c>
      <c r="B42" t="inlineStr">
        <is>
          <t>Margarida Silva Pinto</t>
        </is>
      </c>
      <c r="C42" s="8" t="inlineStr">
        <is>
          <t>46310</t>
        </is>
      </c>
      <c r="D42" s="8" t="inlineStr">
        <is>
          <t>Sub 12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7">
        <f>IFERROR(LARGE(E42:M42,1),0)+IFERROR(LARGE(E42:M42,2),0)+IFERROR(LARGE(E42:M42,3),0)+IFERROR(LARGE(E42:M42,4),0)+IFERROR(LARGE(E42:M42,5),0)+IFERROR(LARGE(E42:M42,6),0)+IFERROR(LARGE(E42:M42,7),0)</f>
        <v/>
      </c>
      <c r="O42" s="8" t="n">
        <v>0</v>
      </c>
      <c r="P42" s="9">
        <f>N42+O42</f>
        <v/>
      </c>
    </row>
    <row r="43">
      <c r="A43" s="7">
        <f>RANK(P43,$P$6:$P$45)</f>
        <v/>
      </c>
      <c r="B43" t="inlineStr">
        <is>
          <t>Francisco Saraiva</t>
        </is>
      </c>
      <c r="C43" s="8" t="inlineStr">
        <is>
          <t>39097</t>
        </is>
      </c>
      <c r="D43" s="8" t="inlineStr">
        <is>
          <t>Sub 14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7">
        <f>IFERROR(LARGE(E43:M43,1),0)+IFERROR(LARGE(E43:M43,2),0)+IFERROR(LARGE(E43:M43,3),0)+IFERROR(LARGE(E43:M43,4),0)+IFERROR(LARGE(E43:M43,5),0)+IFERROR(LARGE(E43:M43,6),0)+IFERROR(LARGE(E43:M43,7),0)</f>
        <v/>
      </c>
      <c r="O43" s="8" t="n">
        <v>0</v>
      </c>
      <c r="P43" s="9">
        <f>N43+O43</f>
        <v/>
      </c>
    </row>
    <row r="44">
      <c r="A44" s="7">
        <f>RANK(P44,$P$6:$P$45)</f>
        <v/>
      </c>
      <c r="B44" t="inlineStr">
        <is>
          <t>Afonso Silva Pinto</t>
        </is>
      </c>
      <c r="C44" s="8" t="inlineStr">
        <is>
          <t>46309</t>
        </is>
      </c>
      <c r="D44" s="8" t="inlineStr">
        <is>
          <t>Sub 14</t>
        </is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7">
        <f>IFERROR(LARGE(E44:M44,1),0)+IFERROR(LARGE(E44:M44,2),0)+IFERROR(LARGE(E44:M44,3),0)+IFERROR(LARGE(E44:M44,4),0)+IFERROR(LARGE(E44:M44,5),0)+IFERROR(LARGE(E44:M44,6),0)+IFERROR(LARGE(E44:M44,7),0)</f>
        <v/>
      </c>
      <c r="O44" s="8" t="n">
        <v>0</v>
      </c>
      <c r="P44" s="9">
        <f>N44+O44</f>
        <v/>
      </c>
    </row>
    <row r="45">
      <c r="A45" s="7">
        <f>RANK(P45,$P$6:$P$45)</f>
        <v/>
      </c>
      <c r="B45" t="inlineStr">
        <is>
          <t>Francisca Ferreira da Costa</t>
        </is>
      </c>
      <c r="C45" s="8" t="inlineStr">
        <is>
          <t>40981</t>
        </is>
      </c>
      <c r="D45" s="8" t="inlineStr">
        <is>
          <t>Sub 16</t>
        </is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7">
        <f>IFERROR(LARGE(E45:M45,1),0)+IFERROR(LARGE(E45:M45,2),0)+IFERROR(LARGE(E45:M45,3),0)+IFERROR(LARGE(E45:M45,4),0)+IFERROR(LARGE(E45:M45,5),0)+IFERROR(LARGE(E45:M45,6),0)+IFERROR(LARGE(E45:M45,7),0)</f>
        <v/>
      </c>
      <c r="O45" s="8" t="n">
        <v>0</v>
      </c>
      <c r="P45" s="9">
        <f>N45+O45</f>
        <v/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2025 — Ranking Sub 12</t>
        </is>
      </c>
    </row>
    <row r="2">
      <c r="A2" s="2" t="inlineStr">
        <is>
          <t>Sub-ranking automático filtrado por escalão Sub 12.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RANK(E5,$E$5:$E$12)</f>
        <v/>
      </c>
      <c r="B5" t="inlineStr">
        <is>
          <t>Ricardo Castro Ferreira</t>
        </is>
      </c>
      <c r="C5" s="8" t="inlineStr">
        <is>
          <t>49085</t>
        </is>
      </c>
      <c r="D5" s="8" t="inlineStr">
        <is>
          <t>Sub 12</t>
        </is>
      </c>
      <c r="E5" s="7">
        <f>IFERROR(VLOOKUP("49085",Ranking!$C:$P,14,FALSE),0)</f>
        <v/>
      </c>
    </row>
    <row r="6">
      <c r="A6" s="7">
        <f>RANK(E6,$E$5:$E$12)</f>
        <v/>
      </c>
      <c r="B6" t="inlineStr">
        <is>
          <t>Manuel Goulartt Medeiros</t>
        </is>
      </c>
      <c r="C6" s="8" t="inlineStr">
        <is>
          <t>52884</t>
        </is>
      </c>
      <c r="D6" s="8" t="inlineStr">
        <is>
          <t>Sub 12</t>
        </is>
      </c>
      <c r="E6" s="7">
        <f>IFERROR(VLOOKUP("52884",Ranking!$C:$P,14,FALSE),0)</f>
        <v/>
      </c>
    </row>
    <row r="7">
      <c r="A7" s="7">
        <f>RANK(E7,$E$5:$E$12)</f>
        <v/>
      </c>
      <c r="B7" t="inlineStr">
        <is>
          <t>Guo Ziyang</t>
        </is>
      </c>
      <c r="C7" s="8" t="inlineStr">
        <is>
          <t>57904</t>
        </is>
      </c>
      <c r="D7" s="8" t="inlineStr">
        <is>
          <t>Sub 12</t>
        </is>
      </c>
      <c r="E7" s="7">
        <f>IFERROR(VLOOKUP("57904",Ranking!$C:$P,14,FALSE),0)</f>
        <v/>
      </c>
    </row>
    <row r="8">
      <c r="A8" s="7">
        <f>RANK(E8,$E$5:$E$12)</f>
        <v/>
      </c>
      <c r="B8" t="inlineStr">
        <is>
          <t>David Filip</t>
        </is>
      </c>
      <c r="C8" s="8" t="inlineStr">
        <is>
          <t>51949</t>
        </is>
      </c>
      <c r="D8" s="8" t="inlineStr">
        <is>
          <t>Sub 12</t>
        </is>
      </c>
      <c r="E8" s="7">
        <f>IFERROR(VLOOKUP("51949",Ranking!$C:$P,14,FALSE),0)</f>
        <v/>
      </c>
    </row>
    <row r="9">
      <c r="A9" s="7">
        <f>RANK(E9,$E$5:$E$12)</f>
        <v/>
      </c>
      <c r="B9" t="inlineStr">
        <is>
          <t>Francisco Carvalho</t>
        </is>
      </c>
      <c r="C9" s="8" t="inlineStr">
        <is>
          <t>52856</t>
        </is>
      </c>
      <c r="D9" s="8" t="inlineStr">
        <is>
          <t>Sub 12</t>
        </is>
      </c>
      <c r="E9" s="7">
        <f>IFERROR(VLOOKUP("52856",Ranking!$C:$P,14,FALSE),0)</f>
        <v/>
      </c>
    </row>
    <row r="10">
      <c r="A10" s="7">
        <f>RANK(E10,$E$5:$E$12)</f>
        <v/>
      </c>
      <c r="B10" t="inlineStr">
        <is>
          <t>Miguel Coelho Porfirio</t>
        </is>
      </c>
      <c r="C10" s="8" t="inlineStr">
        <is>
          <t>44160</t>
        </is>
      </c>
      <c r="D10" s="8" t="inlineStr">
        <is>
          <t>Sub 12</t>
        </is>
      </c>
      <c r="E10" s="7">
        <f>IFERROR(VLOOKUP("44160",Ranking!$C:$P,14,FALSE),0)</f>
        <v/>
      </c>
    </row>
    <row r="11">
      <c r="A11" s="7">
        <f>RANK(E11,$E$5:$E$12)</f>
        <v/>
      </c>
      <c r="B11" t="inlineStr">
        <is>
          <t>Sabrina Ribeiro Crisóstomo</t>
        </is>
      </c>
      <c r="C11" s="8" t="inlineStr">
        <is>
          <t>48971</t>
        </is>
      </c>
      <c r="D11" s="8" t="inlineStr">
        <is>
          <t>Sub 12</t>
        </is>
      </c>
      <c r="E11" s="7">
        <f>IFERROR(VLOOKUP("48971",Ranking!$C:$P,14,FALSE),0)</f>
        <v/>
      </c>
    </row>
    <row r="12">
      <c r="A12" s="7">
        <f>RANK(E12,$E$5:$E$12)</f>
        <v/>
      </c>
      <c r="B12" t="inlineStr">
        <is>
          <t>Margarida Silva Pinto</t>
        </is>
      </c>
      <c r="C12" s="8" t="inlineStr">
        <is>
          <t>46310</t>
        </is>
      </c>
      <c r="D12" s="8" t="inlineStr">
        <is>
          <t>Sub 12</t>
        </is>
      </c>
      <c r="E12" s="7">
        <f>IFERROR(VLOOKUP("46310",Ranking!$C:$P,14,FALSE),0)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2025 — Ranking Sub 14</t>
        </is>
      </c>
    </row>
    <row r="2">
      <c r="A2" s="2" t="inlineStr">
        <is>
          <t>Sub-ranking automático filtrado por escalão Sub 14.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RANK(E5,$E$5:$E$24)</f>
        <v/>
      </c>
      <c r="B5" t="inlineStr">
        <is>
          <t>Pedro Costa Alemão</t>
        </is>
      </c>
      <c r="C5" s="8" t="inlineStr">
        <is>
          <t>46706</t>
        </is>
      </c>
      <c r="D5" s="8" t="inlineStr">
        <is>
          <t>Sub 14</t>
        </is>
      </c>
      <c r="E5" s="7">
        <f>IFERROR(VLOOKUP("46706",Ranking!$C:$P,14,FALSE),0)</f>
        <v/>
      </c>
    </row>
    <row r="6">
      <c r="A6" s="7">
        <f>RANK(E6,$E$5:$E$24)</f>
        <v/>
      </c>
      <c r="B6" t="inlineStr">
        <is>
          <t>Nuno Palmares Jr.</t>
        </is>
      </c>
      <c r="C6" s="8" t="inlineStr">
        <is>
          <t>49124</t>
        </is>
      </c>
      <c r="D6" s="8" t="inlineStr">
        <is>
          <t>Sub 14</t>
        </is>
      </c>
      <c r="E6" s="7">
        <f>IFERROR(VLOOKUP("49124",Ranking!$C:$P,14,FALSE),0)</f>
        <v/>
      </c>
    </row>
    <row r="7">
      <c r="A7" s="7">
        <f>RANK(E7,$E$5:$E$24)</f>
        <v/>
      </c>
      <c r="B7" t="inlineStr">
        <is>
          <t>João Setúbal</t>
        </is>
      </c>
      <c r="C7" s="8" t="inlineStr">
        <is>
          <t>43732</t>
        </is>
      </c>
      <c r="D7" s="8" t="inlineStr">
        <is>
          <t>Sub 14</t>
        </is>
      </c>
      <c r="E7" s="7">
        <f>IFERROR(VLOOKUP("43732",Ranking!$C:$P,14,FALSE),0)</f>
        <v/>
      </c>
    </row>
    <row r="8">
      <c r="A8" s="7">
        <f>RANK(E8,$E$5:$E$24)</f>
        <v/>
      </c>
      <c r="B8" t="inlineStr">
        <is>
          <t>João Rocha</t>
        </is>
      </c>
      <c r="C8" s="8" t="inlineStr">
        <is>
          <t>48297</t>
        </is>
      </c>
      <c r="D8" s="8" t="inlineStr">
        <is>
          <t>Sub 14</t>
        </is>
      </c>
      <c r="E8" s="7">
        <f>IFERROR(VLOOKUP("48297",Ranking!$C:$P,14,FALSE),0)</f>
        <v/>
      </c>
    </row>
    <row r="9">
      <c r="A9" s="7">
        <f>RANK(E9,$E$5:$E$24)</f>
        <v/>
      </c>
      <c r="B9" t="inlineStr">
        <is>
          <t>Rafael Gonçales Benesi</t>
        </is>
      </c>
      <c r="C9" s="8" t="inlineStr">
        <is>
          <t>54774</t>
        </is>
      </c>
      <c r="D9" s="8" t="inlineStr">
        <is>
          <t>Sub 14</t>
        </is>
      </c>
      <c r="E9" s="7">
        <f>IFERROR(VLOOKUP("54774",Ranking!$C:$P,14,FALSE),0)</f>
        <v/>
      </c>
    </row>
    <row r="10">
      <c r="A10" s="7">
        <f>RANK(E10,$E$5:$E$24)</f>
        <v/>
      </c>
      <c r="B10" t="inlineStr">
        <is>
          <t>Clara Trindade</t>
        </is>
      </c>
      <c r="C10" s="8" t="inlineStr">
        <is>
          <t>45812</t>
        </is>
      </c>
      <c r="D10" s="8" t="inlineStr">
        <is>
          <t>Sub 14</t>
        </is>
      </c>
      <c r="E10" s="7">
        <f>IFERROR(VLOOKUP("45812",Ranking!$C:$P,14,FALSE),0)</f>
        <v/>
      </c>
    </row>
    <row r="11">
      <c r="A11" s="7">
        <f>RANK(E11,$E$5:$E$24)</f>
        <v/>
      </c>
      <c r="B11" t="inlineStr">
        <is>
          <t>Rodrigo Sousa Correia</t>
        </is>
      </c>
      <c r="C11" s="8" t="inlineStr">
        <is>
          <t>44934</t>
        </is>
      </c>
      <c r="D11" s="8" t="inlineStr">
        <is>
          <t>Sub 14</t>
        </is>
      </c>
      <c r="E11" s="7">
        <f>IFERROR(VLOOKUP("44934",Ranking!$C:$P,14,FALSE),0)</f>
        <v/>
      </c>
    </row>
    <row r="12">
      <c r="A12" s="7">
        <f>RANK(E12,$E$5:$E$24)</f>
        <v/>
      </c>
      <c r="B12" t="inlineStr">
        <is>
          <t>Salvador Ivo de Carvalho</t>
        </is>
      </c>
      <c r="C12" s="8" t="inlineStr">
        <is>
          <t>43968</t>
        </is>
      </c>
      <c r="D12" s="8" t="inlineStr">
        <is>
          <t>Sub 14</t>
        </is>
      </c>
      <c r="E12" s="7">
        <f>IFERROR(VLOOKUP("43968",Ranking!$C:$P,14,FALSE),0)</f>
        <v/>
      </c>
    </row>
    <row r="13">
      <c r="A13" s="7">
        <f>RANK(E13,$E$5:$E$24)</f>
        <v/>
      </c>
      <c r="B13" t="inlineStr">
        <is>
          <t>Filipe Pinheiro</t>
        </is>
      </c>
      <c r="C13" s="8" t="inlineStr">
        <is>
          <t>46591</t>
        </is>
      </c>
      <c r="D13" s="8" t="inlineStr">
        <is>
          <t>Sub 14</t>
        </is>
      </c>
      <c r="E13" s="7">
        <f>IFERROR(VLOOKUP("46591",Ranking!$C:$P,14,FALSE),0)</f>
        <v/>
      </c>
    </row>
    <row r="14">
      <c r="A14" s="7">
        <f>RANK(E14,$E$5:$E$24)</f>
        <v/>
      </c>
      <c r="B14" t="inlineStr">
        <is>
          <t>Santiago Dias</t>
        </is>
      </c>
      <c r="C14" s="8" t="inlineStr">
        <is>
          <t>42908</t>
        </is>
      </c>
      <c r="D14" s="8" t="inlineStr">
        <is>
          <t>Sub 14</t>
        </is>
      </c>
      <c r="E14" s="7">
        <f>IFERROR(VLOOKUP("42908",Ranking!$C:$P,14,FALSE),0)</f>
        <v/>
      </c>
    </row>
    <row r="15">
      <c r="A15" s="7">
        <f>RANK(E15,$E$5:$E$24)</f>
        <v/>
      </c>
      <c r="B15" t="inlineStr">
        <is>
          <t>Tomás Lima Pinto</t>
        </is>
      </c>
      <c r="C15" s="8" t="inlineStr">
        <is>
          <t>46037</t>
        </is>
      </c>
      <c r="D15" s="8" t="inlineStr">
        <is>
          <t>Sub 14</t>
        </is>
      </c>
      <c r="E15" s="7">
        <f>IFERROR(VLOOKUP("46037",Ranking!$C:$P,14,FALSE),0)</f>
        <v/>
      </c>
    </row>
    <row r="16">
      <c r="A16" s="7">
        <f>RANK(E16,$E$5:$E$24)</f>
        <v/>
      </c>
      <c r="B16" t="inlineStr">
        <is>
          <t>Angelina Gao</t>
        </is>
      </c>
      <c r="C16" s="8" t="inlineStr">
        <is>
          <t>51523</t>
        </is>
      </c>
      <c r="D16" s="8" t="inlineStr">
        <is>
          <t>Sub 14</t>
        </is>
      </c>
      <c r="E16" s="7">
        <f>IFERROR(VLOOKUP("51523",Ranking!$C:$P,14,FALSE),0)</f>
        <v/>
      </c>
    </row>
    <row r="17">
      <c r="A17" s="7">
        <f>RANK(E17,$E$5:$E$24)</f>
        <v/>
      </c>
      <c r="B17" t="inlineStr">
        <is>
          <t>Diogo Sequeira</t>
        </is>
      </c>
      <c r="C17" s="8" t="inlineStr">
        <is>
          <t>56654</t>
        </is>
      </c>
      <c r="D17" s="8" t="inlineStr">
        <is>
          <t>Sub 14</t>
        </is>
      </c>
      <c r="E17" s="7">
        <f>IFERROR(VLOOKUP("56654",Ranking!$C:$P,14,FALSE),0)</f>
        <v/>
      </c>
    </row>
    <row r="18">
      <c r="A18" s="7">
        <f>RANK(E18,$E$5:$E$24)</f>
        <v/>
      </c>
      <c r="B18" t="inlineStr">
        <is>
          <t>Tomás Rente</t>
        </is>
      </c>
      <c r="C18" s="8" t="inlineStr">
        <is>
          <t>46311</t>
        </is>
      </c>
      <c r="D18" s="8" t="inlineStr">
        <is>
          <t>Sub 14</t>
        </is>
      </c>
      <c r="E18" s="7">
        <f>IFERROR(VLOOKUP("46311",Ranking!$C:$P,14,FALSE),0)</f>
        <v/>
      </c>
    </row>
    <row r="19">
      <c r="A19" s="7">
        <f>RANK(E19,$E$5:$E$24)</f>
        <v/>
      </c>
      <c r="B19" t="inlineStr">
        <is>
          <t>William Gao</t>
        </is>
      </c>
      <c r="C19" s="8" t="inlineStr">
        <is>
          <t>51524</t>
        </is>
      </c>
      <c r="D19" s="8" t="inlineStr">
        <is>
          <t>Sub 14</t>
        </is>
      </c>
      <c r="E19" s="7">
        <f>IFERROR(VLOOKUP("51524",Ranking!$C:$P,14,FALSE),0)</f>
        <v/>
      </c>
    </row>
    <row r="20">
      <c r="A20" s="7">
        <f>RANK(E20,$E$5:$E$24)</f>
        <v/>
      </c>
      <c r="B20" t="inlineStr">
        <is>
          <t>Ryan Dantas</t>
        </is>
      </c>
      <c r="C20" s="8" t="inlineStr">
        <is>
          <t>45439</t>
        </is>
      </c>
      <c r="D20" s="8" t="inlineStr">
        <is>
          <t>Sub 14</t>
        </is>
      </c>
      <c r="E20" s="7">
        <f>IFERROR(VLOOKUP("45439",Ranking!$C:$P,14,FALSE),0)</f>
        <v/>
      </c>
    </row>
    <row r="21">
      <c r="A21" s="7">
        <f>RANK(E21,$E$5:$E$24)</f>
        <v/>
      </c>
      <c r="B21" t="inlineStr">
        <is>
          <t>Carlota Braz Gil</t>
        </is>
      </c>
      <c r="C21" s="8" t="inlineStr">
        <is>
          <t>47374</t>
        </is>
      </c>
      <c r="D21" s="8" t="inlineStr">
        <is>
          <t>Sub 14</t>
        </is>
      </c>
      <c r="E21" s="7">
        <f>IFERROR(VLOOKUP("47374",Ranking!$C:$P,14,FALSE),0)</f>
        <v/>
      </c>
    </row>
    <row r="22">
      <c r="A22" s="7">
        <f>RANK(E22,$E$5:$E$24)</f>
        <v/>
      </c>
      <c r="B22" t="inlineStr">
        <is>
          <t>Frederico Almeida da Silva</t>
        </is>
      </c>
      <c r="C22" s="8" t="inlineStr">
        <is>
          <t>41613</t>
        </is>
      </c>
      <c r="D22" s="8" t="inlineStr">
        <is>
          <t>Sub 14</t>
        </is>
      </c>
      <c r="E22" s="7">
        <f>IFERROR(VLOOKUP("41613",Ranking!$C:$P,14,FALSE),0)</f>
        <v/>
      </c>
    </row>
    <row r="23">
      <c r="A23" s="7">
        <f>RANK(E23,$E$5:$E$24)</f>
        <v/>
      </c>
      <c r="B23" t="inlineStr">
        <is>
          <t>Francisco Saraiva</t>
        </is>
      </c>
      <c r="C23" s="8" t="inlineStr">
        <is>
          <t>39097</t>
        </is>
      </c>
      <c r="D23" s="8" t="inlineStr">
        <is>
          <t>Sub 14</t>
        </is>
      </c>
      <c r="E23" s="7">
        <f>IFERROR(VLOOKUP("39097",Ranking!$C:$P,14,FALSE),0)</f>
        <v/>
      </c>
    </row>
    <row r="24">
      <c r="A24" s="7">
        <f>RANK(E24,$E$5:$E$24)</f>
        <v/>
      </c>
      <c r="B24" t="inlineStr">
        <is>
          <t>Afonso Silva Pinto</t>
        </is>
      </c>
      <c r="C24" s="8" t="inlineStr">
        <is>
          <t>46309</t>
        </is>
      </c>
      <c r="D24" s="8" t="inlineStr">
        <is>
          <t>Sub 14</t>
        </is>
      </c>
      <c r="E24" s="7">
        <f>IFERROR(VLOOKUP("46309",Ranking!$C:$P,14,FALSE),0)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2025 — Ranking Sub 16</t>
        </is>
      </c>
    </row>
    <row r="2">
      <c r="A2" s="2" t="inlineStr">
        <is>
          <t>Sub-ranking automático filtrado por escalão Sub 16.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RANK(E5,$E$5:$E$8)</f>
        <v/>
      </c>
      <c r="B5" t="inlineStr">
        <is>
          <t>Henrique Almeida da Silva</t>
        </is>
      </c>
      <c r="C5" s="8" t="inlineStr">
        <is>
          <t>41612</t>
        </is>
      </c>
      <c r="D5" s="8" t="inlineStr">
        <is>
          <t>Sub 16</t>
        </is>
      </c>
      <c r="E5" s="7">
        <f>IFERROR(VLOOKUP("41612",Ranking!$C:$P,14,FALSE),0)</f>
        <v/>
      </c>
    </row>
    <row r="6">
      <c r="A6" s="7">
        <f>RANK(E6,$E$5:$E$8)</f>
        <v/>
      </c>
      <c r="B6" t="inlineStr">
        <is>
          <t>Madalena Figueiredo</t>
        </is>
      </c>
      <c r="C6" s="8" t="inlineStr">
        <is>
          <t>52011</t>
        </is>
      </c>
      <c r="D6" s="8" t="inlineStr">
        <is>
          <t>Sub 16</t>
        </is>
      </c>
      <c r="E6" s="7">
        <f>IFERROR(VLOOKUP("52011",Ranking!$C:$P,14,FALSE),0)</f>
        <v/>
      </c>
    </row>
    <row r="7">
      <c r="A7" s="7">
        <f>RANK(E7,$E$5:$E$8)</f>
        <v/>
      </c>
      <c r="B7" t="inlineStr">
        <is>
          <t>Luís Pinheiro Jr.</t>
        </is>
      </c>
      <c r="C7" s="8" t="inlineStr">
        <is>
          <t>46590</t>
        </is>
      </c>
      <c r="D7" s="8" t="inlineStr">
        <is>
          <t>Sub 16</t>
        </is>
      </c>
      <c r="E7" s="7">
        <f>IFERROR(VLOOKUP("46590",Ranking!$C:$P,14,FALSE),0)</f>
        <v/>
      </c>
    </row>
    <row r="8">
      <c r="A8" s="7">
        <f>RANK(E8,$E$5:$E$8)</f>
        <v/>
      </c>
      <c r="B8" t="inlineStr">
        <is>
          <t>Francisca Ferreira da Costa</t>
        </is>
      </c>
      <c r="C8" s="8" t="inlineStr">
        <is>
          <t>40981</t>
        </is>
      </c>
      <c r="D8" s="8" t="inlineStr">
        <is>
          <t>Sub 16</t>
        </is>
      </c>
      <c r="E8" s="7">
        <f>IFERROR(VLOOKUP("40981",Ranking!$C:$P,14,FALSE),0)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2025 — Ranking Sub 23</t>
        </is>
      </c>
    </row>
    <row r="2">
      <c r="A2" s="2" t="inlineStr">
        <is>
          <t>Sub-ranking automático filtrado por escalão Sub 23.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RANK(E5,$E$5:$E$12)</f>
        <v/>
      </c>
      <c r="B5" t="inlineStr">
        <is>
          <t>João Maria Ivo de Carvalho</t>
        </is>
      </c>
      <c r="C5" s="8" t="inlineStr">
        <is>
          <t>38334</t>
        </is>
      </c>
      <c r="D5" s="8" t="inlineStr">
        <is>
          <t>Sub 23</t>
        </is>
      </c>
      <c r="E5" s="7">
        <f>IFERROR(VLOOKUP("38334",Ranking!$C:$P,14,FALSE),0)</f>
        <v/>
      </c>
    </row>
    <row r="6">
      <c r="A6" s="7">
        <f>RANK(E6,$E$5:$E$12)</f>
        <v/>
      </c>
      <c r="B6" t="inlineStr">
        <is>
          <t>Rodrigo Faria Constantino</t>
        </is>
      </c>
      <c r="C6" s="8" t="inlineStr">
        <is>
          <t>45278</t>
        </is>
      </c>
      <c r="D6" s="8" t="inlineStr">
        <is>
          <t>Sub 23</t>
        </is>
      </c>
      <c r="E6" s="7">
        <f>IFERROR(VLOOKUP("45278",Ranking!$C:$P,14,FALSE),0)</f>
        <v/>
      </c>
    </row>
    <row r="7">
      <c r="A7" s="7">
        <f>RANK(E7,$E$5:$E$12)</f>
        <v/>
      </c>
      <c r="B7" t="inlineStr">
        <is>
          <t>Rafaela Pinto</t>
        </is>
      </c>
      <c r="C7" s="8" t="inlineStr">
        <is>
          <t>40390</t>
        </is>
      </c>
      <c r="D7" s="8" t="inlineStr">
        <is>
          <t>Sub 23</t>
        </is>
      </c>
      <c r="E7" s="7">
        <f>IFERROR(VLOOKUP("40390",Ranking!$C:$P,14,FALSE),0)</f>
        <v/>
      </c>
    </row>
    <row r="8">
      <c r="A8" s="7">
        <f>RANK(E8,$E$5:$E$12)</f>
        <v/>
      </c>
      <c r="B8" t="inlineStr">
        <is>
          <t>Martim Sousa de Morais</t>
        </is>
      </c>
      <c r="C8" s="8" t="inlineStr">
        <is>
          <t>41609</t>
        </is>
      </c>
      <c r="D8" s="8" t="inlineStr">
        <is>
          <t>Sub 23</t>
        </is>
      </c>
      <c r="E8" s="7">
        <f>IFERROR(VLOOKUP("41609",Ranking!$C:$P,14,FALSE),0)</f>
        <v/>
      </c>
    </row>
    <row r="9">
      <c r="A9" s="7">
        <f>RANK(E9,$E$5:$E$12)</f>
        <v/>
      </c>
      <c r="B9" t="inlineStr">
        <is>
          <t>André Castro Mendes</t>
        </is>
      </c>
      <c r="C9" s="8" t="inlineStr">
        <is>
          <t>55056</t>
        </is>
      </c>
      <c r="D9" s="8" t="inlineStr">
        <is>
          <t>Sub 23</t>
        </is>
      </c>
      <c r="E9" s="7">
        <f>IFERROR(VLOOKUP("55056",Ranking!$C:$P,14,FALSE),0)</f>
        <v/>
      </c>
    </row>
    <row r="10">
      <c r="A10" s="7">
        <f>RANK(E10,$E$5:$E$12)</f>
        <v/>
      </c>
      <c r="B10" t="inlineStr">
        <is>
          <t>Ricardo Serpa</t>
        </is>
      </c>
      <c r="C10" s="8" t="inlineStr">
        <is>
          <t>28845</t>
        </is>
      </c>
      <c r="D10" s="8" t="inlineStr">
        <is>
          <t>Sub 23</t>
        </is>
      </c>
      <c r="E10" s="7">
        <f>IFERROR(VLOOKUP("28845",Ranking!$C:$P,14,FALSE),0)</f>
        <v/>
      </c>
    </row>
    <row r="11">
      <c r="A11" s="7">
        <f>RANK(E11,$E$5:$E$12)</f>
        <v/>
      </c>
      <c r="B11" t="inlineStr">
        <is>
          <t>Gabriel Fantasia Leite</t>
        </is>
      </c>
      <c r="C11" s="8" t="inlineStr">
        <is>
          <t>33811</t>
        </is>
      </c>
      <c r="D11" s="8" t="inlineStr">
        <is>
          <t>Sub 23</t>
        </is>
      </c>
      <c r="E11" s="7">
        <f>IFERROR(VLOOKUP("33811",Ranking!$C:$P,14,FALSE),0)</f>
        <v/>
      </c>
    </row>
    <row r="12">
      <c r="A12" s="7">
        <f>RANK(E12,$E$5:$E$12)</f>
        <v/>
      </c>
      <c r="B12" t="inlineStr">
        <is>
          <t>Henrique Cunha</t>
        </is>
      </c>
      <c r="C12" s="8" t="inlineStr">
        <is>
          <t>36844</t>
        </is>
      </c>
      <c r="D12" s="8" t="inlineStr">
        <is>
          <t>Sub 23</t>
        </is>
      </c>
      <c r="E12" s="7">
        <f>IFERROR(VLOOKUP("36844",Ranking!$C:$P,14,FALSE),0)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Royal Óbidos AT&amp;T</t>
        </is>
      </c>
    </row>
    <row r="2">
      <c r="A2" s="10" t="inlineStr">
        <is>
          <t>Data:</t>
        </is>
      </c>
      <c r="B2" t="inlineStr">
        <is>
          <t>2025-02-01</t>
        </is>
      </c>
    </row>
    <row r="3">
      <c r="A3" s="10" t="inlineStr">
        <is>
          <t>Campo:</t>
        </is>
      </c>
      <c r="B3" t="inlineStr">
        <is>
          <t>Royal Óbidos</t>
        </is>
      </c>
    </row>
    <row r="4">
      <c r="A4" s="10" t="inlineStr">
        <is>
          <t>ccode/tcode:</t>
        </is>
      </c>
      <c r="B4" t="inlineStr">
        <is>
          <t>152/10444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https://scoring.datagolf.pt/pt/Classifications.aspx?ccode=152&amp;tcode=10444</t>
        </is>
      </c>
    </row>
    <row r="6">
      <c r="A6" s="10" t="inlineStr">
        <is>
          <t>Multiplicador:</t>
        </is>
      </c>
      <c r="B6" t="n">
        <v>1.75</v>
      </c>
    </row>
    <row r="7">
      <c r="A7" s="10" t="inlineStr">
        <is>
          <t>Nota:</t>
        </is>
      </c>
      <c r="B7" s="12" t="inlineStr">
        <is>
          <t>Multiplicador especial ×1.75 (torneio anterior cancelado — decidido pela comissão técnica PJA)</t>
        </is>
      </c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5</v>
      </c>
      <c r="H10" s="15" t="n">
        <v>3</v>
      </c>
      <c r="I10" s="15" t="n">
        <v>4</v>
      </c>
      <c r="J10" s="15" t="n">
        <v>5</v>
      </c>
      <c r="K10" s="15" t="n">
        <v>3</v>
      </c>
      <c r="L10" s="15" t="n">
        <v>5</v>
      </c>
      <c r="M10" s="15" t="n">
        <v>3</v>
      </c>
      <c r="N10" s="15" t="n">
        <v>4</v>
      </c>
      <c r="O10" s="15" t="n">
        <v>4</v>
      </c>
      <c r="P10" s="15" t="n">
        <v>5</v>
      </c>
      <c r="Q10" s="15" t="n">
        <v>4</v>
      </c>
      <c r="R10" s="15" t="n">
        <v>3</v>
      </c>
      <c r="S10" s="15" t="n">
        <v>4</v>
      </c>
      <c r="T10" s="15" t="n">
        <v>3</v>
      </c>
      <c r="U10" s="15" t="n">
        <v>4</v>
      </c>
      <c r="V10" s="15" t="n">
        <v>4</v>
      </c>
      <c r="W10" s="15" t="n">
        <v>5</v>
      </c>
      <c r="Y10" s="16">
        <f>SUM(F10:W10)</f>
        <v/>
      </c>
    </row>
    <row r="11">
      <c r="A11" s="14" t="inlineStr">
        <is>
          <t>—SI—</t>
        </is>
      </c>
      <c r="F11" s="17" t="n">
        <v>7</v>
      </c>
      <c r="G11" s="17" t="n">
        <v>3</v>
      </c>
      <c r="H11" s="17" t="n">
        <v>13</v>
      </c>
      <c r="I11" s="17" t="n">
        <v>1</v>
      </c>
      <c r="J11" s="17" t="n">
        <v>9</v>
      </c>
      <c r="K11" s="17" t="n">
        <v>15</v>
      </c>
      <c r="L11" s="17" t="n">
        <v>5</v>
      </c>
      <c r="M11" s="17" t="n">
        <v>17</v>
      </c>
      <c r="N11" s="17" t="n">
        <v>11</v>
      </c>
      <c r="O11" s="17" t="n">
        <v>8</v>
      </c>
      <c r="P11" s="17" t="n">
        <v>10</v>
      </c>
      <c r="Q11" s="17" t="n">
        <v>2</v>
      </c>
      <c r="R11" s="17" t="n">
        <v>18</v>
      </c>
      <c r="S11" s="17" t="n">
        <v>6</v>
      </c>
      <c r="T11" s="17" t="n">
        <v>14</v>
      </c>
      <c r="U11" s="17" t="n">
        <v>16</v>
      </c>
      <c r="V11" s="17" t="n">
        <v>12</v>
      </c>
      <c r="W11" s="17" t="n">
        <v>4</v>
      </c>
    </row>
    <row r="12">
      <c r="A12" s="8" t="n">
        <v>1</v>
      </c>
      <c r="B12" t="inlineStr">
        <is>
          <t>João Maria Ivo de Carvalho</t>
        </is>
      </c>
      <c r="C12" s="8" t="inlineStr">
        <is>
          <t>38334</t>
        </is>
      </c>
      <c r="D12" t="inlineStr">
        <is>
          <t>Vilamoura, C. G</t>
        </is>
      </c>
      <c r="E12" s="8" t="n">
        <v>2.3</v>
      </c>
      <c r="F12" s="18" t="n">
        <v>5</v>
      </c>
      <c r="G12" s="18" t="n">
        <v>6</v>
      </c>
      <c r="H12" s="18" t="n">
        <v>3</v>
      </c>
      <c r="I12" s="18" t="n">
        <v>5</v>
      </c>
      <c r="J12" s="18" t="n">
        <v>4</v>
      </c>
      <c r="K12" s="18" t="n">
        <v>3</v>
      </c>
      <c r="L12" s="18" t="n">
        <v>5</v>
      </c>
      <c r="M12" s="18" t="n">
        <v>3</v>
      </c>
      <c r="N12" s="18" t="n">
        <v>4</v>
      </c>
      <c r="O12" s="18" t="n">
        <v>5</v>
      </c>
      <c r="P12" s="18" t="n">
        <v>5</v>
      </c>
      <c r="Q12" s="18" t="n">
        <v>4</v>
      </c>
      <c r="R12" s="18" t="n">
        <v>3</v>
      </c>
      <c r="S12" s="18" t="n">
        <v>3</v>
      </c>
      <c r="T12" s="18" t="n">
        <v>2</v>
      </c>
      <c r="U12" s="18" t="n">
        <v>4</v>
      </c>
      <c r="V12" s="18" t="n">
        <v>4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MAX(0,25-Z12)*1.75</f>
        <v/>
      </c>
      <c r="AB12" s="19">
        <f>AA12</f>
        <v/>
      </c>
    </row>
    <row r="13">
      <c r="A13" s="8" t="n">
        <v>2</v>
      </c>
      <c r="B13" t="inlineStr">
        <is>
          <t>Santiago Dias</t>
        </is>
      </c>
      <c r="C13" s="8" t="inlineStr">
        <is>
          <t>42908</t>
        </is>
      </c>
      <c r="D13" t="inlineStr">
        <is>
          <t>Miramar</t>
        </is>
      </c>
      <c r="E13" s="8" t="n">
        <v>2.7</v>
      </c>
      <c r="F13" s="18" t="n">
        <v>5</v>
      </c>
      <c r="G13" s="18" t="n">
        <v>5</v>
      </c>
      <c r="H13" s="18" t="n">
        <v>4</v>
      </c>
      <c r="I13" s="18" t="n">
        <v>4</v>
      </c>
      <c r="J13" s="18" t="n">
        <v>5</v>
      </c>
      <c r="K13" s="18" t="n">
        <v>3</v>
      </c>
      <c r="L13" s="18" t="n">
        <v>5</v>
      </c>
      <c r="M13" s="18" t="n">
        <v>3</v>
      </c>
      <c r="N13" s="18" t="n">
        <v>5</v>
      </c>
      <c r="O13" s="18" t="n">
        <v>6</v>
      </c>
      <c r="P13" s="18" t="n">
        <v>5</v>
      </c>
      <c r="Q13" s="18" t="n">
        <v>4</v>
      </c>
      <c r="R13" s="18" t="n">
        <v>2</v>
      </c>
      <c r="S13" s="18" t="n">
        <v>5</v>
      </c>
      <c r="T13" s="18" t="n">
        <v>3</v>
      </c>
      <c r="U13" s="18" t="n">
        <v>4</v>
      </c>
      <c r="V13" s="18" t="n">
        <v>4</v>
      </c>
      <c r="W13" s="18" t="n">
        <v>5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MAX(0,25-Z13)*1.75</f>
        <v/>
      </c>
      <c r="AB13" s="19">
        <f>AA13</f>
        <v/>
      </c>
    </row>
    <row r="14">
      <c r="A14" s="8" t="n">
        <v>3</v>
      </c>
      <c r="B14" t="inlineStr">
        <is>
          <t>João Setúbal</t>
        </is>
      </c>
      <c r="C14" s="8" t="inlineStr">
        <is>
          <t>43732</t>
        </is>
      </c>
      <c r="D14" t="inlineStr">
        <is>
          <t>Vilamoura, C. G</t>
        </is>
      </c>
      <c r="E14" s="8" t="n">
        <v>4.8</v>
      </c>
      <c r="F14" s="18" t="n">
        <v>4</v>
      </c>
      <c r="G14" s="18" t="n">
        <v>5</v>
      </c>
      <c r="H14" s="18" t="n">
        <v>4</v>
      </c>
      <c r="I14" s="18" t="n">
        <v>6</v>
      </c>
      <c r="J14" s="18" t="n">
        <v>5</v>
      </c>
      <c r="K14" s="18" t="n">
        <v>3</v>
      </c>
      <c r="L14" s="18" t="n">
        <v>5</v>
      </c>
      <c r="M14" s="18" t="n">
        <v>3</v>
      </c>
      <c r="N14" s="18" t="n">
        <v>4</v>
      </c>
      <c r="O14" s="18" t="n">
        <v>5</v>
      </c>
      <c r="P14" s="18" t="n">
        <v>5</v>
      </c>
      <c r="Q14" s="18" t="n">
        <v>4</v>
      </c>
      <c r="R14" s="18" t="n">
        <v>3</v>
      </c>
      <c r="S14" s="18" t="n">
        <v>4</v>
      </c>
      <c r="T14" s="18" t="n">
        <v>4</v>
      </c>
      <c r="U14" s="18" t="n">
        <v>4</v>
      </c>
      <c r="V14" s="18" t="n">
        <v>4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MAX(0,25-Z14)*1.75</f>
        <v/>
      </c>
      <c r="AB14" s="19">
        <f>AA14</f>
        <v/>
      </c>
    </row>
    <row r="15">
      <c r="A15" s="8" t="n">
        <v>4</v>
      </c>
      <c r="B15" t="inlineStr">
        <is>
          <t>Clara Trindade</t>
        </is>
      </c>
      <c r="C15" s="8" t="inlineStr">
        <is>
          <t>45812</t>
        </is>
      </c>
      <c r="D15" t="inlineStr">
        <is>
          <t>Belas</t>
        </is>
      </c>
      <c r="E15" s="8" t="n">
        <v>12</v>
      </c>
      <c r="F15" s="18" t="n">
        <v>4</v>
      </c>
      <c r="G15" s="18" t="n">
        <v>5</v>
      </c>
      <c r="H15" s="18" t="n">
        <v>4</v>
      </c>
      <c r="I15" s="18" t="n">
        <v>4</v>
      </c>
      <c r="J15" s="18" t="n">
        <v>5</v>
      </c>
      <c r="K15" s="18" t="n">
        <v>3</v>
      </c>
      <c r="L15" s="18" t="n">
        <v>6</v>
      </c>
      <c r="M15" s="18" t="n">
        <v>4</v>
      </c>
      <c r="N15" s="18" t="n">
        <v>4</v>
      </c>
      <c r="O15" s="18" t="n">
        <v>4</v>
      </c>
      <c r="P15" s="18" t="n">
        <v>5</v>
      </c>
      <c r="Q15" s="18" t="n">
        <v>5</v>
      </c>
      <c r="R15" s="18" t="n">
        <v>3</v>
      </c>
      <c r="S15" s="18" t="n">
        <v>4</v>
      </c>
      <c r="T15" s="18" t="n">
        <v>3</v>
      </c>
      <c r="U15" s="18" t="n">
        <v>7</v>
      </c>
      <c r="V15" s="18" t="n">
        <v>5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MAX(0,25-Z15)*1.75</f>
        <v/>
      </c>
      <c r="AB15" s="19">
        <f>AA15</f>
        <v/>
      </c>
    </row>
    <row r="16">
      <c r="A16" s="8" t="n">
        <v>5</v>
      </c>
      <c r="B16" t="inlineStr">
        <is>
          <t>Miguel Coelho Porfirio</t>
        </is>
      </c>
      <c r="C16" s="8" t="inlineStr">
        <is>
          <t>44160</t>
        </is>
      </c>
      <c r="D16" t="inlineStr">
        <is>
          <t>Miramar</t>
        </is>
      </c>
      <c r="E16" s="8" t="n">
        <v>12</v>
      </c>
      <c r="F16" s="18" t="n">
        <v>5</v>
      </c>
      <c r="G16" s="18" t="n">
        <v>5</v>
      </c>
      <c r="H16" s="18" t="n">
        <v>3</v>
      </c>
      <c r="I16" s="18" t="n">
        <v>5</v>
      </c>
      <c r="J16" s="18" t="n">
        <v>5</v>
      </c>
      <c r="K16" s="18" t="n">
        <v>3</v>
      </c>
      <c r="L16" s="18" t="n">
        <v>5</v>
      </c>
      <c r="M16" s="18" t="n">
        <v>4</v>
      </c>
      <c r="N16" s="18" t="n">
        <v>5</v>
      </c>
      <c r="O16" s="18" t="n">
        <v>5</v>
      </c>
      <c r="P16" s="18" t="n">
        <v>5</v>
      </c>
      <c r="Q16" s="18" t="n">
        <v>5</v>
      </c>
      <c r="R16" s="18" t="n">
        <v>3</v>
      </c>
      <c r="S16" s="18" t="n">
        <v>5</v>
      </c>
      <c r="T16" s="18" t="n">
        <v>3</v>
      </c>
      <c r="U16" s="18" t="n">
        <v>4</v>
      </c>
      <c r="V16" s="18" t="n">
        <v>5</v>
      </c>
      <c r="W16" s="18" t="n">
        <v>6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MAX(0,25-Z16)*1.75</f>
        <v/>
      </c>
      <c r="AB16" s="19">
        <f>AA16</f>
        <v/>
      </c>
    </row>
    <row r="17">
      <c r="A17" s="8" t="n">
        <v>6</v>
      </c>
      <c r="B17" t="inlineStr">
        <is>
          <t>Henrique Almeida da Silva</t>
        </is>
      </c>
      <c r="C17" s="8" t="inlineStr">
        <is>
          <t>41612</t>
        </is>
      </c>
      <c r="D17" t="inlineStr">
        <is>
          <t>Belas</t>
        </is>
      </c>
      <c r="E17" s="8" t="n">
        <v>5.8</v>
      </c>
      <c r="F17" s="18" t="n">
        <v>4</v>
      </c>
      <c r="G17" s="18" t="n">
        <v>4</v>
      </c>
      <c r="H17" s="18" t="n">
        <v>3</v>
      </c>
      <c r="I17" s="18" t="n">
        <v>5</v>
      </c>
      <c r="J17" s="18" t="n">
        <v>5</v>
      </c>
      <c r="K17" s="18" t="n">
        <v>3</v>
      </c>
      <c r="L17" s="18" t="n">
        <v>6</v>
      </c>
      <c r="M17" s="18" t="n">
        <v>3</v>
      </c>
      <c r="N17" s="18" t="n">
        <v>5</v>
      </c>
      <c r="O17" s="18" t="n">
        <v>5</v>
      </c>
      <c r="P17" s="18" t="n">
        <v>6</v>
      </c>
      <c r="Q17" s="18" t="n">
        <v>5</v>
      </c>
      <c r="R17" s="18" t="n">
        <v>4</v>
      </c>
      <c r="S17" s="18" t="n">
        <v>7</v>
      </c>
      <c r="T17" s="18" t="n">
        <v>4</v>
      </c>
      <c r="U17" s="18" t="n">
        <v>4</v>
      </c>
      <c r="V17" s="18" t="n">
        <v>4</v>
      </c>
      <c r="W17" s="18" t="n">
        <v>5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MAX(0,25-Z17)*1.75</f>
        <v/>
      </c>
      <c r="AB17" s="19">
        <f>AA17</f>
        <v/>
      </c>
    </row>
    <row r="18">
      <c r="A18" s="8" t="n">
        <v>7</v>
      </c>
      <c r="B18" t="inlineStr">
        <is>
          <t>Ricardo Castro Ferreira</t>
        </is>
      </c>
      <c r="C18" s="8" t="inlineStr">
        <is>
          <t>49085</t>
        </is>
      </c>
      <c r="D18" t="inlineStr">
        <is>
          <t>Estoril</t>
        </is>
      </c>
      <c r="E18" s="8" t="n">
        <v>12</v>
      </c>
      <c r="F18" s="18" t="n">
        <v>5</v>
      </c>
      <c r="G18" s="18" t="n">
        <v>7</v>
      </c>
      <c r="H18" s="18" t="n">
        <v>4</v>
      </c>
      <c r="I18" s="18" t="n">
        <v>4</v>
      </c>
      <c r="J18" s="18" t="n">
        <v>5</v>
      </c>
      <c r="K18" s="18" t="n">
        <v>4</v>
      </c>
      <c r="L18" s="18" t="n">
        <v>5</v>
      </c>
      <c r="M18" s="18" t="n">
        <v>4</v>
      </c>
      <c r="N18" s="18" t="n">
        <v>5</v>
      </c>
      <c r="O18" s="18" t="n">
        <v>4</v>
      </c>
      <c r="P18" s="18" t="n">
        <v>5</v>
      </c>
      <c r="Q18" s="18" t="n">
        <v>5</v>
      </c>
      <c r="R18" s="18" t="n">
        <v>3</v>
      </c>
      <c r="S18" s="18" t="n">
        <v>5</v>
      </c>
      <c r="T18" s="18" t="n">
        <v>3</v>
      </c>
      <c r="U18" s="18" t="n">
        <v>4</v>
      </c>
      <c r="V18" s="18" t="n">
        <v>5</v>
      </c>
      <c r="W18" s="18" t="n">
        <v>6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MAX(0,25-Z18)*1.75</f>
        <v/>
      </c>
      <c r="AB18" s="19">
        <f>AA18</f>
        <v/>
      </c>
    </row>
    <row r="19">
      <c r="A19" s="8" t="n">
        <v>8</v>
      </c>
      <c r="B19" t="inlineStr">
        <is>
          <t>Rafael Gonçales Benesi</t>
        </is>
      </c>
      <c r="C19" s="8" t="inlineStr">
        <is>
          <t>54774</t>
        </is>
      </c>
      <c r="D19" t="inlineStr">
        <is>
          <t>Estoril</t>
        </is>
      </c>
      <c r="E19" s="8" t="n">
        <v>9.9</v>
      </c>
      <c r="F19" s="18" t="n">
        <v>5</v>
      </c>
      <c r="G19" s="18" t="n">
        <v>5</v>
      </c>
      <c r="H19" s="18" t="n">
        <v>3</v>
      </c>
      <c r="I19" s="18" t="n">
        <v>5</v>
      </c>
      <c r="J19" s="18" t="n">
        <v>6</v>
      </c>
      <c r="K19" s="18" t="n">
        <v>3</v>
      </c>
      <c r="L19" s="18" t="n">
        <v>5</v>
      </c>
      <c r="M19" s="18" t="n">
        <v>4</v>
      </c>
      <c r="N19" s="18" t="n">
        <v>5</v>
      </c>
      <c r="O19" s="18" t="n">
        <v>5</v>
      </c>
      <c r="P19" s="18" t="n">
        <v>5</v>
      </c>
      <c r="Q19" s="18" t="n">
        <v>4</v>
      </c>
      <c r="R19" s="18" t="n">
        <v>2</v>
      </c>
      <c r="S19" s="18" t="n">
        <v>5</v>
      </c>
      <c r="T19" s="18" t="n">
        <v>5</v>
      </c>
      <c r="U19" s="18" t="n">
        <v>4</v>
      </c>
      <c r="V19" s="18" t="n">
        <v>5</v>
      </c>
      <c r="W19" s="18" t="n">
        <v>7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MAX(0,25-Z19)*1.75</f>
        <v/>
      </c>
      <c r="AB19" s="19">
        <f>AA19</f>
        <v/>
      </c>
    </row>
    <row r="20">
      <c r="A20" s="8" t="n">
        <v>9</v>
      </c>
      <c r="B20" t="inlineStr">
        <is>
          <t>Pedro Costa Alemão</t>
        </is>
      </c>
      <c r="C20" s="8" t="inlineStr">
        <is>
          <t>46706</t>
        </is>
      </c>
      <c r="D20" t="inlineStr">
        <is>
          <t>Estoril</t>
        </is>
      </c>
      <c r="E20" s="8" t="n">
        <v>8</v>
      </c>
      <c r="F20" s="18" t="n">
        <v>3</v>
      </c>
      <c r="G20" s="18" t="n">
        <v>7</v>
      </c>
      <c r="H20" s="18" t="n">
        <v>3</v>
      </c>
      <c r="I20" s="18" t="n">
        <v>5</v>
      </c>
      <c r="J20" s="18" t="n">
        <v>4</v>
      </c>
      <c r="K20" s="18" t="n">
        <v>3</v>
      </c>
      <c r="L20" s="18" t="n">
        <v>6</v>
      </c>
      <c r="M20" s="18" t="n">
        <v>5</v>
      </c>
      <c r="N20" s="18" t="n">
        <v>6</v>
      </c>
      <c r="O20" s="18" t="n">
        <v>6</v>
      </c>
      <c r="P20" s="18" t="n">
        <v>5</v>
      </c>
      <c r="Q20" s="18" t="n">
        <v>4</v>
      </c>
      <c r="R20" s="18" t="n">
        <v>3</v>
      </c>
      <c r="S20" s="18" t="n">
        <v>6</v>
      </c>
      <c r="T20" s="18" t="n">
        <v>5</v>
      </c>
      <c r="U20" s="18" t="n">
        <v>3</v>
      </c>
      <c r="V20" s="18" t="n">
        <v>4</v>
      </c>
      <c r="W20" s="18" t="n">
        <v>6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MAX(0,25-Z20)*1.75</f>
        <v/>
      </c>
      <c r="AB20" s="19">
        <f>AA20</f>
        <v/>
      </c>
    </row>
    <row r="21">
      <c r="A21" s="8" t="n">
        <v>10</v>
      </c>
      <c r="B21" t="inlineStr">
        <is>
          <t>Nuno Palmares Jr.</t>
        </is>
      </c>
      <c r="C21" s="8" t="inlineStr">
        <is>
          <t>49124</t>
        </is>
      </c>
      <c r="D21" t="inlineStr">
        <is>
          <t>Estoril</t>
        </is>
      </c>
      <c r="E21" s="8" t="n">
        <v>7.8</v>
      </c>
      <c r="F21" s="18" t="n">
        <v>6</v>
      </c>
      <c r="G21" s="18" t="n">
        <v>6</v>
      </c>
      <c r="H21" s="18" t="n">
        <v>3</v>
      </c>
      <c r="I21" s="18" t="n">
        <v>6</v>
      </c>
      <c r="J21" s="18" t="n">
        <v>6</v>
      </c>
      <c r="K21" s="18" t="n">
        <v>3</v>
      </c>
      <c r="L21" s="18" t="n">
        <v>5</v>
      </c>
      <c r="M21" s="18" t="n">
        <v>3</v>
      </c>
      <c r="N21" s="18" t="n">
        <v>5</v>
      </c>
      <c r="O21" s="18" t="n">
        <v>5</v>
      </c>
      <c r="P21" s="18" t="n">
        <v>5</v>
      </c>
      <c r="Q21" s="18" t="n">
        <v>5</v>
      </c>
      <c r="R21" s="18" t="n">
        <v>3</v>
      </c>
      <c r="S21" s="18" t="n">
        <v>7</v>
      </c>
      <c r="T21" s="18" t="n">
        <v>3</v>
      </c>
      <c r="U21" s="18" t="n">
        <v>4</v>
      </c>
      <c r="V21" s="18" t="n">
        <v>5</v>
      </c>
      <c r="W21" s="18" t="n">
        <v>7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MAX(0,25-Z21)*1.75</f>
        <v/>
      </c>
      <c r="AB21" s="19">
        <f>AA21</f>
        <v/>
      </c>
    </row>
    <row r="22">
      <c r="A22" s="8" t="n">
        <v>11</v>
      </c>
      <c r="B22" t="inlineStr">
        <is>
          <t>Filipe Pinheiro</t>
        </is>
      </c>
      <c r="C22" s="8" t="inlineStr">
        <is>
          <t>46591</t>
        </is>
      </c>
      <c r="D22" t="inlineStr">
        <is>
          <t>Belas</t>
        </is>
      </c>
      <c r="E22" s="8" t="n">
        <v>7.2</v>
      </c>
      <c r="F22" s="18" t="n">
        <v>5</v>
      </c>
      <c r="G22" s="18" t="n">
        <v>6</v>
      </c>
      <c r="H22" s="18" t="n">
        <v>3</v>
      </c>
      <c r="I22" s="18" t="n">
        <v>5</v>
      </c>
      <c r="J22" s="18" t="n">
        <v>6</v>
      </c>
      <c r="K22" s="18" t="n">
        <v>3</v>
      </c>
      <c r="L22" s="18" t="n">
        <v>5</v>
      </c>
      <c r="M22" s="18" t="n">
        <v>4</v>
      </c>
      <c r="N22" s="18" t="n">
        <v>4</v>
      </c>
      <c r="O22" s="18" t="n">
        <v>4</v>
      </c>
      <c r="P22" s="18" t="n">
        <v>6</v>
      </c>
      <c r="Q22" s="18" t="n">
        <v>7</v>
      </c>
      <c r="R22" s="18" t="n">
        <v>4</v>
      </c>
      <c r="S22" s="18" t="n">
        <v>6</v>
      </c>
      <c r="T22" s="18" t="n">
        <v>3</v>
      </c>
      <c r="U22" s="18" t="n">
        <v>5</v>
      </c>
      <c r="V22" s="18" t="n">
        <v>5</v>
      </c>
      <c r="W22" s="18" t="n">
        <v>6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MAX(0,25-Z22)*1.75</f>
        <v/>
      </c>
      <c r="AB22" s="19">
        <f>AA22</f>
        <v/>
      </c>
    </row>
    <row r="23">
      <c r="A23" s="8" t="n">
        <v>12</v>
      </c>
      <c r="B23" t="inlineStr">
        <is>
          <t>Salvador Ivo de Carvalho</t>
        </is>
      </c>
      <c r="C23" s="8" t="inlineStr">
        <is>
          <t>43968</t>
        </is>
      </c>
      <c r="D23" t="inlineStr">
        <is>
          <t>Vilamoura, C. G</t>
        </is>
      </c>
      <c r="E23" s="8" t="n">
        <v>9.4</v>
      </c>
      <c r="F23" s="18" t="n">
        <v>5</v>
      </c>
      <c r="G23" s="18" t="n">
        <v>7</v>
      </c>
      <c r="H23" s="18" t="n">
        <v>5</v>
      </c>
      <c r="I23" s="18" t="n">
        <v>5</v>
      </c>
      <c r="J23" s="18" t="n">
        <v>5</v>
      </c>
      <c r="K23" s="18" t="n">
        <v>4</v>
      </c>
      <c r="L23" s="18" t="n">
        <v>5</v>
      </c>
      <c r="M23" s="18" t="n">
        <v>4</v>
      </c>
      <c r="N23" s="18" t="n">
        <v>5</v>
      </c>
      <c r="O23" s="18" t="n">
        <v>4</v>
      </c>
      <c r="P23" s="18" t="n">
        <v>6</v>
      </c>
      <c r="Q23" s="18" t="n">
        <v>5</v>
      </c>
      <c r="R23" s="18" t="n">
        <v>3</v>
      </c>
      <c r="S23" s="18" t="n">
        <v>5</v>
      </c>
      <c r="T23" s="18" t="n">
        <v>3</v>
      </c>
      <c r="U23" s="18" t="n">
        <v>5</v>
      </c>
      <c r="V23" s="18" t="n">
        <v>5</v>
      </c>
      <c r="W23" s="18" t="n">
        <v>7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MAX(0,25-Z23)*1.75</f>
        <v/>
      </c>
      <c r="AB23" s="19">
        <f>AA23</f>
        <v/>
      </c>
    </row>
    <row r="24">
      <c r="A24" s="8" t="n">
        <v>13</v>
      </c>
      <c r="B24" t="inlineStr">
        <is>
          <t>Martim Sousa de Morais</t>
        </is>
      </c>
      <c r="C24" s="8" t="inlineStr">
        <is>
          <t>41609</t>
        </is>
      </c>
      <c r="D24" t="inlineStr">
        <is>
          <t>Belas</t>
        </is>
      </c>
      <c r="E24" s="8" t="n">
        <v>7.4</v>
      </c>
      <c r="F24" s="18" t="n">
        <v>4</v>
      </c>
      <c r="G24" s="18" t="n">
        <v>7</v>
      </c>
      <c r="H24" s="18" t="n">
        <v>4</v>
      </c>
      <c r="I24" s="18" t="n">
        <v>5</v>
      </c>
      <c r="J24" s="18" t="n">
        <v>6</v>
      </c>
      <c r="K24" s="18" t="n">
        <v>3</v>
      </c>
      <c r="L24" s="18" t="n">
        <v>7</v>
      </c>
      <c r="M24" s="18" t="n">
        <v>4</v>
      </c>
      <c r="N24" s="18" t="n">
        <v>5</v>
      </c>
      <c r="O24" s="18" t="n">
        <v>6</v>
      </c>
      <c r="P24" s="18" t="n">
        <v>5</v>
      </c>
      <c r="Q24" s="18" t="n">
        <v>6</v>
      </c>
      <c r="R24" s="18" t="n">
        <v>4</v>
      </c>
      <c r="S24" s="18" t="n">
        <v>5</v>
      </c>
      <c r="T24" s="18" t="n">
        <v>5</v>
      </c>
      <c r="U24" s="18" t="n">
        <v>4</v>
      </c>
      <c r="V24" s="18" t="n">
        <v>5</v>
      </c>
      <c r="W24" s="18" t="n">
        <v>8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MAX(0,25-Z24)*1.75</f>
        <v/>
      </c>
      <c r="AB24" s="19">
        <f>AA24</f>
        <v/>
      </c>
    </row>
    <row r="25">
      <c r="A25" s="8" t="n">
        <v>14</v>
      </c>
      <c r="B25" t="inlineStr">
        <is>
          <t>Ryan Dantas</t>
        </is>
      </c>
      <c r="C25" s="8" t="inlineStr">
        <is>
          <t>45439</t>
        </is>
      </c>
      <c r="D25" t="inlineStr">
        <is>
          <t>Clube Benfica</t>
        </is>
      </c>
      <c r="E25" s="8" t="n">
        <v>13.4</v>
      </c>
      <c r="F25" s="18" t="n">
        <v>6</v>
      </c>
      <c r="G25" s="18" t="n">
        <v>6</v>
      </c>
      <c r="H25" s="18" t="n">
        <v>3</v>
      </c>
      <c r="I25" s="18" t="n">
        <v>7</v>
      </c>
      <c r="J25" s="18" t="n">
        <v>5</v>
      </c>
      <c r="K25" s="18" t="n">
        <v>4</v>
      </c>
      <c r="L25" s="18" t="n">
        <v>10</v>
      </c>
      <c r="M25" s="18" t="n">
        <v>3</v>
      </c>
      <c r="N25" s="18" t="n">
        <v>5</v>
      </c>
      <c r="O25" s="18" t="n">
        <v>5</v>
      </c>
      <c r="P25" s="18" t="n">
        <v>5</v>
      </c>
      <c r="Q25" s="18" t="n">
        <v>7</v>
      </c>
      <c r="R25" s="18" t="n">
        <v>5</v>
      </c>
      <c r="S25" s="18" t="n">
        <v>4</v>
      </c>
      <c r="T25" s="18" t="n">
        <v>3</v>
      </c>
      <c r="U25" s="18" t="n">
        <v>5</v>
      </c>
      <c r="V25" s="18" t="n">
        <v>6</v>
      </c>
      <c r="W25" s="18" t="n">
        <v>5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MAX(0,25-Z25)*1.75</f>
        <v/>
      </c>
      <c r="AB25" s="19">
        <f>AA25</f>
        <v/>
      </c>
    </row>
    <row r="26">
      <c r="A26" s="8" t="n">
        <v>15</v>
      </c>
      <c r="B26" t="inlineStr">
        <is>
          <t>Rodrigo Faria Constantino</t>
        </is>
      </c>
      <c r="C26" s="8" t="inlineStr">
        <is>
          <t>45278</t>
        </is>
      </c>
      <c r="D26" t="inlineStr">
        <is>
          <t>Belas</t>
        </is>
      </c>
      <c r="E26" s="8" t="n">
        <v>5.6</v>
      </c>
      <c r="F26" s="18" t="n">
        <v>5</v>
      </c>
      <c r="G26" s="18" t="n">
        <v>6</v>
      </c>
      <c r="H26" s="18" t="n">
        <v>3</v>
      </c>
      <c r="I26" s="18" t="n">
        <v>6</v>
      </c>
      <c r="J26" s="18" t="n">
        <v>5</v>
      </c>
      <c r="K26" s="18" t="n">
        <v>3</v>
      </c>
      <c r="L26" s="18" t="n">
        <v>6</v>
      </c>
      <c r="M26" s="18" t="n">
        <v>4</v>
      </c>
      <c r="N26" s="18" t="n">
        <v>10</v>
      </c>
      <c r="O26" s="18" t="n">
        <v>5</v>
      </c>
      <c r="P26" s="18" t="n">
        <v>5</v>
      </c>
      <c r="Q26" s="18" t="n">
        <v>4</v>
      </c>
      <c r="R26" s="18" t="n">
        <v>3</v>
      </c>
      <c r="S26" s="18" t="n">
        <v>5</v>
      </c>
      <c r="T26" s="18" t="n">
        <v>8</v>
      </c>
      <c r="U26" s="18" t="n">
        <v>5</v>
      </c>
      <c r="V26" s="18" t="n">
        <v>5</v>
      </c>
      <c r="W26" s="18" t="n">
        <v>6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MAX(0,25-Z26)*1.75</f>
        <v/>
      </c>
      <c r="AB26" s="19">
        <f>AA26</f>
        <v/>
      </c>
    </row>
    <row r="27">
      <c r="A27" s="8" t="n">
        <v>16</v>
      </c>
      <c r="B27" t="inlineStr">
        <is>
          <t>João Rocha</t>
        </is>
      </c>
      <c r="C27" s="8" t="inlineStr">
        <is>
          <t>48297</t>
        </is>
      </c>
      <c r="D27" t="inlineStr">
        <is>
          <t>Estoril</t>
        </is>
      </c>
      <c r="E27" s="8" t="n">
        <v>9.5</v>
      </c>
      <c r="F27" s="18" t="n">
        <v>6</v>
      </c>
      <c r="G27" s="18" t="n">
        <v>9</v>
      </c>
      <c r="H27" s="18" t="n">
        <v>4</v>
      </c>
      <c r="I27" s="18" t="n">
        <v>6</v>
      </c>
      <c r="J27" s="18" t="n">
        <v>4</v>
      </c>
      <c r="K27" s="18" t="n">
        <v>3</v>
      </c>
      <c r="L27" s="18" t="n">
        <v>6</v>
      </c>
      <c r="M27" s="18" t="n">
        <v>4</v>
      </c>
      <c r="N27" s="18" t="n">
        <v>7</v>
      </c>
      <c r="O27" s="18" t="n">
        <v>5</v>
      </c>
      <c r="P27" s="18" t="n">
        <v>5</v>
      </c>
      <c r="Q27" s="18" t="n">
        <v>6</v>
      </c>
      <c r="R27" s="18" t="n">
        <v>4</v>
      </c>
      <c r="S27" s="18" t="n">
        <v>5</v>
      </c>
      <c r="T27" s="18" t="n">
        <v>4</v>
      </c>
      <c r="U27" s="18" t="n">
        <v>5</v>
      </c>
      <c r="V27" s="18" t="n">
        <v>5</v>
      </c>
      <c r="W27" s="18" t="n">
        <v>7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MAX(0,25-Z27)*1.75</f>
        <v/>
      </c>
      <c r="AB27" s="19">
        <f>AA27</f>
        <v/>
      </c>
    </row>
    <row r="28">
      <c r="A28" s="8" t="n">
        <v>17</v>
      </c>
      <c r="B28" t="inlineStr">
        <is>
          <t>Frederico Almeida da Silva</t>
        </is>
      </c>
      <c r="C28" s="8" t="inlineStr">
        <is>
          <t>41613</t>
        </is>
      </c>
      <c r="D28" t="inlineStr">
        <is>
          <t>Belas</t>
        </is>
      </c>
      <c r="E28" s="8" t="n">
        <v>8.699999999999999</v>
      </c>
      <c r="F28" s="18" t="n">
        <v>4</v>
      </c>
      <c r="G28" s="18" t="n">
        <v>7</v>
      </c>
      <c r="H28" s="18" t="n">
        <v>5</v>
      </c>
      <c r="I28" s="18" t="n">
        <v>5</v>
      </c>
      <c r="J28" s="18" t="n">
        <v>6</v>
      </c>
      <c r="K28" s="18" t="n">
        <v>3</v>
      </c>
      <c r="L28" s="18" t="n">
        <v>5</v>
      </c>
      <c r="M28" s="18" t="n">
        <v>4</v>
      </c>
      <c r="N28" s="18" t="n">
        <v>5</v>
      </c>
      <c r="O28" s="18" t="n">
        <v>6</v>
      </c>
      <c r="P28" s="18" t="n">
        <v>8</v>
      </c>
      <c r="Q28" s="18" t="n">
        <v>10</v>
      </c>
      <c r="R28" s="18" t="n">
        <v>4</v>
      </c>
      <c r="S28" s="18" t="n">
        <v>5</v>
      </c>
      <c r="T28" s="18" t="n">
        <v>8</v>
      </c>
      <c r="U28" s="18" t="n">
        <v>4</v>
      </c>
      <c r="V28" s="18" t="n">
        <v>5</v>
      </c>
      <c r="W28" s="18" t="n">
        <v>9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MAX(0,25-Z28)*1.75</f>
        <v/>
      </c>
      <c r="AB28" s="19">
        <f>AA28</f>
        <v/>
      </c>
    </row>
    <row r="29">
      <c r="A29" s="8" t="n">
        <v>18</v>
      </c>
      <c r="B29" t="inlineStr">
        <is>
          <t>Manuel Goulartt Medeiros</t>
        </is>
      </c>
      <c r="C29" s="8" t="inlineStr">
        <is>
          <t>52884</t>
        </is>
      </c>
      <c r="D29" t="inlineStr">
        <is>
          <t>Santo da Serra</t>
        </is>
      </c>
      <c r="E29" s="8" t="n">
        <v>17.6</v>
      </c>
      <c r="F29" s="18" t="n">
        <v>5</v>
      </c>
      <c r="G29" s="18" t="n">
        <v>8</v>
      </c>
      <c r="H29" s="18" t="n">
        <v>3</v>
      </c>
      <c r="I29" s="18" t="n">
        <v>5</v>
      </c>
      <c r="J29" s="18" t="n">
        <v>7</v>
      </c>
      <c r="K29" s="18" t="n">
        <v>5</v>
      </c>
      <c r="L29" s="18" t="n">
        <v>7</v>
      </c>
      <c r="M29" s="18" t="n">
        <v>5</v>
      </c>
      <c r="N29" s="18" t="n">
        <v>6</v>
      </c>
      <c r="O29" s="18" t="n">
        <v>6</v>
      </c>
      <c r="P29" s="18" t="n">
        <v>4</v>
      </c>
      <c r="Q29" s="18" t="n">
        <v>8</v>
      </c>
      <c r="R29" s="18" t="n">
        <v>5</v>
      </c>
      <c r="S29" s="18" t="n">
        <v>5</v>
      </c>
      <c r="T29" s="18" t="n">
        <v>6</v>
      </c>
      <c r="U29" s="18" t="n">
        <v>7</v>
      </c>
      <c r="V29" s="18" t="n">
        <v>5</v>
      </c>
      <c r="W29" s="18" t="n">
        <v>7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MAX(0,25-Z29)*1.75</f>
        <v/>
      </c>
      <c r="AB29" s="19">
        <f>AA29</f>
        <v/>
      </c>
    </row>
    <row r="30">
      <c r="A30" s="8" t="n">
        <v>19</v>
      </c>
      <c r="B30" t="inlineStr">
        <is>
          <t>Luís Pinheiro Jr.</t>
        </is>
      </c>
      <c r="C30" s="8" t="inlineStr">
        <is>
          <t>46590</t>
        </is>
      </c>
      <c r="D30" t="inlineStr">
        <is>
          <t>Belas</t>
        </is>
      </c>
      <c r="E30" s="8" t="n">
        <v>19.3</v>
      </c>
      <c r="F30" s="18" t="n">
        <v>5</v>
      </c>
      <c r="G30" s="18" t="n">
        <v>7</v>
      </c>
      <c r="H30" s="18" t="n">
        <v>5</v>
      </c>
      <c r="I30" s="18" t="n">
        <v>7</v>
      </c>
      <c r="J30" s="18" t="n">
        <v>6</v>
      </c>
      <c r="K30" s="18" t="n">
        <v>4</v>
      </c>
      <c r="L30" s="18" t="n">
        <v>7</v>
      </c>
      <c r="M30" s="18" t="n">
        <v>3</v>
      </c>
      <c r="N30" s="18" t="n">
        <v>7</v>
      </c>
      <c r="O30" s="18" t="n">
        <v>4</v>
      </c>
      <c r="P30" s="18" t="n">
        <v>6</v>
      </c>
      <c r="Q30" s="18" t="n">
        <v>4</v>
      </c>
      <c r="R30" s="18" t="n">
        <v>7</v>
      </c>
      <c r="S30" s="18" t="n">
        <v>6</v>
      </c>
      <c r="T30" s="18" t="n">
        <v>7</v>
      </c>
      <c r="U30" s="18" t="n">
        <v>6</v>
      </c>
      <c r="V30" s="18" t="n">
        <v>6</v>
      </c>
      <c r="W30" s="18" t="n">
        <v>9</v>
      </c>
      <c r="X30" s="8">
        <f>SUM(F30:W30)</f>
        <v/>
      </c>
      <c r="Y30" s="8">
        <f>Y10</f>
        <v/>
      </c>
      <c r="Z30" s="8">
        <f>X30-Y30</f>
        <v/>
      </c>
      <c r="AA30" s="8">
        <f>MAX(0,25-Z30)*1.75</f>
        <v/>
      </c>
      <c r="AB30" s="19">
        <f>AA30</f>
        <v/>
      </c>
    </row>
    <row r="31">
      <c r="A31" s="8" t="inlineStr">
        <is>
          <t>NS</t>
        </is>
      </c>
      <c r="B31" t="inlineStr">
        <is>
          <t>Francisca Ferreira da Costa</t>
        </is>
      </c>
      <c r="C31" s="8" t="inlineStr"/>
      <c r="D31" t="inlineStr">
        <is>
          <t>Miramar</t>
        </is>
      </c>
      <c r="E31" s="8" t="n">
        <v>2</v>
      </c>
      <c r="AA31" s="8" t="n">
        <v>0</v>
      </c>
      <c r="AB31" s="19">
        <f>AA31</f>
        <v/>
      </c>
    </row>
    <row r="32">
      <c r="A32" s="8" t="inlineStr">
        <is>
          <t>NS</t>
        </is>
      </c>
      <c r="B32" t="inlineStr">
        <is>
          <t>Carlota Braz Gil</t>
        </is>
      </c>
      <c r="C32" s="8" t="inlineStr"/>
      <c r="D32" t="inlineStr">
        <is>
          <t>Santo da Serra</t>
        </is>
      </c>
      <c r="E32" s="8" t="n">
        <v>12.5</v>
      </c>
      <c r="AA32" s="8" t="n">
        <v>0</v>
      </c>
      <c r="AB32" s="19">
        <f>AA32</f>
        <v/>
      </c>
    </row>
  </sheetData>
  <mergeCells count="1">
    <mergeCell ref="A1:H1"/>
  </mergeCells>
  <conditionalFormatting sqref="F12:F32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32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32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32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32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32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32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32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32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32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32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32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32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32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32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32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32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32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Aroeira Master by Details (Fev)</t>
        </is>
      </c>
    </row>
    <row r="2">
      <c r="A2" s="10" t="inlineStr">
        <is>
          <t>Data:</t>
        </is>
      </c>
      <c r="B2" t="inlineStr">
        <is>
          <t>2025-02-15</t>
        </is>
      </c>
    </row>
    <row r="3">
      <c r="A3" s="10" t="inlineStr">
        <is>
          <t>Campo:</t>
        </is>
      </c>
      <c r="B3" t="inlineStr">
        <is>
          <t>PGA Aroeira No.2</t>
        </is>
      </c>
    </row>
    <row r="4">
      <c r="A4" s="10" t="inlineStr">
        <is>
          <t>ccode/tcode:</t>
        </is>
      </c>
      <c r="B4" t="inlineStr">
        <is>
          <t>029/10492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https://scoring.datagolf.pt/pt/Classifications.aspx?ccode=029&amp;tcode=10492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5</v>
      </c>
      <c r="H10" s="15" t="n">
        <v>4</v>
      </c>
      <c r="I10" s="15" t="n">
        <v>5</v>
      </c>
      <c r="J10" s="15" t="n">
        <v>3</v>
      </c>
      <c r="K10" s="15" t="n">
        <v>4</v>
      </c>
      <c r="L10" s="15" t="n">
        <v>4</v>
      </c>
      <c r="M10" s="15" t="n">
        <v>3</v>
      </c>
      <c r="N10" s="15" t="n">
        <v>4</v>
      </c>
      <c r="O10" s="15" t="n">
        <v>4</v>
      </c>
      <c r="P10" s="15" t="n">
        <v>5</v>
      </c>
      <c r="Q10" s="15" t="n">
        <v>3</v>
      </c>
      <c r="R10" s="15" t="n">
        <v>4</v>
      </c>
      <c r="S10" s="15" t="n">
        <v>3</v>
      </c>
      <c r="T10" s="15" t="n">
        <v>4</v>
      </c>
      <c r="U10" s="15" t="n">
        <v>4</v>
      </c>
      <c r="V10" s="15" t="n">
        <v>4</v>
      </c>
      <c r="W10" s="15" t="n">
        <v>5</v>
      </c>
      <c r="Y10" s="16">
        <f>SUM(F10:W10)</f>
        <v/>
      </c>
      <c r="AB10" s="15" t="n">
        <v>5</v>
      </c>
      <c r="AC10" s="15" t="n">
        <v>4</v>
      </c>
      <c r="AD10" s="15" t="n">
        <v>4</v>
      </c>
      <c r="AE10" s="15" t="n">
        <v>3</v>
      </c>
      <c r="AF10" s="15" t="n">
        <v>4</v>
      </c>
      <c r="AG10" s="15" t="n">
        <v>4</v>
      </c>
      <c r="AH10" s="15" t="n">
        <v>4</v>
      </c>
      <c r="AI10" s="15" t="n">
        <v>3</v>
      </c>
      <c r="AJ10" s="15" t="n">
        <v>5</v>
      </c>
      <c r="AK10" s="15" t="n">
        <v>5</v>
      </c>
      <c r="AL10" s="15" t="n">
        <v>4</v>
      </c>
      <c r="AM10" s="15" t="n">
        <v>4</v>
      </c>
      <c r="AN10" s="15" t="n">
        <v>4</v>
      </c>
      <c r="AO10" s="15" t="n">
        <v>3</v>
      </c>
      <c r="AP10" s="15" t="n">
        <v>5</v>
      </c>
      <c r="AQ10" s="15" t="n">
        <v>3</v>
      </c>
      <c r="AR10" s="15" t="n">
        <v>4</v>
      </c>
      <c r="AS10" s="15" t="n">
        <v>4</v>
      </c>
      <c r="AU10" s="16">
        <f>SUM(AB10:AS10)</f>
        <v/>
      </c>
    </row>
    <row r="11">
      <c r="A11" s="14" t="inlineStr">
        <is>
          <t>—SI—</t>
        </is>
      </c>
      <c r="F11" s="17" t="n">
        <v>11</v>
      </c>
      <c r="G11" s="17" t="n">
        <v>3</v>
      </c>
      <c r="H11" s="17" t="n">
        <v>15</v>
      </c>
      <c r="I11" s="17" t="n">
        <v>1</v>
      </c>
      <c r="J11" s="17" t="n">
        <v>13</v>
      </c>
      <c r="K11" s="17" t="n">
        <v>7</v>
      </c>
      <c r="L11" s="17" t="n">
        <v>5</v>
      </c>
      <c r="M11" s="17" t="n">
        <v>17</v>
      </c>
      <c r="N11" s="17" t="n">
        <v>9</v>
      </c>
      <c r="O11" s="17" t="n">
        <v>10</v>
      </c>
      <c r="P11" s="17" t="n">
        <v>6</v>
      </c>
      <c r="Q11" s="17" t="n">
        <v>14</v>
      </c>
      <c r="R11" s="17" t="n">
        <v>16</v>
      </c>
      <c r="S11" s="17" t="n">
        <v>4</v>
      </c>
      <c r="T11" s="17" t="n">
        <v>18</v>
      </c>
      <c r="U11" s="17" t="n">
        <v>8</v>
      </c>
      <c r="V11" s="17" t="n">
        <v>2</v>
      </c>
      <c r="W11" s="17" t="n">
        <v>12</v>
      </c>
      <c r="AB11" s="17" t="n">
        <v>11</v>
      </c>
      <c r="AC11" s="17" t="n">
        <v>1</v>
      </c>
      <c r="AD11" s="17" t="n">
        <v>5</v>
      </c>
      <c r="AE11" s="17" t="n">
        <v>17</v>
      </c>
      <c r="AF11" s="17" t="n">
        <v>9</v>
      </c>
      <c r="AG11" s="17" t="n">
        <v>15</v>
      </c>
      <c r="AH11" s="17" t="n">
        <v>7</v>
      </c>
      <c r="AI11" s="17" t="n">
        <v>3</v>
      </c>
      <c r="AJ11" s="17" t="n">
        <v>13</v>
      </c>
      <c r="AK11" s="17" t="n">
        <v>4</v>
      </c>
      <c r="AL11" s="17" t="n">
        <v>2</v>
      </c>
      <c r="AM11" s="17" t="n">
        <v>12</v>
      </c>
      <c r="AN11" s="17" t="n">
        <v>6</v>
      </c>
      <c r="AO11" s="17" t="n">
        <v>18</v>
      </c>
      <c r="AP11" s="17" t="n">
        <v>14</v>
      </c>
      <c r="AQ11" s="17" t="n">
        <v>16</v>
      </c>
      <c r="AR11" s="17" t="n">
        <v>10</v>
      </c>
      <c r="AS11" s="17" t="n">
        <v>8</v>
      </c>
    </row>
    <row r="12">
      <c r="A12" s="8" t="n">
        <v>1</v>
      </c>
      <c r="B12" t="inlineStr">
        <is>
          <t>Rafaela Pinto</t>
        </is>
      </c>
      <c r="C12" s="8" t="inlineStr">
        <is>
          <t>40390</t>
        </is>
      </c>
      <c r="D12" t="inlineStr">
        <is>
          <t>Arquitectos</t>
        </is>
      </c>
      <c r="E12" s="8" t="n">
        <v>1.4</v>
      </c>
      <c r="F12" s="18" t="n">
        <v>4</v>
      </c>
      <c r="G12" s="18" t="n">
        <v>5</v>
      </c>
      <c r="H12" s="18" t="n">
        <v>4</v>
      </c>
      <c r="I12" s="18" t="n">
        <v>4</v>
      </c>
      <c r="J12" s="18" t="n">
        <v>3</v>
      </c>
      <c r="K12" s="18" t="n">
        <v>5</v>
      </c>
      <c r="L12" s="18" t="n">
        <v>4</v>
      </c>
      <c r="M12" s="18" t="n">
        <v>3</v>
      </c>
      <c r="N12" s="18" t="n">
        <v>4</v>
      </c>
      <c r="O12" s="18" t="n">
        <v>6</v>
      </c>
      <c r="P12" s="18" t="n">
        <v>4</v>
      </c>
      <c r="Q12" s="18" t="n">
        <v>2</v>
      </c>
      <c r="R12" s="18" t="n">
        <v>4</v>
      </c>
      <c r="S12" s="18" t="n">
        <v>2</v>
      </c>
      <c r="T12" s="18" t="n">
        <v>4</v>
      </c>
      <c r="U12" s="18" t="n">
        <v>4</v>
      </c>
      <c r="V12" s="18" t="n">
        <v>5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5</v>
      </c>
      <c r="AC12" s="18" t="n">
        <v>4</v>
      </c>
      <c r="AD12" s="18" t="n">
        <v>4</v>
      </c>
      <c r="AE12" s="18" t="n">
        <v>5</v>
      </c>
      <c r="AF12" s="18" t="n">
        <v>4</v>
      </c>
      <c r="AG12" s="18" t="n">
        <v>5</v>
      </c>
      <c r="AH12" s="18" t="n">
        <v>4</v>
      </c>
      <c r="AI12" s="18" t="n">
        <v>3</v>
      </c>
      <c r="AJ12" s="18" t="n">
        <v>5</v>
      </c>
      <c r="AK12" s="18" t="n">
        <v>5</v>
      </c>
      <c r="AL12" s="18" t="n">
        <v>4</v>
      </c>
      <c r="AM12" s="18" t="n">
        <v>5</v>
      </c>
      <c r="AN12" s="18" t="n">
        <v>4</v>
      </c>
      <c r="AO12" s="18" t="n">
        <v>3</v>
      </c>
      <c r="AP12" s="18" t="n">
        <v>6</v>
      </c>
      <c r="AQ12" s="18" t="n">
        <v>5</v>
      </c>
      <c r="AR12" s="18" t="n">
        <v>4</v>
      </c>
      <c r="AS12" s="18" t="n">
        <v>5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Ricardo Castro Ferreira</t>
        </is>
      </c>
      <c r="C13" s="8" t="inlineStr">
        <is>
          <t>49085</t>
        </is>
      </c>
      <c r="D13" t="inlineStr">
        <is>
          <t>Estoril</t>
        </is>
      </c>
      <c r="E13" s="8" t="n">
        <v>11.9</v>
      </c>
      <c r="F13" s="18" t="n">
        <v>4</v>
      </c>
      <c r="G13" s="18" t="n">
        <v>5</v>
      </c>
      <c r="H13" s="18" t="n">
        <v>4</v>
      </c>
      <c r="I13" s="18" t="n">
        <v>5</v>
      </c>
      <c r="J13" s="18" t="n">
        <v>3</v>
      </c>
      <c r="K13" s="18" t="n">
        <v>4</v>
      </c>
      <c r="L13" s="18" t="n">
        <v>4</v>
      </c>
      <c r="M13" s="18" t="n">
        <v>2</v>
      </c>
      <c r="N13" s="18" t="n">
        <v>4</v>
      </c>
      <c r="O13" s="18" t="n">
        <v>4</v>
      </c>
      <c r="P13" s="18" t="n">
        <v>5</v>
      </c>
      <c r="Q13" s="18" t="n">
        <v>3</v>
      </c>
      <c r="R13" s="18" t="n">
        <v>4</v>
      </c>
      <c r="S13" s="18" t="n">
        <v>2</v>
      </c>
      <c r="T13" s="18" t="n">
        <v>6</v>
      </c>
      <c r="U13" s="18" t="n">
        <v>4</v>
      </c>
      <c r="V13" s="18" t="n">
        <v>6</v>
      </c>
      <c r="W13" s="18" t="n">
        <v>5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6</v>
      </c>
      <c r="AC13" s="18" t="n">
        <v>5</v>
      </c>
      <c r="AD13" s="18" t="n">
        <v>5</v>
      </c>
      <c r="AE13" s="18" t="n">
        <v>3</v>
      </c>
      <c r="AF13" s="18" t="n">
        <v>4</v>
      </c>
      <c r="AG13" s="18" t="n">
        <v>4</v>
      </c>
      <c r="AH13" s="18" t="n">
        <v>5</v>
      </c>
      <c r="AI13" s="18" t="n">
        <v>3</v>
      </c>
      <c r="AJ13" s="18" t="n">
        <v>6</v>
      </c>
      <c r="AK13" s="18" t="n">
        <v>5</v>
      </c>
      <c r="AL13" s="18" t="n">
        <v>6</v>
      </c>
      <c r="AM13" s="18" t="n">
        <v>5</v>
      </c>
      <c r="AN13" s="18" t="n">
        <v>5</v>
      </c>
      <c r="AO13" s="18" t="n">
        <v>3</v>
      </c>
      <c r="AP13" s="18" t="n">
        <v>7</v>
      </c>
      <c r="AQ13" s="18" t="n">
        <v>3</v>
      </c>
      <c r="AR13" s="18" t="n">
        <v>4</v>
      </c>
      <c r="AS13" s="18" t="n">
        <v>4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João Maria Ivo de Carvalho</t>
        </is>
      </c>
      <c r="C14" s="8" t="inlineStr">
        <is>
          <t>38334</t>
        </is>
      </c>
      <c r="D14" t="inlineStr">
        <is>
          <t>Vilamoura, C. G</t>
        </is>
      </c>
      <c r="E14" s="8" t="n">
        <v>1.8</v>
      </c>
      <c r="F14" s="18" t="n">
        <v>4</v>
      </c>
      <c r="G14" s="18" t="n">
        <v>5</v>
      </c>
      <c r="H14" s="18" t="n">
        <v>4</v>
      </c>
      <c r="I14" s="18" t="n">
        <v>5</v>
      </c>
      <c r="J14" s="18" t="n">
        <v>4</v>
      </c>
      <c r="K14" s="18" t="n">
        <v>3</v>
      </c>
      <c r="L14" s="18" t="n">
        <v>5</v>
      </c>
      <c r="M14" s="18" t="n">
        <v>5</v>
      </c>
      <c r="N14" s="18" t="n">
        <v>6</v>
      </c>
      <c r="O14" s="18" t="n">
        <v>4</v>
      </c>
      <c r="P14" s="18" t="n">
        <v>6</v>
      </c>
      <c r="Q14" s="18" t="n">
        <v>3</v>
      </c>
      <c r="R14" s="18" t="n">
        <v>3</v>
      </c>
      <c r="S14" s="18" t="n">
        <v>3</v>
      </c>
      <c r="T14" s="18" t="n">
        <v>5</v>
      </c>
      <c r="U14" s="18" t="n">
        <v>5</v>
      </c>
      <c r="V14" s="18" t="n">
        <v>4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4</v>
      </c>
      <c r="AC14" s="18" t="n">
        <v>4</v>
      </c>
      <c r="AD14" s="18" t="n">
        <v>4</v>
      </c>
      <c r="AE14" s="18" t="n">
        <v>3</v>
      </c>
      <c r="AF14" s="18" t="n">
        <v>4</v>
      </c>
      <c r="AG14" s="18" t="n">
        <v>4</v>
      </c>
      <c r="AH14" s="18" t="n">
        <v>4</v>
      </c>
      <c r="AI14" s="18" t="n">
        <v>3</v>
      </c>
      <c r="AJ14" s="18" t="n">
        <v>5</v>
      </c>
      <c r="AK14" s="18" t="n">
        <v>5</v>
      </c>
      <c r="AL14" s="18" t="n">
        <v>4</v>
      </c>
      <c r="AM14" s="18" t="n">
        <v>4</v>
      </c>
      <c r="AN14" s="18" t="n">
        <v>3</v>
      </c>
      <c r="AO14" s="18" t="n">
        <v>3</v>
      </c>
      <c r="AP14" s="18" t="n">
        <v>4</v>
      </c>
      <c r="AQ14" s="18" t="n">
        <v>3</v>
      </c>
      <c r="AR14" s="18" t="n">
        <v>4</v>
      </c>
      <c r="AS14" s="18" t="n">
        <v>4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Pedro Costa Alemão</t>
        </is>
      </c>
      <c r="C15" s="8" t="inlineStr">
        <is>
          <t>46706</t>
        </is>
      </c>
      <c r="D15" t="inlineStr">
        <is>
          <t>Estoril</t>
        </is>
      </c>
      <c r="E15" s="8" t="n">
        <v>8</v>
      </c>
      <c r="F15" s="18" t="n">
        <v>6</v>
      </c>
      <c r="G15" s="18" t="n">
        <v>7</v>
      </c>
      <c r="H15" s="18" t="n">
        <v>4</v>
      </c>
      <c r="I15" s="18" t="n">
        <v>5</v>
      </c>
      <c r="J15" s="18" t="n">
        <v>3</v>
      </c>
      <c r="K15" s="18" t="n">
        <v>4</v>
      </c>
      <c r="L15" s="18" t="n">
        <v>5</v>
      </c>
      <c r="M15" s="18" t="n">
        <v>4</v>
      </c>
      <c r="N15" s="18" t="n">
        <v>5</v>
      </c>
      <c r="O15" s="18" t="n">
        <v>5</v>
      </c>
      <c r="P15" s="18" t="n">
        <v>6</v>
      </c>
      <c r="Q15" s="18" t="n">
        <v>3</v>
      </c>
      <c r="R15" s="18" t="n">
        <v>4</v>
      </c>
      <c r="S15" s="18" t="n">
        <v>4</v>
      </c>
      <c r="T15" s="18" t="n">
        <v>4</v>
      </c>
      <c r="U15" s="18" t="n">
        <v>3</v>
      </c>
      <c r="V15" s="18" t="n">
        <v>4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5</v>
      </c>
      <c r="AC15" s="18" t="n">
        <v>5</v>
      </c>
      <c r="AD15" s="18" t="n">
        <v>7</v>
      </c>
      <c r="AE15" s="18" t="n">
        <v>3</v>
      </c>
      <c r="AF15" s="18" t="n">
        <v>5</v>
      </c>
      <c r="AG15" s="18" t="n">
        <v>4</v>
      </c>
      <c r="AH15" s="18" t="n">
        <v>6</v>
      </c>
      <c r="AI15" s="18" t="n">
        <v>3</v>
      </c>
      <c r="AJ15" s="18" t="n">
        <v>5</v>
      </c>
      <c r="AK15" s="18" t="n">
        <v>5</v>
      </c>
      <c r="AL15" s="18" t="n">
        <v>5</v>
      </c>
      <c r="AM15" s="18" t="n">
        <v>4</v>
      </c>
      <c r="AN15" s="18" t="n">
        <v>4</v>
      </c>
      <c r="AO15" s="18" t="n">
        <v>3</v>
      </c>
      <c r="AP15" s="18" t="n">
        <v>5</v>
      </c>
      <c r="AQ15" s="18" t="n">
        <v>3</v>
      </c>
      <c r="AR15" s="18" t="n">
        <v>4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Rafael Gonçales Benesi</t>
        </is>
      </c>
      <c r="C16" s="8" t="inlineStr">
        <is>
          <t>54774</t>
        </is>
      </c>
      <c r="D16" t="inlineStr">
        <is>
          <t>Estoril</t>
        </is>
      </c>
      <c r="E16" s="8" t="n">
        <v>9.4</v>
      </c>
      <c r="F16" s="18" t="n">
        <v>5</v>
      </c>
      <c r="G16" s="18" t="n">
        <v>5</v>
      </c>
      <c r="H16" s="18" t="n">
        <v>5</v>
      </c>
      <c r="I16" s="18" t="n">
        <v>5</v>
      </c>
      <c r="J16" s="18" t="n">
        <v>3</v>
      </c>
      <c r="K16" s="18" t="n">
        <v>4</v>
      </c>
      <c r="L16" s="18" t="n">
        <v>6</v>
      </c>
      <c r="M16" s="18" t="n">
        <v>3</v>
      </c>
      <c r="N16" s="18" t="n">
        <v>4</v>
      </c>
      <c r="O16" s="18" t="n">
        <v>4</v>
      </c>
      <c r="P16" s="18" t="n">
        <v>6</v>
      </c>
      <c r="Q16" s="18" t="n">
        <v>4</v>
      </c>
      <c r="R16" s="18" t="n">
        <v>4</v>
      </c>
      <c r="S16" s="18" t="n">
        <v>6</v>
      </c>
      <c r="T16" s="18" t="n">
        <v>4</v>
      </c>
      <c r="U16" s="18" t="n">
        <v>4</v>
      </c>
      <c r="V16" s="18" t="n">
        <v>4</v>
      </c>
      <c r="W16" s="18" t="n">
        <v>6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5</v>
      </c>
      <c r="AC16" s="18" t="n">
        <v>6</v>
      </c>
      <c r="AD16" s="18" t="n">
        <v>5</v>
      </c>
      <c r="AE16" s="18" t="n">
        <v>4</v>
      </c>
      <c r="AF16" s="18" t="n">
        <v>4</v>
      </c>
      <c r="AG16" s="18" t="n">
        <v>5</v>
      </c>
      <c r="AH16" s="18" t="n">
        <v>5</v>
      </c>
      <c r="AI16" s="18" t="n">
        <v>4</v>
      </c>
      <c r="AJ16" s="18" t="n">
        <v>6</v>
      </c>
      <c r="AK16" s="18" t="n">
        <v>5</v>
      </c>
      <c r="AL16" s="18" t="n">
        <v>6</v>
      </c>
      <c r="AM16" s="18" t="n">
        <v>4</v>
      </c>
      <c r="AN16" s="18" t="n">
        <v>4</v>
      </c>
      <c r="AO16" s="18" t="n">
        <v>4</v>
      </c>
      <c r="AP16" s="18" t="n">
        <v>6</v>
      </c>
      <c r="AQ16" s="18" t="n">
        <v>3</v>
      </c>
      <c r="AR16" s="18" t="n">
        <v>5</v>
      </c>
      <c r="AS16" s="18" t="n">
        <v>4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Miguel Coelho Porfirio</t>
        </is>
      </c>
      <c r="C17" s="8" t="inlineStr">
        <is>
          <t>44160</t>
        </is>
      </c>
      <c r="D17" t="inlineStr">
        <is>
          <t>Miramar</t>
        </is>
      </c>
      <c r="E17" s="8" t="n">
        <v>11.9</v>
      </c>
      <c r="F17" s="18" t="n">
        <v>5</v>
      </c>
      <c r="G17" s="18" t="n">
        <v>6</v>
      </c>
      <c r="H17" s="18" t="n">
        <v>5</v>
      </c>
      <c r="I17" s="18" t="n">
        <v>6</v>
      </c>
      <c r="J17" s="18" t="n">
        <v>3</v>
      </c>
      <c r="K17" s="18" t="n">
        <v>5</v>
      </c>
      <c r="L17" s="18" t="n">
        <v>4</v>
      </c>
      <c r="M17" s="18" t="n">
        <v>4</v>
      </c>
      <c r="N17" s="18" t="n">
        <v>4</v>
      </c>
      <c r="O17" s="18" t="n">
        <v>4</v>
      </c>
      <c r="P17" s="18" t="n">
        <v>6</v>
      </c>
      <c r="Q17" s="18" t="n">
        <v>3</v>
      </c>
      <c r="R17" s="18" t="n">
        <v>5</v>
      </c>
      <c r="S17" s="18" t="n">
        <v>3</v>
      </c>
      <c r="T17" s="18" t="n">
        <v>5</v>
      </c>
      <c r="U17" s="18" t="n">
        <v>5</v>
      </c>
      <c r="V17" s="18" t="n">
        <v>5</v>
      </c>
      <c r="W17" s="18" t="n">
        <v>5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6</v>
      </c>
      <c r="AC17" s="18" t="n">
        <v>5</v>
      </c>
      <c r="AD17" s="18" t="n">
        <v>4</v>
      </c>
      <c r="AE17" s="18" t="n">
        <v>3</v>
      </c>
      <c r="AF17" s="18" t="n">
        <v>5</v>
      </c>
      <c r="AG17" s="18" t="n">
        <v>3</v>
      </c>
      <c r="AH17" s="18" t="n">
        <v>6</v>
      </c>
      <c r="AI17" s="18" t="n">
        <v>4</v>
      </c>
      <c r="AJ17" s="18" t="n">
        <v>6</v>
      </c>
      <c r="AK17" s="18" t="n">
        <v>4</v>
      </c>
      <c r="AL17" s="18" t="n">
        <v>4</v>
      </c>
      <c r="AM17" s="18" t="n">
        <v>5</v>
      </c>
      <c r="AN17" s="18" t="n">
        <v>4</v>
      </c>
      <c r="AO17" s="18" t="n">
        <v>3</v>
      </c>
      <c r="AP17" s="18" t="n">
        <v>5</v>
      </c>
      <c r="AQ17" s="18" t="n">
        <v>3</v>
      </c>
      <c r="AR17" s="18" t="n">
        <v>4</v>
      </c>
      <c r="AS17" s="18" t="n">
        <v>4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Nuno Palmares Jr.</t>
        </is>
      </c>
      <c r="C18" s="8" t="inlineStr">
        <is>
          <t>49124</t>
        </is>
      </c>
      <c r="D18" t="inlineStr">
        <is>
          <t>Estoril</t>
        </is>
      </c>
      <c r="E18" s="8" t="n">
        <v>7.8</v>
      </c>
      <c r="F18" s="18" t="n">
        <v>5</v>
      </c>
      <c r="G18" s="18" t="n">
        <v>6</v>
      </c>
      <c r="H18" s="18" t="n">
        <v>4</v>
      </c>
      <c r="I18" s="18" t="n">
        <v>6</v>
      </c>
      <c r="J18" s="18" t="n">
        <v>3</v>
      </c>
      <c r="K18" s="18" t="n">
        <v>5</v>
      </c>
      <c r="L18" s="18" t="n">
        <v>5</v>
      </c>
      <c r="M18" s="18" t="n">
        <v>4</v>
      </c>
      <c r="N18" s="18" t="n">
        <v>9</v>
      </c>
      <c r="O18" s="18" t="n">
        <v>4</v>
      </c>
      <c r="P18" s="18" t="n">
        <v>6</v>
      </c>
      <c r="Q18" s="18" t="n">
        <v>3</v>
      </c>
      <c r="R18" s="18" t="n">
        <v>5</v>
      </c>
      <c r="S18" s="18" t="n">
        <v>2</v>
      </c>
      <c r="T18" s="18" t="n">
        <v>5</v>
      </c>
      <c r="U18" s="18" t="n">
        <v>4</v>
      </c>
      <c r="V18" s="18" t="n">
        <v>6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6</v>
      </c>
      <c r="AC18" s="18" t="n">
        <v>6</v>
      </c>
      <c r="AD18" s="18" t="n">
        <v>5</v>
      </c>
      <c r="AE18" s="18" t="n">
        <v>3</v>
      </c>
      <c r="AF18" s="18" t="n">
        <v>5</v>
      </c>
      <c r="AG18" s="18" t="n">
        <v>5</v>
      </c>
      <c r="AH18" s="18" t="n">
        <v>5</v>
      </c>
      <c r="AI18" s="18" t="n">
        <v>4</v>
      </c>
      <c r="AJ18" s="18" t="n">
        <v>6</v>
      </c>
      <c r="AK18" s="18" t="n">
        <v>5</v>
      </c>
      <c r="AL18" s="18" t="n">
        <v>4</v>
      </c>
      <c r="AM18" s="18" t="n">
        <v>4</v>
      </c>
      <c r="AN18" s="18" t="n">
        <v>4</v>
      </c>
      <c r="AO18" s="18" t="n">
        <v>4</v>
      </c>
      <c r="AP18" s="18" t="n">
        <v>5</v>
      </c>
      <c r="AQ18" s="18" t="n">
        <v>4</v>
      </c>
      <c r="AR18" s="18" t="n">
        <v>4</v>
      </c>
      <c r="AS18" s="18" t="n">
        <v>4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Clara Trindade</t>
        </is>
      </c>
      <c r="C19" s="8" t="inlineStr">
        <is>
          <t>45812</t>
        </is>
      </c>
      <c r="D19" t="inlineStr">
        <is>
          <t>Belas</t>
        </is>
      </c>
      <c r="E19" s="8" t="n">
        <v>11.1</v>
      </c>
      <c r="F19" s="18" t="n">
        <v>4</v>
      </c>
      <c r="G19" s="18" t="n">
        <v>5</v>
      </c>
      <c r="H19" s="18" t="n">
        <v>5</v>
      </c>
      <c r="I19" s="18" t="n">
        <v>6</v>
      </c>
      <c r="J19" s="18" t="n">
        <v>3</v>
      </c>
      <c r="K19" s="18" t="n">
        <v>4</v>
      </c>
      <c r="L19" s="18" t="n">
        <v>5</v>
      </c>
      <c r="M19" s="18" t="n">
        <v>4</v>
      </c>
      <c r="N19" s="18" t="n">
        <v>7</v>
      </c>
      <c r="O19" s="18" t="n">
        <v>5</v>
      </c>
      <c r="P19" s="18" t="n">
        <v>8</v>
      </c>
      <c r="Q19" s="18" t="n">
        <v>2</v>
      </c>
      <c r="R19" s="18" t="n">
        <v>3</v>
      </c>
      <c r="S19" s="18" t="n">
        <v>5</v>
      </c>
      <c r="T19" s="18" t="n">
        <v>7</v>
      </c>
      <c r="U19" s="18" t="n">
        <v>4</v>
      </c>
      <c r="V19" s="18" t="n">
        <v>5</v>
      </c>
      <c r="W19" s="18" t="n">
        <v>5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6</v>
      </c>
      <c r="AC19" s="18" t="n">
        <v>6</v>
      </c>
      <c r="AD19" s="18" t="n">
        <v>4</v>
      </c>
      <c r="AE19" s="18" t="n">
        <v>3</v>
      </c>
      <c r="AF19" s="18" t="n">
        <v>5</v>
      </c>
      <c r="AG19" s="18" t="n">
        <v>4</v>
      </c>
      <c r="AH19" s="18" t="n">
        <v>5</v>
      </c>
      <c r="AI19" s="18" t="n">
        <v>3</v>
      </c>
      <c r="AJ19" s="18" t="n">
        <v>6</v>
      </c>
      <c r="AK19" s="18" t="n">
        <v>6</v>
      </c>
      <c r="AL19" s="18" t="n">
        <v>6</v>
      </c>
      <c r="AM19" s="18" t="n">
        <v>6</v>
      </c>
      <c r="AN19" s="18" t="n">
        <v>4</v>
      </c>
      <c r="AO19" s="18" t="n">
        <v>3</v>
      </c>
      <c r="AP19" s="18" t="n">
        <v>5</v>
      </c>
      <c r="AQ19" s="18" t="n">
        <v>3</v>
      </c>
      <c r="AR19" s="18" t="n">
        <v>4</v>
      </c>
      <c r="AS19" s="18" t="n">
        <v>4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João Rocha</t>
        </is>
      </c>
      <c r="C20" s="8" t="inlineStr">
        <is>
          <t>48297</t>
        </is>
      </c>
      <c r="D20" t="inlineStr">
        <is>
          <t>Estoril</t>
        </is>
      </c>
      <c r="E20" s="8" t="n">
        <v>9.5</v>
      </c>
      <c r="F20" s="18" t="n">
        <v>6</v>
      </c>
      <c r="G20" s="18" t="n">
        <v>7</v>
      </c>
      <c r="H20" s="18" t="n">
        <v>5</v>
      </c>
      <c r="I20" s="18" t="n">
        <v>7</v>
      </c>
      <c r="J20" s="18" t="n">
        <v>3</v>
      </c>
      <c r="K20" s="18" t="n">
        <v>5</v>
      </c>
      <c r="L20" s="18" t="n">
        <v>5</v>
      </c>
      <c r="M20" s="18" t="n">
        <v>4</v>
      </c>
      <c r="N20" s="18" t="n">
        <v>5</v>
      </c>
      <c r="O20" s="18" t="n">
        <v>5</v>
      </c>
      <c r="P20" s="18" t="n">
        <v>6</v>
      </c>
      <c r="Q20" s="18" t="n">
        <v>4</v>
      </c>
      <c r="R20" s="18" t="n">
        <v>4</v>
      </c>
      <c r="S20" s="18" t="n">
        <v>4</v>
      </c>
      <c r="T20" s="18" t="n">
        <v>4</v>
      </c>
      <c r="U20" s="18" t="n">
        <v>4</v>
      </c>
      <c r="V20" s="18" t="n">
        <v>5</v>
      </c>
      <c r="W20" s="18" t="n">
        <v>5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5</v>
      </c>
      <c r="AC20" s="18" t="n">
        <v>5</v>
      </c>
      <c r="AD20" s="18" t="n">
        <v>5</v>
      </c>
      <c r="AE20" s="18" t="n">
        <v>5</v>
      </c>
      <c r="AF20" s="18" t="n">
        <v>5</v>
      </c>
      <c r="AG20" s="18" t="n">
        <v>4</v>
      </c>
      <c r="AH20" s="18" t="n">
        <v>5</v>
      </c>
      <c r="AI20" s="18" t="n">
        <v>4</v>
      </c>
      <c r="AJ20" s="18" t="n">
        <v>7</v>
      </c>
      <c r="AK20" s="18" t="n">
        <v>6</v>
      </c>
      <c r="AL20" s="18" t="n">
        <v>4</v>
      </c>
      <c r="AM20" s="18" t="n">
        <v>5</v>
      </c>
      <c r="AN20" s="18" t="n">
        <v>4</v>
      </c>
      <c r="AO20" s="18" t="n">
        <v>4</v>
      </c>
      <c r="AP20" s="18" t="n">
        <v>5</v>
      </c>
      <c r="AQ20" s="18" t="n">
        <v>3</v>
      </c>
      <c r="AR20" s="18" t="n">
        <v>4</v>
      </c>
      <c r="AS20" s="18" t="n">
        <v>5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Frederico Almeida da Silva</t>
        </is>
      </c>
      <c r="C21" s="8" t="inlineStr">
        <is>
          <t>41613</t>
        </is>
      </c>
      <c r="D21" t="inlineStr">
        <is>
          <t>Belas</t>
        </is>
      </c>
      <c r="E21" s="8" t="n">
        <v>8.699999999999999</v>
      </c>
      <c r="F21" s="18" t="n">
        <v>5</v>
      </c>
      <c r="G21" s="18" t="n">
        <v>6</v>
      </c>
      <c r="H21" s="18" t="n">
        <v>4</v>
      </c>
      <c r="I21" s="18" t="n">
        <v>6</v>
      </c>
      <c r="J21" s="18" t="n">
        <v>3</v>
      </c>
      <c r="K21" s="18" t="n">
        <v>4</v>
      </c>
      <c r="L21" s="18" t="n">
        <v>4</v>
      </c>
      <c r="M21" s="18" t="n">
        <v>4</v>
      </c>
      <c r="N21" s="18" t="n">
        <v>7</v>
      </c>
      <c r="O21" s="18" t="n">
        <v>6</v>
      </c>
      <c r="P21" s="18" t="n">
        <v>6</v>
      </c>
      <c r="Q21" s="18" t="n">
        <v>2</v>
      </c>
      <c r="R21" s="18" t="n">
        <v>5</v>
      </c>
      <c r="S21" s="18" t="n">
        <v>4</v>
      </c>
      <c r="T21" s="18" t="n">
        <v>5</v>
      </c>
      <c r="U21" s="18" t="n">
        <v>5</v>
      </c>
      <c r="V21" s="18" t="n">
        <v>6</v>
      </c>
      <c r="W21" s="18" t="n">
        <v>6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W21" s="8" t="n">
        <v>0</v>
      </c>
      <c r="AX21" s="19">
        <f>AA21+AW21</f>
        <v/>
      </c>
    </row>
    <row r="22">
      <c r="A22" s="8" t="n">
        <v>11</v>
      </c>
      <c r="B22" t="inlineStr">
        <is>
          <t>Filipe Pinheiro</t>
        </is>
      </c>
      <c r="C22" s="8" t="inlineStr">
        <is>
          <t>46591</t>
        </is>
      </c>
      <c r="D22" t="inlineStr">
        <is>
          <t>Belas</t>
        </is>
      </c>
      <c r="E22" s="8" t="n">
        <v>7.2</v>
      </c>
      <c r="F22" s="18" t="n">
        <v>6</v>
      </c>
      <c r="G22" s="18" t="n">
        <v>5</v>
      </c>
      <c r="H22" s="18" t="n">
        <v>5</v>
      </c>
      <c r="I22" s="18" t="n">
        <v>5</v>
      </c>
      <c r="J22" s="18" t="n">
        <v>4</v>
      </c>
      <c r="K22" s="18" t="n">
        <v>4</v>
      </c>
      <c r="L22" s="18" t="n">
        <v>4</v>
      </c>
      <c r="M22" s="18" t="n">
        <v>3</v>
      </c>
      <c r="N22" s="18" t="n">
        <v>5</v>
      </c>
      <c r="O22" s="18" t="n">
        <v>6</v>
      </c>
      <c r="P22" s="18" t="n">
        <v>7</v>
      </c>
      <c r="Q22" s="18" t="n">
        <v>5</v>
      </c>
      <c r="R22" s="18" t="n">
        <v>5</v>
      </c>
      <c r="S22" s="18" t="n">
        <v>5</v>
      </c>
      <c r="T22" s="18" t="n">
        <v>4</v>
      </c>
      <c r="U22" s="18" t="n">
        <v>5</v>
      </c>
      <c r="V22" s="18" t="n">
        <v>6</v>
      </c>
      <c r="W22" s="18" t="n">
        <v>6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4</v>
      </c>
      <c r="AC22" s="18" t="n">
        <v>5</v>
      </c>
      <c r="AD22" s="18" t="n">
        <v>5</v>
      </c>
      <c r="AE22" s="18" t="n">
        <v>3</v>
      </c>
      <c r="AF22" s="18" t="n">
        <v>4</v>
      </c>
      <c r="AG22" s="18" t="n">
        <v>4</v>
      </c>
      <c r="AH22" s="18" t="n">
        <v>4</v>
      </c>
      <c r="AI22" s="18" t="n">
        <v>5</v>
      </c>
      <c r="AJ22" s="18" t="n">
        <v>5</v>
      </c>
      <c r="AK22" s="18" t="n">
        <v>6</v>
      </c>
      <c r="AL22" s="18" t="n">
        <v>6</v>
      </c>
      <c r="AM22" s="18" t="n">
        <v>5</v>
      </c>
      <c r="AN22" s="18" t="n">
        <v>4</v>
      </c>
      <c r="AO22" s="18" t="n">
        <v>4</v>
      </c>
      <c r="AP22" s="18" t="n">
        <v>6</v>
      </c>
      <c r="AQ22" s="18" t="n">
        <v>3</v>
      </c>
      <c r="AR22" s="18" t="n">
        <v>4</v>
      </c>
      <c r="AS22" s="18" t="n">
        <v>4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Rodrigo Faria Constantino</t>
        </is>
      </c>
      <c r="C23" s="8" t="inlineStr">
        <is>
          <t>45278</t>
        </is>
      </c>
      <c r="D23" t="inlineStr">
        <is>
          <t>Belas</t>
        </is>
      </c>
      <c r="E23" s="8" t="n">
        <v>5.7</v>
      </c>
      <c r="F23" s="18" t="n">
        <v>4</v>
      </c>
      <c r="G23" s="18" t="n">
        <v>6</v>
      </c>
      <c r="H23" s="18" t="n">
        <v>6</v>
      </c>
      <c r="I23" s="18" t="n">
        <v>7</v>
      </c>
      <c r="J23" s="18" t="n">
        <v>5</v>
      </c>
      <c r="K23" s="18" t="n">
        <v>5</v>
      </c>
      <c r="L23" s="18" t="n">
        <v>7</v>
      </c>
      <c r="M23" s="18" t="n">
        <v>4</v>
      </c>
      <c r="N23" s="18" t="n">
        <v>4</v>
      </c>
      <c r="O23" s="18" t="n">
        <v>4</v>
      </c>
      <c r="P23" s="18" t="n">
        <v>6</v>
      </c>
      <c r="Q23" s="18" t="n">
        <v>6</v>
      </c>
      <c r="R23" s="18" t="n">
        <v>4</v>
      </c>
      <c r="S23" s="18" t="n">
        <v>4</v>
      </c>
      <c r="T23" s="18" t="n">
        <v>4</v>
      </c>
      <c r="U23" s="18" t="n">
        <v>6</v>
      </c>
      <c r="V23" s="18" t="n">
        <v>6</v>
      </c>
      <c r="W23" s="18" t="n">
        <v>5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4</v>
      </c>
      <c r="AC23" s="18" t="n">
        <v>5</v>
      </c>
      <c r="AD23" s="18" t="n">
        <v>5</v>
      </c>
      <c r="AE23" s="18" t="n">
        <v>4</v>
      </c>
      <c r="AF23" s="18" t="n">
        <v>4</v>
      </c>
      <c r="AG23" s="18" t="n">
        <v>4</v>
      </c>
      <c r="AH23" s="18" t="n">
        <v>4</v>
      </c>
      <c r="AI23" s="18" t="n">
        <v>4</v>
      </c>
      <c r="AJ23" s="18" t="n">
        <v>5</v>
      </c>
      <c r="AK23" s="18" t="n">
        <v>8</v>
      </c>
      <c r="AL23" s="18" t="n">
        <v>4</v>
      </c>
      <c r="AM23" s="18" t="n">
        <v>7</v>
      </c>
      <c r="AN23" s="18" t="n">
        <v>4</v>
      </c>
      <c r="AO23" s="18" t="n">
        <v>3</v>
      </c>
      <c r="AP23" s="18" t="n">
        <v>4</v>
      </c>
      <c r="AQ23" s="18" t="n">
        <v>3</v>
      </c>
      <c r="AR23" s="18" t="n">
        <v>4</v>
      </c>
      <c r="AS23" s="18" t="n">
        <v>7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Salvador Ivo de Carvalho</t>
        </is>
      </c>
      <c r="C24" s="8" t="inlineStr">
        <is>
          <t>43968</t>
        </is>
      </c>
      <c r="D24" t="inlineStr">
        <is>
          <t>Vilamoura, C. G</t>
        </is>
      </c>
      <c r="E24" s="8" t="n">
        <v>9.5</v>
      </c>
      <c r="F24" s="18" t="n">
        <v>6</v>
      </c>
      <c r="G24" s="18" t="n">
        <v>6</v>
      </c>
      <c r="H24" s="18" t="n">
        <v>4</v>
      </c>
      <c r="I24" s="18" t="n">
        <v>7</v>
      </c>
      <c r="J24" s="18" t="n">
        <v>2</v>
      </c>
      <c r="K24" s="18" t="n">
        <v>6</v>
      </c>
      <c r="L24" s="18" t="n">
        <v>5</v>
      </c>
      <c r="M24" s="18" t="n">
        <v>3</v>
      </c>
      <c r="N24" s="18" t="n">
        <v>5</v>
      </c>
      <c r="O24" s="18" t="n">
        <v>6</v>
      </c>
      <c r="P24" s="18" t="n">
        <v>7</v>
      </c>
      <c r="Q24" s="18" t="n">
        <v>4</v>
      </c>
      <c r="R24" s="18" t="n">
        <v>5</v>
      </c>
      <c r="S24" s="18" t="n">
        <v>4</v>
      </c>
      <c r="T24" s="18" t="n">
        <v>5</v>
      </c>
      <c r="U24" s="18" t="n">
        <v>6</v>
      </c>
      <c r="V24" s="18" t="n">
        <v>5</v>
      </c>
      <c r="W24" s="18" t="n">
        <v>7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5</v>
      </c>
      <c r="AC24" s="18" t="n">
        <v>5</v>
      </c>
      <c r="AD24" s="18" t="n">
        <v>5</v>
      </c>
      <c r="AE24" s="18" t="n">
        <v>3</v>
      </c>
      <c r="AF24" s="18" t="n">
        <v>5</v>
      </c>
      <c r="AG24" s="18" t="n">
        <v>4</v>
      </c>
      <c r="AH24" s="18" t="n">
        <v>5</v>
      </c>
      <c r="AI24" s="18" t="n">
        <v>3</v>
      </c>
      <c r="AJ24" s="18" t="n">
        <v>7</v>
      </c>
      <c r="AK24" s="18" t="n">
        <v>6</v>
      </c>
      <c r="AL24" s="18" t="n">
        <v>4</v>
      </c>
      <c r="AM24" s="18" t="n">
        <v>5</v>
      </c>
      <c r="AN24" s="18" t="n">
        <v>5</v>
      </c>
      <c r="AO24" s="18" t="n">
        <v>4</v>
      </c>
      <c r="AP24" s="18" t="n">
        <v>6</v>
      </c>
      <c r="AQ24" s="18" t="n">
        <v>4</v>
      </c>
      <c r="AR24" s="18" t="n">
        <v>4</v>
      </c>
      <c r="AS24" s="18" t="n">
        <v>5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Martim Sousa de Morais</t>
        </is>
      </c>
      <c r="C25" s="8" t="inlineStr">
        <is>
          <t>41609</t>
        </is>
      </c>
      <c r="D25" t="inlineStr">
        <is>
          <t>Belas</t>
        </is>
      </c>
      <c r="E25" s="8" t="n">
        <v>7.4</v>
      </c>
      <c r="F25" s="18" t="n">
        <v>5</v>
      </c>
      <c r="G25" s="18" t="n">
        <v>7</v>
      </c>
      <c r="H25" s="18" t="n">
        <v>5</v>
      </c>
      <c r="I25" s="18" t="n">
        <v>7</v>
      </c>
      <c r="J25" s="18" t="n">
        <v>5</v>
      </c>
      <c r="K25" s="18" t="n">
        <v>5</v>
      </c>
      <c r="L25" s="18" t="n">
        <v>6</v>
      </c>
      <c r="M25" s="18" t="n">
        <v>5</v>
      </c>
      <c r="N25" s="18" t="n">
        <v>4</v>
      </c>
      <c r="O25" s="18" t="n">
        <v>4</v>
      </c>
      <c r="P25" s="18" t="n">
        <v>6</v>
      </c>
      <c r="Q25" s="18" t="n">
        <v>5</v>
      </c>
      <c r="R25" s="18" t="n">
        <v>4</v>
      </c>
      <c r="S25" s="18" t="n">
        <v>5</v>
      </c>
      <c r="T25" s="18" t="n">
        <v>5</v>
      </c>
      <c r="U25" s="18" t="n">
        <v>5</v>
      </c>
      <c r="V25" s="18" t="n">
        <v>7</v>
      </c>
      <c r="W25" s="18" t="n">
        <v>6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5</v>
      </c>
      <c r="AC25" s="18" t="n">
        <v>5</v>
      </c>
      <c r="AD25" s="18" t="n">
        <v>5</v>
      </c>
      <c r="AE25" s="18" t="n">
        <v>5</v>
      </c>
      <c r="AF25" s="18" t="n">
        <v>4</v>
      </c>
      <c r="AG25" s="18" t="n">
        <v>5</v>
      </c>
      <c r="AH25" s="18" t="n">
        <v>4</v>
      </c>
      <c r="AI25" s="18" t="n">
        <v>4</v>
      </c>
      <c r="AJ25" s="18" t="n">
        <v>6</v>
      </c>
      <c r="AK25" s="18" t="n">
        <v>5</v>
      </c>
      <c r="AL25" s="18" t="n">
        <v>4</v>
      </c>
      <c r="AM25" s="18" t="n">
        <v>3</v>
      </c>
      <c r="AN25" s="18" t="n">
        <v>4</v>
      </c>
      <c r="AO25" s="18" t="n">
        <v>3</v>
      </c>
      <c r="AP25" s="18" t="n">
        <v>5</v>
      </c>
      <c r="AQ25" s="18" t="n">
        <v>4</v>
      </c>
      <c r="AR25" s="18" t="n">
        <v>4</v>
      </c>
      <c r="AS25" s="18" t="n">
        <v>5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Manuel Goulartt Medeiros</t>
        </is>
      </c>
      <c r="C26" s="8" t="inlineStr">
        <is>
          <t>52884</t>
        </is>
      </c>
      <c r="D26" t="inlineStr">
        <is>
          <t>Santo da Serra</t>
        </is>
      </c>
      <c r="E26" s="8" t="n">
        <v>18</v>
      </c>
      <c r="F26" s="18" t="n">
        <v>4</v>
      </c>
      <c r="G26" s="18" t="n">
        <v>8</v>
      </c>
      <c r="H26" s="18" t="n">
        <v>4</v>
      </c>
      <c r="I26" s="18" t="n">
        <v>6</v>
      </c>
      <c r="J26" s="18" t="n">
        <v>4</v>
      </c>
      <c r="K26" s="18" t="n">
        <v>6</v>
      </c>
      <c r="L26" s="18" t="n">
        <v>3</v>
      </c>
      <c r="M26" s="18" t="n">
        <v>6</v>
      </c>
      <c r="N26" s="18" t="n">
        <v>5</v>
      </c>
      <c r="O26" s="18" t="n">
        <v>6</v>
      </c>
      <c r="P26" s="18" t="n">
        <v>8</v>
      </c>
      <c r="Q26" s="18" t="n">
        <v>9</v>
      </c>
      <c r="R26" s="18" t="n">
        <v>4</v>
      </c>
      <c r="S26" s="18" t="n">
        <v>3</v>
      </c>
      <c r="T26" s="18" t="n">
        <v>5</v>
      </c>
      <c r="U26" s="18" t="n">
        <v>6</v>
      </c>
      <c r="V26" s="18" t="n">
        <v>5</v>
      </c>
      <c r="W26" s="18" t="n">
        <v>7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7</v>
      </c>
      <c r="AC26" s="18" t="n">
        <v>7</v>
      </c>
      <c r="AD26" s="18" t="n">
        <v>6</v>
      </c>
      <c r="AE26" s="18" t="n">
        <v>4</v>
      </c>
      <c r="AF26" s="18" t="n">
        <v>5</v>
      </c>
      <c r="AG26" s="18" t="n">
        <v>6</v>
      </c>
      <c r="AH26" s="18" t="n">
        <v>6</v>
      </c>
      <c r="AI26" s="18" t="n">
        <v>3</v>
      </c>
      <c r="AJ26" s="18" t="n">
        <v>6</v>
      </c>
      <c r="AK26" s="18" t="n">
        <v>6</v>
      </c>
      <c r="AL26" s="18" t="n">
        <v>5</v>
      </c>
      <c r="AM26" s="18" t="n">
        <v>4</v>
      </c>
      <c r="AN26" s="18" t="n">
        <v>6</v>
      </c>
      <c r="AO26" s="18" t="n">
        <v>3</v>
      </c>
      <c r="AP26" s="18" t="n">
        <v>7</v>
      </c>
      <c r="AQ26" s="18" t="n">
        <v>6</v>
      </c>
      <c r="AR26" s="18" t="n">
        <v>5</v>
      </c>
      <c r="AS26" s="18" t="n">
        <v>6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inlineStr">
        <is>
          <t>ND</t>
        </is>
      </c>
      <c r="B27" t="inlineStr">
        <is>
          <t>Ryan Dantas</t>
        </is>
      </c>
      <c r="C27" s="8" t="inlineStr">
        <is>
          <t>45439</t>
        </is>
      </c>
      <c r="D27" t="inlineStr">
        <is>
          <t>Belas</t>
        </is>
      </c>
      <c r="E27" s="8" t="n">
        <v>13.4</v>
      </c>
      <c r="AA27" s="8" t="n">
        <v>0</v>
      </c>
      <c r="AW27" s="8" t="n">
        <v>0</v>
      </c>
      <c r="AX27" s="19">
        <f>AA27+AW27</f>
        <v/>
      </c>
    </row>
    <row r="28">
      <c r="A28" s="8" t="inlineStr">
        <is>
          <t>NS</t>
        </is>
      </c>
      <c r="B28" t="inlineStr">
        <is>
          <t>Henrique Almeida da Silva</t>
        </is>
      </c>
      <c r="C28" s="8" t="inlineStr"/>
      <c r="D28" t="inlineStr">
        <is>
          <t>Belas</t>
        </is>
      </c>
      <c r="E28" s="8" t="n">
        <v>5.6</v>
      </c>
      <c r="AA28" s="8" t="n">
        <v>0</v>
      </c>
      <c r="AW28" s="8" t="n">
        <v>0</v>
      </c>
      <c r="AX28" s="19">
        <f>AA28+AW28</f>
        <v/>
      </c>
    </row>
  </sheetData>
  <mergeCells count="1">
    <mergeCell ref="A1:H1"/>
  </mergeCells>
  <conditionalFormatting sqref="F12:F28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28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28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28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28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28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28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28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28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28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28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28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28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28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28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28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28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28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28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28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28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28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28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28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28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28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28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28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28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28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28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28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28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28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28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28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Ribagolfe Oaks Masters</t>
        </is>
      </c>
    </row>
    <row r="2">
      <c r="A2" s="10" t="inlineStr">
        <is>
          <t>Data:</t>
        </is>
      </c>
      <c r="B2" t="inlineStr">
        <is>
          <t>2025-02-22</t>
        </is>
      </c>
    </row>
    <row r="3">
      <c r="A3" s="10" t="inlineStr">
        <is>
          <t>Campo:</t>
        </is>
      </c>
      <c r="B3" t="inlineStr">
        <is>
          <t>Ribagolfe Oaks</t>
        </is>
      </c>
    </row>
    <row r="4">
      <c r="A4" s="10" t="inlineStr">
        <is>
          <t>ccode/tcode:</t>
        </is>
      </c>
      <c r="B4" t="inlineStr">
        <is>
          <t>191/10036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https://scoring.datagolf.pt/pt/Classifications.aspx?ccode=191&amp;tcode=10036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5</v>
      </c>
      <c r="G10" s="15" t="n">
        <v>4</v>
      </c>
      <c r="H10" s="15" t="n">
        <v>3</v>
      </c>
      <c r="I10" s="15" t="n">
        <v>4</v>
      </c>
      <c r="J10" s="15" t="n">
        <v>3</v>
      </c>
      <c r="K10" s="15" t="n">
        <v>4</v>
      </c>
      <c r="L10" s="15" t="n">
        <v>4</v>
      </c>
      <c r="M10" s="15" t="n">
        <v>5</v>
      </c>
      <c r="N10" s="15" t="n">
        <v>4</v>
      </c>
      <c r="O10" s="15" t="n">
        <v>4</v>
      </c>
      <c r="P10" s="15" t="n">
        <v>4</v>
      </c>
      <c r="Q10" s="15" t="n">
        <v>3</v>
      </c>
      <c r="R10" s="15" t="n">
        <v>5</v>
      </c>
      <c r="S10" s="15" t="n">
        <v>4</v>
      </c>
      <c r="T10" s="15" t="n">
        <v>3</v>
      </c>
      <c r="U10" s="15" t="n">
        <v>4</v>
      </c>
      <c r="V10" s="15" t="n">
        <v>4</v>
      </c>
      <c r="W10" s="15" t="n">
        <v>5</v>
      </c>
      <c r="Y10" s="16">
        <f>SUM(F10:W10)</f>
        <v/>
      </c>
      <c r="AB10" s="15" t="n">
        <v>5</v>
      </c>
      <c r="AC10" s="15" t="n">
        <v>4</v>
      </c>
      <c r="AD10" s="15" t="n">
        <v>3</v>
      </c>
      <c r="AE10" s="15" t="n">
        <v>4</v>
      </c>
      <c r="AF10" s="15" t="n">
        <v>3</v>
      </c>
      <c r="AG10" s="15" t="n">
        <v>4</v>
      </c>
      <c r="AH10" s="15" t="n">
        <v>4</v>
      </c>
      <c r="AI10" s="15" t="n">
        <v>5</v>
      </c>
      <c r="AJ10" s="15" t="n">
        <v>4</v>
      </c>
      <c r="AK10" s="15" t="n">
        <v>4</v>
      </c>
      <c r="AL10" s="15" t="n">
        <v>4</v>
      </c>
      <c r="AM10" s="15" t="n">
        <v>3</v>
      </c>
      <c r="AN10" s="15" t="n">
        <v>5</v>
      </c>
      <c r="AO10" s="15" t="n">
        <v>4</v>
      </c>
      <c r="AP10" s="15" t="n">
        <v>3</v>
      </c>
      <c r="AQ10" s="15" t="n">
        <v>4</v>
      </c>
      <c r="AR10" s="15" t="n">
        <v>4</v>
      </c>
      <c r="AS10" s="15" t="n">
        <v>5</v>
      </c>
      <c r="AU10" s="16">
        <f>SUM(AB10:AS10)</f>
        <v/>
      </c>
    </row>
    <row r="11">
      <c r="A11" s="14" t="inlineStr">
        <is>
          <t>—SI—</t>
        </is>
      </c>
      <c r="F11" s="17" t="n">
        <v>13</v>
      </c>
      <c r="G11" s="17" t="n">
        <v>15</v>
      </c>
      <c r="H11" s="17" t="n">
        <v>7</v>
      </c>
      <c r="I11" s="17" t="n">
        <v>5</v>
      </c>
      <c r="J11" s="17" t="n">
        <v>17</v>
      </c>
      <c r="K11" s="17" t="n">
        <v>3</v>
      </c>
      <c r="L11" s="17" t="n">
        <v>1</v>
      </c>
      <c r="M11" s="17" t="n">
        <v>9</v>
      </c>
      <c r="N11" s="17" t="n">
        <v>11</v>
      </c>
      <c r="O11" s="17" t="n">
        <v>2</v>
      </c>
      <c r="P11" s="17" t="n">
        <v>10</v>
      </c>
      <c r="Q11" s="17" t="n">
        <v>16</v>
      </c>
      <c r="R11" s="17" t="n">
        <v>4</v>
      </c>
      <c r="S11" s="17" t="n">
        <v>18</v>
      </c>
      <c r="T11" s="17" t="n">
        <v>14</v>
      </c>
      <c r="U11" s="17" t="n">
        <v>6</v>
      </c>
      <c r="V11" s="17" t="n">
        <v>8</v>
      </c>
      <c r="W11" s="17" t="n">
        <v>12</v>
      </c>
      <c r="AB11" s="17" t="n">
        <v>13</v>
      </c>
      <c r="AC11" s="17" t="n">
        <v>15</v>
      </c>
      <c r="AD11" s="17" t="n">
        <v>7</v>
      </c>
      <c r="AE11" s="17" t="n">
        <v>5</v>
      </c>
      <c r="AF11" s="17" t="n">
        <v>17</v>
      </c>
      <c r="AG11" s="17" t="n">
        <v>3</v>
      </c>
      <c r="AH11" s="17" t="n">
        <v>1</v>
      </c>
      <c r="AI11" s="17" t="n">
        <v>9</v>
      </c>
      <c r="AJ11" s="17" t="n">
        <v>11</v>
      </c>
      <c r="AK11" s="17" t="n">
        <v>2</v>
      </c>
      <c r="AL11" s="17" t="n">
        <v>10</v>
      </c>
      <c r="AM11" s="17" t="n">
        <v>16</v>
      </c>
      <c r="AN11" s="17" t="n">
        <v>4</v>
      </c>
      <c r="AO11" s="17" t="n">
        <v>18</v>
      </c>
      <c r="AP11" s="17" t="n">
        <v>14</v>
      </c>
      <c r="AQ11" s="17" t="n">
        <v>6</v>
      </c>
      <c r="AR11" s="17" t="n">
        <v>8</v>
      </c>
      <c r="AS11" s="17" t="n">
        <v>12</v>
      </c>
    </row>
    <row r="12">
      <c r="A12" s="8" t="n">
        <v>1</v>
      </c>
      <c r="B12" t="inlineStr">
        <is>
          <t>João Maria Ivo de Carvalho</t>
        </is>
      </c>
      <c r="C12" s="8" t="inlineStr">
        <is>
          <t>38334</t>
        </is>
      </c>
      <c r="D12" t="inlineStr">
        <is>
          <t>Vilamoura, C. G</t>
        </is>
      </c>
      <c r="E12" s="8" t="n">
        <v>1.6</v>
      </c>
      <c r="F12" s="18" t="n">
        <v>5</v>
      </c>
      <c r="G12" s="18" t="n">
        <v>4</v>
      </c>
      <c r="H12" s="18" t="n">
        <v>4</v>
      </c>
      <c r="I12" s="18" t="n">
        <v>4</v>
      </c>
      <c r="J12" s="18" t="n">
        <v>3</v>
      </c>
      <c r="K12" s="18" t="n">
        <v>4</v>
      </c>
      <c r="L12" s="18" t="n">
        <v>5</v>
      </c>
      <c r="M12" s="18" t="n">
        <v>5</v>
      </c>
      <c r="N12" s="18" t="n">
        <v>4</v>
      </c>
      <c r="O12" s="18" t="n">
        <v>6</v>
      </c>
      <c r="P12" s="18" t="n">
        <v>4</v>
      </c>
      <c r="Q12" s="18" t="n">
        <v>3</v>
      </c>
      <c r="R12" s="18" t="n">
        <v>5</v>
      </c>
      <c r="S12" s="18" t="n">
        <v>4</v>
      </c>
      <c r="T12" s="18" t="n">
        <v>4</v>
      </c>
      <c r="U12" s="18" t="n">
        <v>5</v>
      </c>
      <c r="V12" s="18" t="n">
        <v>3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5</v>
      </c>
      <c r="AC12" s="18" t="n">
        <v>4</v>
      </c>
      <c r="AD12" s="18" t="n">
        <v>4</v>
      </c>
      <c r="AE12" s="18" t="n">
        <v>6</v>
      </c>
      <c r="AF12" s="18" t="n">
        <v>3</v>
      </c>
      <c r="AG12" s="18" t="n">
        <v>4</v>
      </c>
      <c r="AH12" s="18" t="n">
        <v>4</v>
      </c>
      <c r="AI12" s="18" t="n">
        <v>4</v>
      </c>
      <c r="AJ12" s="18" t="n">
        <v>4</v>
      </c>
      <c r="AK12" s="18" t="n">
        <v>4</v>
      </c>
      <c r="AL12" s="18" t="n">
        <v>3</v>
      </c>
      <c r="AM12" s="18" t="n">
        <v>5</v>
      </c>
      <c r="AN12" s="18" t="n">
        <v>6</v>
      </c>
      <c r="AO12" s="18" t="n">
        <v>4</v>
      </c>
      <c r="AP12" s="18" t="n">
        <v>3</v>
      </c>
      <c r="AQ12" s="18" t="n">
        <v>5</v>
      </c>
      <c r="AR12" s="18" t="n">
        <v>5</v>
      </c>
      <c r="AS12" s="18" t="n">
        <v>5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Rafael Gonçales Benesi</t>
        </is>
      </c>
      <c r="C13" s="8" t="inlineStr">
        <is>
          <t>54774</t>
        </is>
      </c>
      <c r="D13" t="inlineStr">
        <is>
          <t>Estoril</t>
        </is>
      </c>
      <c r="E13" s="8" t="n">
        <v>9.5</v>
      </c>
      <c r="F13" s="18" t="n">
        <v>5</v>
      </c>
      <c r="G13" s="18" t="n">
        <v>4</v>
      </c>
      <c r="H13" s="18" t="n">
        <v>2</v>
      </c>
      <c r="I13" s="18" t="n">
        <v>4</v>
      </c>
      <c r="J13" s="18" t="n">
        <v>3</v>
      </c>
      <c r="K13" s="18" t="n">
        <v>4</v>
      </c>
      <c r="L13" s="18" t="n">
        <v>6</v>
      </c>
      <c r="M13" s="18" t="n">
        <v>5</v>
      </c>
      <c r="N13" s="18" t="n">
        <v>4</v>
      </c>
      <c r="O13" s="18" t="n">
        <v>3</v>
      </c>
      <c r="P13" s="18" t="n">
        <v>5</v>
      </c>
      <c r="Q13" s="18" t="n">
        <v>3</v>
      </c>
      <c r="R13" s="18" t="n">
        <v>6</v>
      </c>
      <c r="S13" s="18" t="n">
        <v>5</v>
      </c>
      <c r="T13" s="18" t="n">
        <v>3</v>
      </c>
      <c r="U13" s="18" t="n">
        <v>5</v>
      </c>
      <c r="V13" s="18" t="n">
        <v>4</v>
      </c>
      <c r="W13" s="18" t="n">
        <v>5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5</v>
      </c>
      <c r="AC13" s="18" t="n">
        <v>4</v>
      </c>
      <c r="AD13" s="18" t="n">
        <v>3</v>
      </c>
      <c r="AE13" s="18" t="n">
        <v>4</v>
      </c>
      <c r="AF13" s="18" t="n">
        <v>3</v>
      </c>
      <c r="AG13" s="18" t="n">
        <v>4</v>
      </c>
      <c r="AH13" s="18" t="n">
        <v>5</v>
      </c>
      <c r="AI13" s="18" t="n">
        <v>5</v>
      </c>
      <c r="AJ13" s="18" t="n">
        <v>5</v>
      </c>
      <c r="AK13" s="18" t="n">
        <v>4</v>
      </c>
      <c r="AL13" s="18" t="n">
        <v>5</v>
      </c>
      <c r="AM13" s="18" t="n">
        <v>3</v>
      </c>
      <c r="AN13" s="18" t="n">
        <v>5</v>
      </c>
      <c r="AO13" s="18" t="n">
        <v>5</v>
      </c>
      <c r="AP13" s="18" t="n">
        <v>4</v>
      </c>
      <c r="AQ13" s="18" t="n">
        <v>4</v>
      </c>
      <c r="AR13" s="18" t="n">
        <v>5</v>
      </c>
      <c r="AS13" s="18" t="n">
        <v>5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Pedro Costa Alemão</t>
        </is>
      </c>
      <c r="C14" s="8" t="inlineStr">
        <is>
          <t>46706</t>
        </is>
      </c>
      <c r="D14" t="inlineStr">
        <is>
          <t>Estoril</t>
        </is>
      </c>
      <c r="E14" s="8" t="n">
        <v>7.8</v>
      </c>
      <c r="F14" s="18" t="n">
        <v>5</v>
      </c>
      <c r="G14" s="18" t="n">
        <v>4</v>
      </c>
      <c r="H14" s="18" t="n">
        <v>3</v>
      </c>
      <c r="I14" s="18" t="n">
        <v>4</v>
      </c>
      <c r="J14" s="18" t="n">
        <v>3</v>
      </c>
      <c r="K14" s="18" t="n">
        <v>4</v>
      </c>
      <c r="L14" s="18" t="n">
        <v>4</v>
      </c>
      <c r="M14" s="18" t="n">
        <v>5</v>
      </c>
      <c r="N14" s="18" t="n">
        <v>4</v>
      </c>
      <c r="O14" s="18" t="n">
        <v>5</v>
      </c>
      <c r="P14" s="18" t="n">
        <v>4</v>
      </c>
      <c r="Q14" s="18" t="n">
        <v>3</v>
      </c>
      <c r="R14" s="18" t="n">
        <v>6</v>
      </c>
      <c r="S14" s="18" t="n">
        <v>4</v>
      </c>
      <c r="T14" s="18" t="n">
        <v>4</v>
      </c>
      <c r="U14" s="18" t="n">
        <v>5</v>
      </c>
      <c r="V14" s="18" t="n">
        <v>4</v>
      </c>
      <c r="W14" s="18" t="n">
        <v>6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5</v>
      </c>
      <c r="AC14" s="18" t="n">
        <v>4</v>
      </c>
      <c r="AD14" s="18" t="n">
        <v>4</v>
      </c>
      <c r="AE14" s="18" t="n">
        <v>4</v>
      </c>
      <c r="AF14" s="18" t="n">
        <v>3</v>
      </c>
      <c r="AG14" s="18" t="n">
        <v>6</v>
      </c>
      <c r="AH14" s="18" t="n">
        <v>4</v>
      </c>
      <c r="AI14" s="18" t="n">
        <v>4</v>
      </c>
      <c r="AJ14" s="18" t="n">
        <v>5</v>
      </c>
      <c r="AK14" s="18" t="n">
        <v>5</v>
      </c>
      <c r="AL14" s="18" t="n">
        <v>4</v>
      </c>
      <c r="AM14" s="18" t="n">
        <v>3</v>
      </c>
      <c r="AN14" s="18" t="n">
        <v>7</v>
      </c>
      <c r="AO14" s="18" t="n">
        <v>4</v>
      </c>
      <c r="AP14" s="18" t="n">
        <v>4</v>
      </c>
      <c r="AQ14" s="18" t="n">
        <v>5</v>
      </c>
      <c r="AR14" s="18" t="n">
        <v>4</v>
      </c>
      <c r="AS14" s="18" t="n">
        <v>5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Rafaela Pinto</t>
        </is>
      </c>
      <c r="C15" s="8" t="inlineStr">
        <is>
          <t>40390</t>
        </is>
      </c>
      <c r="D15" t="inlineStr">
        <is>
          <t>Arquitectos</t>
        </is>
      </c>
      <c r="E15" s="8" t="n">
        <v>1</v>
      </c>
      <c r="F15" s="18" t="n">
        <v>7</v>
      </c>
      <c r="G15" s="18" t="n">
        <v>5</v>
      </c>
      <c r="H15" s="18" t="n">
        <v>3</v>
      </c>
      <c r="I15" s="18" t="n">
        <v>4</v>
      </c>
      <c r="J15" s="18" t="n">
        <v>3</v>
      </c>
      <c r="K15" s="18" t="n">
        <v>5</v>
      </c>
      <c r="L15" s="18" t="n">
        <v>4</v>
      </c>
      <c r="M15" s="18" t="n">
        <v>5</v>
      </c>
      <c r="N15" s="18" t="n">
        <v>4</v>
      </c>
      <c r="O15" s="18" t="n">
        <v>4</v>
      </c>
      <c r="P15" s="18" t="n">
        <v>4</v>
      </c>
      <c r="Q15" s="18" t="n">
        <v>3</v>
      </c>
      <c r="R15" s="18" t="n">
        <v>6</v>
      </c>
      <c r="S15" s="18" t="n">
        <v>3</v>
      </c>
      <c r="T15" s="18" t="n">
        <v>3</v>
      </c>
      <c r="U15" s="18" t="n">
        <v>4</v>
      </c>
      <c r="V15" s="18" t="n">
        <v>5</v>
      </c>
      <c r="W15" s="18" t="n">
        <v>6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5</v>
      </c>
      <c r="AC15" s="18" t="n">
        <v>4</v>
      </c>
      <c r="AD15" s="18" t="n">
        <v>4</v>
      </c>
      <c r="AE15" s="18" t="n">
        <v>4</v>
      </c>
      <c r="AF15" s="18" t="n">
        <v>3</v>
      </c>
      <c r="AG15" s="18" t="n">
        <v>4</v>
      </c>
      <c r="AH15" s="18" t="n">
        <v>5</v>
      </c>
      <c r="AI15" s="18" t="n">
        <v>5</v>
      </c>
      <c r="AJ15" s="18" t="n">
        <v>5</v>
      </c>
      <c r="AK15" s="18" t="n">
        <v>4</v>
      </c>
      <c r="AL15" s="18" t="n">
        <v>4</v>
      </c>
      <c r="AM15" s="18" t="n">
        <v>3</v>
      </c>
      <c r="AN15" s="18" t="n">
        <v>9</v>
      </c>
      <c r="AO15" s="18" t="n">
        <v>5</v>
      </c>
      <c r="AP15" s="18" t="n">
        <v>2</v>
      </c>
      <c r="AQ15" s="18" t="n">
        <v>6</v>
      </c>
      <c r="AR15" s="18" t="n">
        <v>4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Rodrigo Faria Constantino</t>
        </is>
      </c>
      <c r="C16" s="8" t="inlineStr">
        <is>
          <t>45278</t>
        </is>
      </c>
      <c r="D16" t="inlineStr">
        <is>
          <t>Belas</t>
        </is>
      </c>
      <c r="E16" s="8" t="n">
        <v>5.7</v>
      </c>
      <c r="F16" s="18" t="n">
        <v>6</v>
      </c>
      <c r="G16" s="18" t="n">
        <v>4</v>
      </c>
      <c r="H16" s="18" t="n">
        <v>3</v>
      </c>
      <c r="I16" s="18" t="n">
        <v>5</v>
      </c>
      <c r="J16" s="18" t="n">
        <v>3</v>
      </c>
      <c r="K16" s="18" t="n">
        <v>4</v>
      </c>
      <c r="L16" s="18" t="n">
        <v>3</v>
      </c>
      <c r="M16" s="18" t="n">
        <v>5</v>
      </c>
      <c r="N16" s="18" t="n">
        <v>5</v>
      </c>
      <c r="O16" s="18" t="n">
        <v>3</v>
      </c>
      <c r="P16" s="18" t="n">
        <v>6</v>
      </c>
      <c r="Q16" s="18" t="n">
        <v>3</v>
      </c>
      <c r="R16" s="18" t="n">
        <v>7</v>
      </c>
      <c r="S16" s="18" t="n">
        <v>4</v>
      </c>
      <c r="T16" s="18" t="n">
        <v>4</v>
      </c>
      <c r="U16" s="18" t="n">
        <v>4</v>
      </c>
      <c r="V16" s="18" t="n">
        <v>5</v>
      </c>
      <c r="W16" s="18" t="n">
        <v>6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6</v>
      </c>
      <c r="AC16" s="18" t="n">
        <v>4</v>
      </c>
      <c r="AD16" s="18" t="n">
        <v>3</v>
      </c>
      <c r="AE16" s="18" t="n">
        <v>4</v>
      </c>
      <c r="AF16" s="18" t="n">
        <v>4</v>
      </c>
      <c r="AG16" s="18" t="n">
        <v>5</v>
      </c>
      <c r="AH16" s="18" t="n">
        <v>5</v>
      </c>
      <c r="AI16" s="18" t="n">
        <v>5</v>
      </c>
      <c r="AJ16" s="18" t="n">
        <v>4</v>
      </c>
      <c r="AK16" s="18" t="n">
        <v>5</v>
      </c>
      <c r="AL16" s="18" t="n">
        <v>6</v>
      </c>
      <c r="AM16" s="18" t="n">
        <v>3</v>
      </c>
      <c r="AN16" s="18" t="n">
        <v>5</v>
      </c>
      <c r="AO16" s="18" t="n">
        <v>4</v>
      </c>
      <c r="AP16" s="18" t="n">
        <v>3</v>
      </c>
      <c r="AQ16" s="18" t="n">
        <v>6</v>
      </c>
      <c r="AR16" s="18" t="n">
        <v>4</v>
      </c>
      <c r="AS16" s="18" t="n">
        <v>6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Ricardo Castro Ferreira</t>
        </is>
      </c>
      <c r="C17" s="8" t="inlineStr">
        <is>
          <t>49085</t>
        </is>
      </c>
      <c r="D17" t="inlineStr">
        <is>
          <t>Estoril</t>
        </is>
      </c>
      <c r="E17" s="8" t="n">
        <v>11.6</v>
      </c>
      <c r="F17" s="18" t="n">
        <v>5</v>
      </c>
      <c r="G17" s="18" t="n">
        <v>4</v>
      </c>
      <c r="H17" s="18" t="n">
        <v>4</v>
      </c>
      <c r="I17" s="18" t="n">
        <v>4</v>
      </c>
      <c r="J17" s="18" t="n">
        <v>3</v>
      </c>
      <c r="K17" s="18" t="n">
        <v>5</v>
      </c>
      <c r="L17" s="18" t="n">
        <v>4</v>
      </c>
      <c r="M17" s="18" t="n">
        <v>6</v>
      </c>
      <c r="N17" s="18" t="n">
        <v>5</v>
      </c>
      <c r="O17" s="18" t="n">
        <v>4</v>
      </c>
      <c r="P17" s="18" t="n">
        <v>4</v>
      </c>
      <c r="Q17" s="18" t="n">
        <v>4</v>
      </c>
      <c r="R17" s="18" t="n">
        <v>6</v>
      </c>
      <c r="S17" s="18" t="n">
        <v>4</v>
      </c>
      <c r="T17" s="18" t="n">
        <v>4</v>
      </c>
      <c r="U17" s="18" t="n">
        <v>5</v>
      </c>
      <c r="V17" s="18" t="n">
        <v>4</v>
      </c>
      <c r="W17" s="18" t="n">
        <v>6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7</v>
      </c>
      <c r="AC17" s="18" t="n">
        <v>6</v>
      </c>
      <c r="AD17" s="18" t="n">
        <v>3</v>
      </c>
      <c r="AE17" s="18" t="n">
        <v>4</v>
      </c>
      <c r="AF17" s="18" t="n">
        <v>3</v>
      </c>
      <c r="AG17" s="18" t="n">
        <v>4</v>
      </c>
      <c r="AH17" s="18" t="n">
        <v>4</v>
      </c>
      <c r="AI17" s="18" t="n">
        <v>4</v>
      </c>
      <c r="AJ17" s="18" t="n">
        <v>5</v>
      </c>
      <c r="AK17" s="18" t="n">
        <v>5</v>
      </c>
      <c r="AL17" s="18" t="n">
        <v>5</v>
      </c>
      <c r="AM17" s="18" t="n">
        <v>4</v>
      </c>
      <c r="AN17" s="18" t="n">
        <v>6</v>
      </c>
      <c r="AO17" s="18" t="n">
        <v>4</v>
      </c>
      <c r="AP17" s="18" t="n">
        <v>2</v>
      </c>
      <c r="AQ17" s="18" t="n">
        <v>6</v>
      </c>
      <c r="AR17" s="18" t="n">
        <v>5</v>
      </c>
      <c r="AS17" s="18" t="n">
        <v>6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Filipe Pinheiro</t>
        </is>
      </c>
      <c r="C18" s="8" t="inlineStr">
        <is>
          <t>46591</t>
        </is>
      </c>
      <c r="D18" t="inlineStr">
        <is>
          <t>Belas</t>
        </is>
      </c>
      <c r="E18" s="8" t="n">
        <v>7.2</v>
      </c>
      <c r="F18" s="18" t="n">
        <v>4</v>
      </c>
      <c r="G18" s="18" t="n">
        <v>4</v>
      </c>
      <c r="H18" s="18" t="n">
        <v>3</v>
      </c>
      <c r="I18" s="18" t="n">
        <v>6</v>
      </c>
      <c r="J18" s="18" t="n">
        <v>3</v>
      </c>
      <c r="K18" s="18" t="n">
        <v>5</v>
      </c>
      <c r="L18" s="18" t="n">
        <v>5</v>
      </c>
      <c r="M18" s="18" t="n">
        <v>5</v>
      </c>
      <c r="N18" s="18" t="n">
        <v>6</v>
      </c>
      <c r="O18" s="18" t="n">
        <v>5</v>
      </c>
      <c r="P18" s="18" t="n">
        <v>5</v>
      </c>
      <c r="Q18" s="18" t="n">
        <v>3</v>
      </c>
      <c r="R18" s="18" t="n">
        <v>6</v>
      </c>
      <c r="S18" s="18" t="n">
        <v>5</v>
      </c>
      <c r="T18" s="18" t="n">
        <v>3</v>
      </c>
      <c r="U18" s="18" t="n">
        <v>5</v>
      </c>
      <c r="V18" s="18" t="n">
        <v>4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6</v>
      </c>
      <c r="AC18" s="18" t="n">
        <v>3</v>
      </c>
      <c r="AD18" s="18" t="n">
        <v>5</v>
      </c>
      <c r="AE18" s="18" t="n">
        <v>5</v>
      </c>
      <c r="AF18" s="18" t="n">
        <v>3</v>
      </c>
      <c r="AG18" s="18" t="n">
        <v>6</v>
      </c>
      <c r="AH18" s="18" t="n">
        <v>5</v>
      </c>
      <c r="AI18" s="18" t="n">
        <v>6</v>
      </c>
      <c r="AJ18" s="18" t="n">
        <v>4</v>
      </c>
      <c r="AK18" s="18" t="n">
        <v>4</v>
      </c>
      <c r="AL18" s="18" t="n">
        <v>4</v>
      </c>
      <c r="AM18" s="18" t="n">
        <v>4</v>
      </c>
      <c r="AN18" s="18" t="n">
        <v>5</v>
      </c>
      <c r="AO18" s="18" t="n">
        <v>4</v>
      </c>
      <c r="AP18" s="18" t="n">
        <v>3</v>
      </c>
      <c r="AQ18" s="18" t="n">
        <v>5</v>
      </c>
      <c r="AR18" s="18" t="n">
        <v>4</v>
      </c>
      <c r="AS18" s="18" t="n">
        <v>7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João Rocha</t>
        </is>
      </c>
      <c r="C19" s="8" t="inlineStr">
        <is>
          <t>48297</t>
        </is>
      </c>
      <c r="D19" t="inlineStr">
        <is>
          <t>Estoril</t>
        </is>
      </c>
      <c r="E19" s="8" t="n">
        <v>9.800000000000001</v>
      </c>
      <c r="F19" s="18" t="n">
        <v>7</v>
      </c>
      <c r="G19" s="18" t="n">
        <v>4</v>
      </c>
      <c r="H19" s="18" t="n">
        <v>5</v>
      </c>
      <c r="I19" s="18" t="n">
        <v>4</v>
      </c>
      <c r="J19" s="18" t="n">
        <v>3</v>
      </c>
      <c r="K19" s="18" t="n">
        <v>6</v>
      </c>
      <c r="L19" s="18" t="n">
        <v>5</v>
      </c>
      <c r="M19" s="18" t="n">
        <v>4</v>
      </c>
      <c r="N19" s="18" t="n">
        <v>5</v>
      </c>
      <c r="O19" s="18" t="n">
        <v>6</v>
      </c>
      <c r="P19" s="18" t="n">
        <v>5</v>
      </c>
      <c r="Q19" s="18" t="n">
        <v>3</v>
      </c>
      <c r="R19" s="18" t="n">
        <v>6</v>
      </c>
      <c r="S19" s="18" t="n">
        <v>4</v>
      </c>
      <c r="T19" s="18" t="n">
        <v>4</v>
      </c>
      <c r="U19" s="18" t="n">
        <v>6</v>
      </c>
      <c r="V19" s="18" t="n">
        <v>4</v>
      </c>
      <c r="W19" s="18" t="n">
        <v>6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4</v>
      </c>
      <c r="AC19" s="18" t="n">
        <v>5</v>
      </c>
      <c r="AD19" s="18" t="n">
        <v>4</v>
      </c>
      <c r="AE19" s="18" t="n">
        <v>5</v>
      </c>
      <c r="AF19" s="18" t="n">
        <v>3</v>
      </c>
      <c r="AG19" s="18" t="n">
        <v>4</v>
      </c>
      <c r="AH19" s="18" t="n">
        <v>5</v>
      </c>
      <c r="AI19" s="18" t="n">
        <v>6</v>
      </c>
      <c r="AJ19" s="18" t="n">
        <v>5</v>
      </c>
      <c r="AK19" s="18" t="n">
        <v>6</v>
      </c>
      <c r="AL19" s="18" t="n">
        <v>6</v>
      </c>
      <c r="AM19" s="18" t="n">
        <v>3</v>
      </c>
      <c r="AN19" s="18" t="n">
        <v>7</v>
      </c>
      <c r="AO19" s="18" t="n">
        <v>3</v>
      </c>
      <c r="AP19" s="18" t="n">
        <v>4</v>
      </c>
      <c r="AQ19" s="18" t="n">
        <v>4</v>
      </c>
      <c r="AR19" s="18" t="n">
        <v>5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Clara Trindade</t>
        </is>
      </c>
      <c r="C20" s="8" t="inlineStr">
        <is>
          <t>45812</t>
        </is>
      </c>
      <c r="D20" t="inlineStr">
        <is>
          <t>Belas</t>
        </is>
      </c>
      <c r="E20" s="8" t="n">
        <v>10.5</v>
      </c>
      <c r="F20" s="18" t="n">
        <v>7</v>
      </c>
      <c r="G20" s="18" t="n">
        <v>4</v>
      </c>
      <c r="H20" s="18" t="n">
        <v>3</v>
      </c>
      <c r="I20" s="18" t="n">
        <v>5</v>
      </c>
      <c r="J20" s="18" t="n">
        <v>3</v>
      </c>
      <c r="K20" s="18" t="n">
        <v>8</v>
      </c>
      <c r="L20" s="18" t="n">
        <v>6</v>
      </c>
      <c r="M20" s="18" t="n">
        <v>5</v>
      </c>
      <c r="N20" s="18" t="n">
        <v>5</v>
      </c>
      <c r="O20" s="18" t="n">
        <v>4</v>
      </c>
      <c r="P20" s="18" t="n">
        <v>5</v>
      </c>
      <c r="Q20" s="18" t="n">
        <v>3</v>
      </c>
      <c r="R20" s="18" t="n">
        <v>6</v>
      </c>
      <c r="S20" s="18" t="n">
        <v>6</v>
      </c>
      <c r="T20" s="18" t="n">
        <v>6</v>
      </c>
      <c r="U20" s="18" t="n">
        <v>5</v>
      </c>
      <c r="V20" s="18" t="n">
        <v>4</v>
      </c>
      <c r="W20" s="18" t="n">
        <v>5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6</v>
      </c>
      <c r="AC20" s="18" t="n">
        <v>4</v>
      </c>
      <c r="AD20" s="18" t="n">
        <v>3</v>
      </c>
      <c r="AE20" s="18" t="n">
        <v>4</v>
      </c>
      <c r="AF20" s="18" t="n">
        <v>3</v>
      </c>
      <c r="AG20" s="18" t="n">
        <v>5</v>
      </c>
      <c r="AH20" s="18" t="n">
        <v>6</v>
      </c>
      <c r="AI20" s="18" t="n">
        <v>5</v>
      </c>
      <c r="AJ20" s="18" t="n">
        <v>5</v>
      </c>
      <c r="AK20" s="18" t="n">
        <v>5</v>
      </c>
      <c r="AL20" s="18" t="n">
        <v>4</v>
      </c>
      <c r="AM20" s="18" t="n">
        <v>3</v>
      </c>
      <c r="AN20" s="18" t="n">
        <v>8</v>
      </c>
      <c r="AO20" s="18" t="n">
        <v>4</v>
      </c>
      <c r="AP20" s="18" t="n">
        <v>4</v>
      </c>
      <c r="AQ20" s="18" t="n">
        <v>6</v>
      </c>
      <c r="AR20" s="18" t="n">
        <v>5</v>
      </c>
      <c r="AS20" s="18" t="n">
        <v>7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Salvador Ivo de Carvalho</t>
        </is>
      </c>
      <c r="C21" s="8" t="inlineStr">
        <is>
          <t>43968</t>
        </is>
      </c>
      <c r="D21" t="inlineStr">
        <is>
          <t>Vilamoura, C. G</t>
        </is>
      </c>
      <c r="E21" s="8" t="n">
        <v>9.9</v>
      </c>
      <c r="F21" s="18" t="n">
        <v>5</v>
      </c>
      <c r="G21" s="18" t="n">
        <v>4</v>
      </c>
      <c r="H21" s="18" t="n">
        <v>4</v>
      </c>
      <c r="I21" s="18" t="n">
        <v>5</v>
      </c>
      <c r="J21" s="18" t="n">
        <v>3</v>
      </c>
      <c r="K21" s="18" t="n">
        <v>5</v>
      </c>
      <c r="L21" s="18" t="n">
        <v>5</v>
      </c>
      <c r="M21" s="18" t="n">
        <v>6</v>
      </c>
      <c r="N21" s="18" t="n">
        <v>6</v>
      </c>
      <c r="O21" s="18" t="n">
        <v>6</v>
      </c>
      <c r="P21" s="18" t="n">
        <v>5</v>
      </c>
      <c r="Q21" s="18" t="n">
        <v>3</v>
      </c>
      <c r="R21" s="18" t="n">
        <v>6</v>
      </c>
      <c r="S21" s="18" t="n">
        <v>4</v>
      </c>
      <c r="T21" s="18" t="n">
        <v>4</v>
      </c>
      <c r="U21" s="18" t="n">
        <v>6</v>
      </c>
      <c r="V21" s="18" t="n">
        <v>5</v>
      </c>
      <c r="W21" s="18" t="n">
        <v>6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B21" s="18" t="n">
        <v>6</v>
      </c>
      <c r="AC21" s="18" t="n">
        <v>5</v>
      </c>
      <c r="AD21" s="18" t="n">
        <v>2</v>
      </c>
      <c r="AE21" s="18" t="n">
        <v>5</v>
      </c>
      <c r="AF21" s="18" t="n">
        <v>2</v>
      </c>
      <c r="AG21" s="18" t="n">
        <v>5</v>
      </c>
      <c r="AH21" s="18" t="n">
        <v>5</v>
      </c>
      <c r="AI21" s="18" t="n">
        <v>5</v>
      </c>
      <c r="AJ21" s="18" t="n">
        <v>5</v>
      </c>
      <c r="AK21" s="18" t="n">
        <v>7</v>
      </c>
      <c r="AL21" s="18" t="n">
        <v>5</v>
      </c>
      <c r="AM21" s="18" t="n">
        <v>4</v>
      </c>
      <c r="AN21" s="18" t="n">
        <v>5</v>
      </c>
      <c r="AO21" s="18" t="n">
        <v>4</v>
      </c>
      <c r="AP21" s="18" t="n">
        <v>4</v>
      </c>
      <c r="AQ21" s="18" t="n">
        <v>6</v>
      </c>
      <c r="AR21" s="18" t="n">
        <v>5</v>
      </c>
      <c r="AS21" s="18" t="n">
        <v>6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MAX(0,25-AV21)*1.0</f>
        <v/>
      </c>
      <c r="AX21" s="19">
        <f>AA21+AW21</f>
        <v/>
      </c>
    </row>
    <row r="22">
      <c r="A22" s="8" t="n">
        <v>11</v>
      </c>
      <c r="B22" t="inlineStr">
        <is>
          <t>Emile Cuanalo</t>
        </is>
      </c>
      <c r="C22" s="8" t="inlineStr"/>
      <c r="D22" t="inlineStr">
        <is>
          <t>Internacional</t>
        </is>
      </c>
      <c r="E22" s="8" t="n">
        <v>36</v>
      </c>
      <c r="F22" s="18" t="n">
        <v>5</v>
      </c>
      <c r="G22" s="18" t="n">
        <v>4</v>
      </c>
      <c r="H22" s="18" t="n">
        <v>3</v>
      </c>
      <c r="I22" s="18" t="n">
        <v>5</v>
      </c>
      <c r="J22" s="18" t="n">
        <v>4</v>
      </c>
      <c r="K22" s="18" t="n">
        <v>7</v>
      </c>
      <c r="L22" s="18" t="n">
        <v>5</v>
      </c>
      <c r="M22" s="18" t="n">
        <v>6</v>
      </c>
      <c r="N22" s="18" t="n">
        <v>4</v>
      </c>
      <c r="O22" s="18" t="n">
        <v>6</v>
      </c>
      <c r="P22" s="18" t="n">
        <v>5</v>
      </c>
      <c r="Q22" s="18" t="n">
        <v>3</v>
      </c>
      <c r="R22" s="18" t="n">
        <v>6</v>
      </c>
      <c r="S22" s="18" t="n">
        <v>5</v>
      </c>
      <c r="T22" s="18" t="n">
        <v>3</v>
      </c>
      <c r="U22" s="18" t="n">
        <v>5</v>
      </c>
      <c r="V22" s="18" t="n">
        <v>5</v>
      </c>
      <c r="W22" s="18" t="n">
        <v>7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W22" s="8" t="n">
        <v>0</v>
      </c>
      <c r="AX22" s="19">
        <f>AA22+AW22</f>
        <v/>
      </c>
    </row>
    <row r="23">
      <c r="A23" s="8" t="n">
        <v>12</v>
      </c>
      <c r="B23" t="inlineStr">
        <is>
          <t>Martim Sousa de Morais</t>
        </is>
      </c>
      <c r="C23" s="8" t="inlineStr">
        <is>
          <t>41609</t>
        </is>
      </c>
      <c r="D23" t="inlineStr">
        <is>
          <t>Belas</t>
        </is>
      </c>
      <c r="E23" s="8" t="n">
        <v>7.1</v>
      </c>
      <c r="F23" s="18" t="n">
        <v>7</v>
      </c>
      <c r="G23" s="18" t="n">
        <v>5</v>
      </c>
      <c r="H23" s="18" t="n">
        <v>3</v>
      </c>
      <c r="I23" s="18" t="n">
        <v>7</v>
      </c>
      <c r="J23" s="18" t="n">
        <v>4</v>
      </c>
      <c r="K23" s="18" t="n">
        <v>6</v>
      </c>
      <c r="L23" s="18" t="n">
        <v>4</v>
      </c>
      <c r="M23" s="18" t="n">
        <v>6</v>
      </c>
      <c r="N23" s="18" t="n">
        <v>5</v>
      </c>
      <c r="O23" s="18" t="n">
        <v>6</v>
      </c>
      <c r="P23" s="18" t="n">
        <v>4</v>
      </c>
      <c r="Q23" s="18" t="n">
        <v>3</v>
      </c>
      <c r="R23" s="18" t="n">
        <v>6</v>
      </c>
      <c r="S23" s="18" t="n">
        <v>6</v>
      </c>
      <c r="T23" s="18" t="n">
        <v>4</v>
      </c>
      <c r="U23" s="18" t="n">
        <v>5</v>
      </c>
      <c r="V23" s="18" t="n">
        <v>5</v>
      </c>
      <c r="W23" s="18" t="n">
        <v>5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6</v>
      </c>
      <c r="AC23" s="18" t="n">
        <v>4</v>
      </c>
      <c r="AD23" s="18" t="n">
        <v>5</v>
      </c>
      <c r="AE23" s="18" t="n">
        <v>4</v>
      </c>
      <c r="AF23" s="18" t="n">
        <v>4</v>
      </c>
      <c r="AG23" s="18" t="n">
        <v>5</v>
      </c>
      <c r="AH23" s="18" t="n">
        <v>4</v>
      </c>
      <c r="AI23" s="18" t="n">
        <v>4</v>
      </c>
      <c r="AJ23" s="18" t="n">
        <v>5</v>
      </c>
      <c r="AK23" s="18" t="n">
        <v>4</v>
      </c>
      <c r="AL23" s="18" t="n">
        <v>4</v>
      </c>
      <c r="AM23" s="18" t="n">
        <v>4</v>
      </c>
      <c r="AN23" s="18" t="n">
        <v>5</v>
      </c>
      <c r="AO23" s="18" t="n">
        <v>3</v>
      </c>
      <c r="AP23" s="18" t="n">
        <v>4</v>
      </c>
      <c r="AQ23" s="18" t="n">
        <v>5</v>
      </c>
      <c r="AR23" s="18" t="n">
        <v>4</v>
      </c>
      <c r="AS23" s="18" t="n">
        <v>5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Manuel Goulartt Medeiros</t>
        </is>
      </c>
      <c r="C24" s="8" t="inlineStr">
        <is>
          <t>52884</t>
        </is>
      </c>
      <c r="D24" t="inlineStr">
        <is>
          <t>Santo da Serra</t>
        </is>
      </c>
      <c r="E24" s="8" t="n">
        <v>18.3</v>
      </c>
      <c r="F24" s="18" t="n">
        <v>6</v>
      </c>
      <c r="G24" s="18" t="n">
        <v>7</v>
      </c>
      <c r="H24" s="18" t="n">
        <v>2</v>
      </c>
      <c r="I24" s="18" t="n">
        <v>5</v>
      </c>
      <c r="J24" s="18" t="n">
        <v>4</v>
      </c>
      <c r="K24" s="18" t="n">
        <v>6</v>
      </c>
      <c r="L24" s="18" t="n">
        <v>5</v>
      </c>
      <c r="M24" s="18" t="n">
        <v>6</v>
      </c>
      <c r="N24" s="18" t="n">
        <v>6</v>
      </c>
      <c r="O24" s="18" t="n">
        <v>7</v>
      </c>
      <c r="P24" s="18" t="n">
        <v>5</v>
      </c>
      <c r="Q24" s="18" t="n">
        <v>3</v>
      </c>
      <c r="R24" s="18" t="n">
        <v>7</v>
      </c>
      <c r="S24" s="18" t="n">
        <v>7</v>
      </c>
      <c r="T24" s="18" t="n">
        <v>4</v>
      </c>
      <c r="U24" s="18" t="n">
        <v>5</v>
      </c>
      <c r="V24" s="18" t="n">
        <v>6</v>
      </c>
      <c r="W24" s="18" t="n">
        <v>7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5</v>
      </c>
      <c r="AC24" s="18" t="n">
        <v>6</v>
      </c>
      <c r="AD24" s="18" t="n">
        <v>4</v>
      </c>
      <c r="AE24" s="18" t="n">
        <v>4</v>
      </c>
      <c r="AF24" s="18" t="n">
        <v>2</v>
      </c>
      <c r="AG24" s="18" t="n">
        <v>4</v>
      </c>
      <c r="AH24" s="18" t="n">
        <v>5</v>
      </c>
      <c r="AI24" s="18" t="n">
        <v>7</v>
      </c>
      <c r="AJ24" s="18" t="n">
        <v>5</v>
      </c>
      <c r="AK24" s="18" t="n">
        <v>6</v>
      </c>
      <c r="AL24" s="18" t="n">
        <v>4</v>
      </c>
      <c r="AM24" s="18" t="n">
        <v>3</v>
      </c>
      <c r="AN24" s="18" t="n">
        <v>6</v>
      </c>
      <c r="AO24" s="18" t="n">
        <v>5</v>
      </c>
      <c r="AP24" s="18" t="n">
        <v>4</v>
      </c>
      <c r="AQ24" s="18" t="n">
        <v>5</v>
      </c>
      <c r="AR24" s="18" t="n">
        <v>5</v>
      </c>
      <c r="AS24" s="18" t="n">
        <v>9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inlineStr">
        <is>
          <t>NS</t>
        </is>
      </c>
      <c r="B25" t="inlineStr">
        <is>
          <t>Henrique Almeida da Silva</t>
        </is>
      </c>
      <c r="C25" s="8" t="inlineStr"/>
      <c r="D25" t="inlineStr">
        <is>
          <t>Belas</t>
        </is>
      </c>
      <c r="E25" s="8" t="n">
        <v>5.6</v>
      </c>
      <c r="AA25" s="8" t="n">
        <v>0</v>
      </c>
      <c r="AW25" s="8" t="n">
        <v>0</v>
      </c>
      <c r="AX25" s="19">
        <f>AA25+AW25</f>
        <v/>
      </c>
    </row>
    <row r="26">
      <c r="A26" s="8" t="inlineStr">
        <is>
          <t>NS</t>
        </is>
      </c>
      <c r="B26" t="inlineStr">
        <is>
          <t>Frederico Almeida da Silva</t>
        </is>
      </c>
      <c r="C26" s="8" t="inlineStr"/>
      <c r="D26" t="inlineStr">
        <is>
          <t>Belas</t>
        </is>
      </c>
      <c r="E26" s="8" t="n">
        <v>8.699999999999999</v>
      </c>
      <c r="AA26" s="8" t="n">
        <v>0</v>
      </c>
      <c r="AW26" s="8" t="n">
        <v>0</v>
      </c>
      <c r="AX26" s="19">
        <f>AA26+AW26</f>
        <v/>
      </c>
    </row>
  </sheetData>
  <mergeCells count="1">
    <mergeCell ref="A1:H1"/>
  </mergeCells>
  <conditionalFormatting sqref="F12:F26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26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26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26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26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26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26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26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26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26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26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26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26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26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26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26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26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26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26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26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26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26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26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26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26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26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26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26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26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26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26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26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26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26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26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26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Greatgolf Junior Open w/ Luis Figo Foundation</t>
        </is>
      </c>
    </row>
    <row r="2">
      <c r="A2" s="10" t="inlineStr">
        <is>
          <t>Data:</t>
        </is>
      </c>
      <c r="B2" t="inlineStr">
        <is>
          <t>2025-03-02</t>
        </is>
      </c>
    </row>
    <row r="3">
      <c r="A3" s="10" t="inlineStr">
        <is>
          <t>Campo:</t>
        </is>
      </c>
      <c r="B3" t="inlineStr">
        <is>
          <t>Vilamoura — Millennium</t>
        </is>
      </c>
    </row>
    <row r="4">
      <c r="A4" s="10" t="inlineStr">
        <is>
          <t>ccode/tcode:</t>
        </is>
      </c>
      <c r="B4" t="inlineStr">
        <is>
          <t>935/10260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https://scoring.datagolf.pt/pt/Classifications.aspx?ccode=935&amp;tcode=10260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4</v>
      </c>
      <c r="H10" s="15" t="n">
        <v>3</v>
      </c>
      <c r="I10" s="15" t="n">
        <v>5</v>
      </c>
      <c r="J10" s="15" t="n">
        <v>4</v>
      </c>
      <c r="K10" s="15" t="n">
        <v>3</v>
      </c>
      <c r="L10" s="15" t="n">
        <v>4</v>
      </c>
      <c r="M10" s="15" t="n">
        <v>5</v>
      </c>
      <c r="N10" s="15" t="n">
        <v>4</v>
      </c>
      <c r="O10" s="15" t="n">
        <v>4</v>
      </c>
      <c r="P10" s="15" t="n">
        <v>5</v>
      </c>
      <c r="Q10" s="15" t="n">
        <v>4</v>
      </c>
      <c r="R10" s="15" t="n">
        <v>3</v>
      </c>
      <c r="S10" s="15" t="n">
        <v>4</v>
      </c>
      <c r="T10" s="15" t="n">
        <v>3</v>
      </c>
      <c r="U10" s="15" t="n">
        <v>4</v>
      </c>
      <c r="V10" s="15" t="n">
        <v>4</v>
      </c>
      <c r="W10" s="15" t="n">
        <v>5</v>
      </c>
      <c r="Y10" s="16">
        <f>SUM(F10:W10)</f>
        <v/>
      </c>
      <c r="AB10" s="15" t="n">
        <v>4</v>
      </c>
      <c r="AC10" s="15" t="n">
        <v>4</v>
      </c>
      <c r="AD10" s="15" t="n">
        <v>3</v>
      </c>
      <c r="AE10" s="15" t="n">
        <v>5</v>
      </c>
      <c r="AF10" s="15" t="n">
        <v>4</v>
      </c>
      <c r="AG10" s="15" t="n">
        <v>3</v>
      </c>
      <c r="AH10" s="15" t="n">
        <v>4</v>
      </c>
      <c r="AI10" s="15" t="n">
        <v>5</v>
      </c>
      <c r="AJ10" s="15" t="n">
        <v>4</v>
      </c>
      <c r="AK10" s="15" t="n">
        <v>4</v>
      </c>
      <c r="AL10" s="15" t="n">
        <v>5</v>
      </c>
      <c r="AM10" s="15" t="n">
        <v>4</v>
      </c>
      <c r="AN10" s="15" t="n">
        <v>3</v>
      </c>
      <c r="AO10" s="15" t="n">
        <v>4</v>
      </c>
      <c r="AP10" s="15" t="n">
        <v>3</v>
      </c>
      <c r="AQ10" s="15" t="n">
        <v>4</v>
      </c>
      <c r="AR10" s="15" t="n">
        <v>4</v>
      </c>
      <c r="AS10" s="15" t="n">
        <v>5</v>
      </c>
      <c r="AU10" s="16">
        <f>SUM(AB10:AS10)</f>
        <v/>
      </c>
    </row>
    <row r="11">
      <c r="A11" s="14" t="inlineStr">
        <is>
          <t>—SI—</t>
        </is>
      </c>
      <c r="F11" s="17" t="n">
        <v>9</v>
      </c>
      <c r="G11" s="17" t="n">
        <v>7</v>
      </c>
      <c r="H11" s="17" t="n">
        <v>11</v>
      </c>
      <c r="I11" s="17" t="n">
        <v>3</v>
      </c>
      <c r="J11" s="17" t="n">
        <v>1</v>
      </c>
      <c r="K11" s="17" t="n">
        <v>13</v>
      </c>
      <c r="L11" s="17" t="n">
        <v>5</v>
      </c>
      <c r="M11" s="17" t="n">
        <v>17</v>
      </c>
      <c r="N11" s="17" t="n">
        <v>15</v>
      </c>
      <c r="O11" s="17" t="n">
        <v>8</v>
      </c>
      <c r="P11" s="17" t="n">
        <v>12</v>
      </c>
      <c r="Q11" s="17" t="n">
        <v>16</v>
      </c>
      <c r="R11" s="17" t="n">
        <v>14</v>
      </c>
      <c r="S11" s="17" t="n">
        <v>6</v>
      </c>
      <c r="T11" s="17" t="n">
        <v>18</v>
      </c>
      <c r="U11" s="17" t="n">
        <v>2</v>
      </c>
      <c r="V11" s="17" t="n">
        <v>10</v>
      </c>
      <c r="W11" s="17" t="n">
        <v>4</v>
      </c>
      <c r="AB11" s="17" t="n">
        <v>9</v>
      </c>
      <c r="AC11" s="17" t="n">
        <v>7</v>
      </c>
      <c r="AD11" s="17" t="n">
        <v>11</v>
      </c>
      <c r="AE11" s="17" t="n">
        <v>3</v>
      </c>
      <c r="AF11" s="17" t="n">
        <v>1</v>
      </c>
      <c r="AG11" s="17" t="n">
        <v>13</v>
      </c>
      <c r="AH11" s="17" t="n">
        <v>5</v>
      </c>
      <c r="AI11" s="17" t="n">
        <v>17</v>
      </c>
      <c r="AJ11" s="17" t="n">
        <v>15</v>
      </c>
      <c r="AK11" s="17" t="n">
        <v>8</v>
      </c>
      <c r="AL11" s="17" t="n">
        <v>12</v>
      </c>
      <c r="AM11" s="17" t="n">
        <v>16</v>
      </c>
      <c r="AN11" s="17" t="n">
        <v>14</v>
      </c>
      <c r="AO11" s="17" t="n">
        <v>6</v>
      </c>
      <c r="AP11" s="17" t="n">
        <v>18</v>
      </c>
      <c r="AQ11" s="17" t="n">
        <v>2</v>
      </c>
      <c r="AR11" s="17" t="n">
        <v>10</v>
      </c>
      <c r="AS11" s="17" t="n">
        <v>4</v>
      </c>
    </row>
    <row r="12">
      <c r="A12" s="8" t="n">
        <v>1</v>
      </c>
      <c r="B12" t="inlineStr">
        <is>
          <t>Martim Pinto Johansen</t>
        </is>
      </c>
      <c r="C12" s="8" t="inlineStr">
        <is>
          <t>40115</t>
        </is>
      </c>
      <c r="D12" t="inlineStr">
        <is>
          <t>Vilamoura, C. G</t>
        </is>
      </c>
      <c r="E12" s="8" t="n">
        <v>-1.5</v>
      </c>
      <c r="F12" s="18" t="n">
        <v>4</v>
      </c>
      <c r="G12" s="18" t="n">
        <v>4</v>
      </c>
      <c r="H12" s="18" t="n">
        <v>4</v>
      </c>
      <c r="I12" s="18" t="n">
        <v>5</v>
      </c>
      <c r="J12" s="18" t="n">
        <v>4</v>
      </c>
      <c r="K12" s="18" t="n">
        <v>3</v>
      </c>
      <c r="L12" s="18" t="n">
        <v>4</v>
      </c>
      <c r="M12" s="18" t="n">
        <v>4</v>
      </c>
      <c r="N12" s="18" t="n">
        <v>4</v>
      </c>
      <c r="O12" s="18" t="n">
        <v>4</v>
      </c>
      <c r="P12" s="18" t="n">
        <v>4</v>
      </c>
      <c r="Q12" s="18" t="n">
        <v>4</v>
      </c>
      <c r="R12" s="18" t="n">
        <v>3</v>
      </c>
      <c r="S12" s="18" t="n">
        <v>4</v>
      </c>
      <c r="T12" s="18" t="n">
        <v>3</v>
      </c>
      <c r="U12" s="18" t="n">
        <v>4</v>
      </c>
      <c r="V12" s="18" t="n">
        <v>4</v>
      </c>
      <c r="W12" s="18" t="n">
        <v>5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3</v>
      </c>
      <c r="AC12" s="18" t="n">
        <v>4</v>
      </c>
      <c r="AD12" s="18" t="n">
        <v>3</v>
      </c>
      <c r="AE12" s="18" t="n">
        <v>5</v>
      </c>
      <c r="AF12" s="18" t="n">
        <v>4</v>
      </c>
      <c r="AG12" s="18" t="n">
        <v>3</v>
      </c>
      <c r="AH12" s="18" t="n">
        <v>5</v>
      </c>
      <c r="AI12" s="18" t="n">
        <v>5</v>
      </c>
      <c r="AJ12" s="18" t="n">
        <v>3</v>
      </c>
      <c r="AK12" s="18" t="n">
        <v>4</v>
      </c>
      <c r="AL12" s="18" t="n">
        <v>4</v>
      </c>
      <c r="AM12" s="18" t="n">
        <v>4</v>
      </c>
      <c r="AN12" s="18" t="n">
        <v>3</v>
      </c>
      <c r="AO12" s="18" t="n">
        <v>3</v>
      </c>
      <c r="AP12" s="18" t="n">
        <v>3</v>
      </c>
      <c r="AQ12" s="18" t="n">
        <v>4</v>
      </c>
      <c r="AR12" s="18" t="n">
        <v>3</v>
      </c>
      <c r="AS12" s="18" t="n">
        <v>4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Pedro Costa Alemão</t>
        </is>
      </c>
      <c r="C13" s="8" t="inlineStr">
        <is>
          <t>46706</t>
        </is>
      </c>
      <c r="D13" t="inlineStr">
        <is>
          <t>Estoril</t>
        </is>
      </c>
      <c r="E13" s="8" t="n">
        <v>7.2</v>
      </c>
      <c r="F13" s="18" t="n">
        <v>4</v>
      </c>
      <c r="G13" s="18" t="n">
        <v>5</v>
      </c>
      <c r="H13" s="18" t="n">
        <v>4</v>
      </c>
      <c r="I13" s="18" t="n">
        <v>5</v>
      </c>
      <c r="J13" s="18" t="n">
        <v>4</v>
      </c>
      <c r="K13" s="18" t="n">
        <v>3</v>
      </c>
      <c r="L13" s="18" t="n">
        <v>5</v>
      </c>
      <c r="M13" s="18" t="n">
        <v>5</v>
      </c>
      <c r="N13" s="18" t="n">
        <v>4</v>
      </c>
      <c r="O13" s="18" t="n">
        <v>4</v>
      </c>
      <c r="P13" s="18" t="n">
        <v>5</v>
      </c>
      <c r="Q13" s="18" t="n">
        <v>5</v>
      </c>
      <c r="R13" s="18" t="n">
        <v>3</v>
      </c>
      <c r="S13" s="18" t="n">
        <v>4</v>
      </c>
      <c r="T13" s="18" t="n">
        <v>2</v>
      </c>
      <c r="U13" s="18" t="n">
        <v>5</v>
      </c>
      <c r="V13" s="18" t="n">
        <v>4</v>
      </c>
      <c r="W13" s="18" t="n">
        <v>5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5</v>
      </c>
      <c r="AC13" s="18" t="n">
        <v>5</v>
      </c>
      <c r="AD13" s="18" t="n">
        <v>6</v>
      </c>
      <c r="AE13" s="18" t="n">
        <v>5</v>
      </c>
      <c r="AF13" s="18" t="n">
        <v>5</v>
      </c>
      <c r="AG13" s="18" t="n">
        <v>3</v>
      </c>
      <c r="AH13" s="18" t="n">
        <v>6</v>
      </c>
      <c r="AI13" s="18" t="n">
        <v>6</v>
      </c>
      <c r="AJ13" s="18" t="n">
        <v>4</v>
      </c>
      <c r="AK13" s="18" t="n">
        <v>4</v>
      </c>
      <c r="AL13" s="18" t="n">
        <v>5</v>
      </c>
      <c r="AM13" s="18" t="n">
        <v>4</v>
      </c>
      <c r="AN13" s="18" t="n">
        <v>4</v>
      </c>
      <c r="AO13" s="18" t="n">
        <v>4</v>
      </c>
      <c r="AP13" s="18" t="n">
        <v>3</v>
      </c>
      <c r="AQ13" s="18" t="n">
        <v>4</v>
      </c>
      <c r="AR13" s="18" t="n">
        <v>5</v>
      </c>
      <c r="AS13" s="18" t="n">
        <v>5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Ethan Prybys Orton</t>
        </is>
      </c>
      <c r="C14" s="8" t="inlineStr">
        <is>
          <t>42374</t>
        </is>
      </c>
      <c r="D14" t="inlineStr">
        <is>
          <t>Vila Sol</t>
        </is>
      </c>
      <c r="E14" s="8" t="n">
        <v>6.9</v>
      </c>
      <c r="F14" s="18" t="n">
        <v>5</v>
      </c>
      <c r="G14" s="18" t="n">
        <v>5</v>
      </c>
      <c r="H14" s="18" t="n">
        <v>3</v>
      </c>
      <c r="I14" s="18" t="n">
        <v>4</v>
      </c>
      <c r="J14" s="18" t="n">
        <v>4</v>
      </c>
      <c r="K14" s="18" t="n">
        <v>3</v>
      </c>
      <c r="L14" s="18" t="n">
        <v>4</v>
      </c>
      <c r="M14" s="18" t="n">
        <v>5</v>
      </c>
      <c r="N14" s="18" t="n">
        <v>5</v>
      </c>
      <c r="O14" s="18" t="n">
        <v>4</v>
      </c>
      <c r="P14" s="18" t="n">
        <v>5</v>
      </c>
      <c r="Q14" s="18" t="n">
        <v>4</v>
      </c>
      <c r="R14" s="18" t="n">
        <v>3</v>
      </c>
      <c r="S14" s="18" t="n">
        <v>6</v>
      </c>
      <c r="T14" s="18" t="n">
        <v>3</v>
      </c>
      <c r="U14" s="18" t="n">
        <v>4</v>
      </c>
      <c r="V14" s="18" t="n">
        <v>4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4</v>
      </c>
      <c r="AC14" s="18" t="n">
        <v>4</v>
      </c>
      <c r="AD14" s="18" t="n">
        <v>4</v>
      </c>
      <c r="AE14" s="18" t="n">
        <v>5</v>
      </c>
      <c r="AF14" s="18" t="n">
        <v>5</v>
      </c>
      <c r="AG14" s="18" t="n">
        <v>4</v>
      </c>
      <c r="AH14" s="18" t="n">
        <v>5</v>
      </c>
      <c r="AI14" s="18" t="n">
        <v>5</v>
      </c>
      <c r="AJ14" s="18" t="n">
        <v>5</v>
      </c>
      <c r="AK14" s="18" t="n">
        <v>5</v>
      </c>
      <c r="AL14" s="18" t="n">
        <v>4</v>
      </c>
      <c r="AM14" s="18" t="n">
        <v>4</v>
      </c>
      <c r="AN14" s="18" t="n">
        <v>4</v>
      </c>
      <c r="AO14" s="18" t="n">
        <v>4</v>
      </c>
      <c r="AP14" s="18" t="n">
        <v>3</v>
      </c>
      <c r="AQ14" s="18" t="n">
        <v>4</v>
      </c>
      <c r="AR14" s="18" t="n">
        <v>4</v>
      </c>
      <c r="AS14" s="18" t="n">
        <v>6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Santiago Dias</t>
        </is>
      </c>
      <c r="C15" s="8" t="inlineStr">
        <is>
          <t>42908</t>
        </is>
      </c>
      <c r="D15" t="inlineStr">
        <is>
          <t>Miramar</t>
        </is>
      </c>
      <c r="E15" s="8" t="n">
        <v>2.7</v>
      </c>
      <c r="F15" s="18" t="n">
        <v>4</v>
      </c>
      <c r="G15" s="18" t="n">
        <v>4</v>
      </c>
      <c r="H15" s="18" t="n">
        <v>3</v>
      </c>
      <c r="I15" s="18" t="n">
        <v>5</v>
      </c>
      <c r="J15" s="18" t="n">
        <v>4</v>
      </c>
      <c r="K15" s="18" t="n">
        <v>4</v>
      </c>
      <c r="L15" s="18" t="n">
        <v>5</v>
      </c>
      <c r="M15" s="18" t="n">
        <v>5</v>
      </c>
      <c r="N15" s="18" t="n">
        <v>4</v>
      </c>
      <c r="O15" s="18" t="n">
        <v>4</v>
      </c>
      <c r="P15" s="18" t="n">
        <v>5</v>
      </c>
      <c r="Q15" s="18" t="n">
        <v>4</v>
      </c>
      <c r="R15" s="18" t="n">
        <v>3</v>
      </c>
      <c r="S15" s="18" t="n">
        <v>4</v>
      </c>
      <c r="T15" s="18" t="n">
        <v>4</v>
      </c>
      <c r="U15" s="18" t="n">
        <v>4</v>
      </c>
      <c r="V15" s="18" t="n">
        <v>4</v>
      </c>
      <c r="W15" s="18" t="n">
        <v>6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4</v>
      </c>
      <c r="AC15" s="18" t="n">
        <v>5</v>
      </c>
      <c r="AD15" s="18" t="n">
        <v>4</v>
      </c>
      <c r="AE15" s="18" t="n">
        <v>5</v>
      </c>
      <c r="AF15" s="18" t="n">
        <v>8</v>
      </c>
      <c r="AG15" s="18" t="n">
        <v>3</v>
      </c>
      <c r="AH15" s="18" t="n">
        <v>5</v>
      </c>
      <c r="AI15" s="18" t="n">
        <v>5</v>
      </c>
      <c r="AJ15" s="18" t="n">
        <v>3</v>
      </c>
      <c r="AK15" s="18" t="n">
        <v>4</v>
      </c>
      <c r="AL15" s="18" t="n">
        <v>5</v>
      </c>
      <c r="AM15" s="18" t="n">
        <v>4</v>
      </c>
      <c r="AN15" s="18" t="n">
        <v>4</v>
      </c>
      <c r="AO15" s="18" t="n">
        <v>5</v>
      </c>
      <c r="AP15" s="18" t="n">
        <v>4</v>
      </c>
      <c r="AQ15" s="18" t="n">
        <v>4</v>
      </c>
      <c r="AR15" s="18" t="n">
        <v>5</v>
      </c>
      <c r="AS15" s="18" t="n">
        <v>7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Filipe Pinheiro</t>
        </is>
      </c>
      <c r="C16" s="8" t="inlineStr">
        <is>
          <t>46591</t>
        </is>
      </c>
      <c r="D16" t="inlineStr">
        <is>
          <t>Belas</t>
        </is>
      </c>
      <c r="E16" s="8" t="n">
        <v>7.2</v>
      </c>
      <c r="F16" s="18" t="n">
        <v>4</v>
      </c>
      <c r="G16" s="18" t="n">
        <v>5</v>
      </c>
      <c r="H16" s="18" t="n">
        <v>3</v>
      </c>
      <c r="I16" s="18" t="n">
        <v>5</v>
      </c>
      <c r="J16" s="18" t="n">
        <v>4</v>
      </c>
      <c r="K16" s="18" t="n">
        <v>4</v>
      </c>
      <c r="L16" s="18" t="n">
        <v>5</v>
      </c>
      <c r="M16" s="18" t="n">
        <v>6</v>
      </c>
      <c r="N16" s="18" t="n">
        <v>5</v>
      </c>
      <c r="O16" s="18" t="n">
        <v>4</v>
      </c>
      <c r="P16" s="18" t="n">
        <v>5</v>
      </c>
      <c r="Q16" s="18" t="n">
        <v>3</v>
      </c>
      <c r="R16" s="18" t="n">
        <v>4</v>
      </c>
      <c r="S16" s="18" t="n">
        <v>4</v>
      </c>
      <c r="T16" s="18" t="n">
        <v>3</v>
      </c>
      <c r="U16" s="18" t="n">
        <v>4</v>
      </c>
      <c r="V16" s="18" t="n">
        <v>4</v>
      </c>
      <c r="W16" s="18" t="n">
        <v>5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4</v>
      </c>
      <c r="AC16" s="18" t="n">
        <v>5</v>
      </c>
      <c r="AD16" s="18" t="n">
        <v>3</v>
      </c>
      <c r="AE16" s="18" t="n">
        <v>6</v>
      </c>
      <c r="AF16" s="18" t="n">
        <v>5</v>
      </c>
      <c r="AG16" s="18" t="n">
        <v>4</v>
      </c>
      <c r="AH16" s="18" t="n">
        <v>6</v>
      </c>
      <c r="AI16" s="18" t="n">
        <v>5</v>
      </c>
      <c r="AJ16" s="18" t="n">
        <v>4</v>
      </c>
      <c r="AK16" s="18" t="n">
        <v>4</v>
      </c>
      <c r="AL16" s="18" t="n">
        <v>6</v>
      </c>
      <c r="AM16" s="18" t="n">
        <v>5</v>
      </c>
      <c r="AN16" s="18" t="n">
        <v>3</v>
      </c>
      <c r="AO16" s="18" t="n">
        <v>4</v>
      </c>
      <c r="AP16" s="18" t="n">
        <v>3</v>
      </c>
      <c r="AQ16" s="18" t="n">
        <v>4</v>
      </c>
      <c r="AR16" s="18" t="n">
        <v>4</v>
      </c>
      <c r="AS16" s="18" t="n">
        <v>5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João Setúbal</t>
        </is>
      </c>
      <c r="C17" s="8" t="inlineStr">
        <is>
          <t>43732</t>
        </is>
      </c>
      <c r="D17" t="inlineStr">
        <is>
          <t>Vilamoura, C. G</t>
        </is>
      </c>
      <c r="E17" s="8" t="n">
        <v>4.3</v>
      </c>
      <c r="F17" s="18" t="n">
        <v>4</v>
      </c>
      <c r="G17" s="18" t="n">
        <v>4</v>
      </c>
      <c r="H17" s="18" t="n">
        <v>5</v>
      </c>
      <c r="I17" s="18" t="n">
        <v>5</v>
      </c>
      <c r="J17" s="18" t="n">
        <v>5</v>
      </c>
      <c r="K17" s="18" t="n">
        <v>3</v>
      </c>
      <c r="L17" s="18" t="n">
        <v>4</v>
      </c>
      <c r="M17" s="18" t="n">
        <v>4</v>
      </c>
      <c r="N17" s="18" t="n">
        <v>5</v>
      </c>
      <c r="O17" s="18" t="n">
        <v>3</v>
      </c>
      <c r="P17" s="18" t="n">
        <v>4</v>
      </c>
      <c r="Q17" s="18" t="n">
        <v>5</v>
      </c>
      <c r="R17" s="18" t="n">
        <v>4</v>
      </c>
      <c r="S17" s="18" t="n">
        <v>4</v>
      </c>
      <c r="T17" s="18" t="n">
        <v>4</v>
      </c>
      <c r="U17" s="18" t="n">
        <v>5</v>
      </c>
      <c r="V17" s="18" t="n">
        <v>4</v>
      </c>
      <c r="W17" s="18" t="n">
        <v>5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5</v>
      </c>
      <c r="AC17" s="18" t="n">
        <v>5</v>
      </c>
      <c r="AD17" s="18" t="n">
        <v>3</v>
      </c>
      <c r="AE17" s="18" t="n">
        <v>6</v>
      </c>
      <c r="AF17" s="18" t="n">
        <v>5</v>
      </c>
      <c r="AG17" s="18" t="n">
        <v>3</v>
      </c>
      <c r="AH17" s="18" t="n">
        <v>7</v>
      </c>
      <c r="AI17" s="18" t="n">
        <v>6</v>
      </c>
      <c r="AJ17" s="18" t="n">
        <v>4</v>
      </c>
      <c r="AK17" s="18" t="n">
        <v>4</v>
      </c>
      <c r="AL17" s="18" t="n">
        <v>6</v>
      </c>
      <c r="AM17" s="18" t="n">
        <v>4</v>
      </c>
      <c r="AN17" s="18" t="n">
        <v>3</v>
      </c>
      <c r="AO17" s="18" t="n">
        <v>4</v>
      </c>
      <c r="AP17" s="18" t="n">
        <v>3</v>
      </c>
      <c r="AQ17" s="18" t="n">
        <v>5</v>
      </c>
      <c r="AR17" s="18" t="n">
        <v>4</v>
      </c>
      <c r="AS17" s="18" t="n">
        <v>5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Rodrigo Marques Santos</t>
        </is>
      </c>
      <c r="C18" s="8" t="inlineStr">
        <is>
          <t>37152</t>
        </is>
      </c>
      <c r="D18" t="inlineStr">
        <is>
          <t>Aroeira</t>
        </is>
      </c>
      <c r="E18" s="8" t="n">
        <v>0.4</v>
      </c>
      <c r="F18" s="18" t="n">
        <v>4</v>
      </c>
      <c r="G18" s="18" t="n">
        <v>5</v>
      </c>
      <c r="H18" s="18" t="n">
        <v>4</v>
      </c>
      <c r="I18" s="18" t="n">
        <v>6</v>
      </c>
      <c r="J18" s="18" t="n">
        <v>5</v>
      </c>
      <c r="K18" s="18" t="n">
        <v>4</v>
      </c>
      <c r="L18" s="18" t="n">
        <v>4</v>
      </c>
      <c r="M18" s="18" t="n">
        <v>4</v>
      </c>
      <c r="N18" s="18" t="n">
        <v>4</v>
      </c>
      <c r="O18" s="18" t="n">
        <v>4</v>
      </c>
      <c r="P18" s="18" t="n">
        <v>5</v>
      </c>
      <c r="Q18" s="18" t="n">
        <v>4</v>
      </c>
      <c r="R18" s="18" t="n">
        <v>4</v>
      </c>
      <c r="S18" s="18" t="n">
        <v>4</v>
      </c>
      <c r="T18" s="18" t="n">
        <v>4</v>
      </c>
      <c r="U18" s="18" t="n">
        <v>4</v>
      </c>
      <c r="V18" s="18" t="n">
        <v>2</v>
      </c>
      <c r="W18" s="18" t="n">
        <v>7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5</v>
      </c>
      <c r="AC18" s="18" t="n">
        <v>4</v>
      </c>
      <c r="AD18" s="18" t="n">
        <v>3</v>
      </c>
      <c r="AE18" s="18" t="n">
        <v>5</v>
      </c>
      <c r="AF18" s="18" t="n">
        <v>4</v>
      </c>
      <c r="AG18" s="18" t="n">
        <v>3</v>
      </c>
      <c r="AH18" s="18" t="n">
        <v>5</v>
      </c>
      <c r="AI18" s="18" t="n">
        <v>4</v>
      </c>
      <c r="AJ18" s="18" t="n">
        <v>4</v>
      </c>
      <c r="AK18" s="18" t="n">
        <v>4</v>
      </c>
      <c r="AL18" s="18" t="n">
        <v>5</v>
      </c>
      <c r="AM18" s="18" t="n">
        <v>4</v>
      </c>
      <c r="AN18" s="18" t="n">
        <v>3</v>
      </c>
      <c r="AO18" s="18" t="n">
        <v>4</v>
      </c>
      <c r="AP18" s="18" t="n">
        <v>3</v>
      </c>
      <c r="AQ18" s="18" t="n">
        <v>4</v>
      </c>
      <c r="AR18" s="18" t="n">
        <v>3</v>
      </c>
      <c r="AS18" s="18" t="n">
        <v>6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João Crasi Alves</t>
        </is>
      </c>
      <c r="C19" s="8" t="inlineStr">
        <is>
          <t>39701</t>
        </is>
      </c>
      <c r="D19" t="inlineStr">
        <is>
          <t>Vilamoura, C. G</t>
        </is>
      </c>
      <c r="E19" s="8" t="n">
        <v>-1</v>
      </c>
      <c r="F19" s="18" t="n">
        <v>4</v>
      </c>
      <c r="G19" s="18" t="n">
        <v>3</v>
      </c>
      <c r="H19" s="18" t="n">
        <v>5</v>
      </c>
      <c r="I19" s="18" t="n">
        <v>4</v>
      </c>
      <c r="J19" s="18" t="n">
        <v>4</v>
      </c>
      <c r="K19" s="18" t="n">
        <v>4</v>
      </c>
      <c r="L19" s="18" t="n">
        <v>4</v>
      </c>
      <c r="M19" s="18" t="n">
        <v>4</v>
      </c>
      <c r="N19" s="18" t="n">
        <v>6</v>
      </c>
      <c r="O19" s="18" t="n">
        <v>6</v>
      </c>
      <c r="P19" s="18" t="n">
        <v>4</v>
      </c>
      <c r="Q19" s="18" t="n">
        <v>4</v>
      </c>
      <c r="R19" s="18" t="n">
        <v>3</v>
      </c>
      <c r="S19" s="18" t="n">
        <v>4</v>
      </c>
      <c r="T19" s="18" t="n">
        <v>3</v>
      </c>
      <c r="U19" s="18" t="n">
        <v>5</v>
      </c>
      <c r="V19" s="18" t="n">
        <v>4</v>
      </c>
      <c r="W19" s="18" t="n">
        <v>7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5</v>
      </c>
      <c r="AC19" s="18" t="n">
        <v>5</v>
      </c>
      <c r="AD19" s="18" t="n">
        <v>3</v>
      </c>
      <c r="AE19" s="18" t="n">
        <v>5</v>
      </c>
      <c r="AF19" s="18" t="n">
        <v>5</v>
      </c>
      <c r="AG19" s="18" t="n">
        <v>3</v>
      </c>
      <c r="AH19" s="18" t="n">
        <v>5</v>
      </c>
      <c r="AI19" s="18" t="n">
        <v>4</v>
      </c>
      <c r="AJ19" s="18" t="n">
        <v>3</v>
      </c>
      <c r="AK19" s="18" t="n">
        <v>5</v>
      </c>
      <c r="AL19" s="18" t="n">
        <v>4</v>
      </c>
      <c r="AM19" s="18" t="n">
        <v>5</v>
      </c>
      <c r="AN19" s="18" t="n">
        <v>3</v>
      </c>
      <c r="AO19" s="18" t="n">
        <v>4</v>
      </c>
      <c r="AP19" s="18" t="n">
        <v>3</v>
      </c>
      <c r="AQ19" s="18" t="n">
        <v>4</v>
      </c>
      <c r="AR19" s="18" t="n">
        <v>4</v>
      </c>
      <c r="AS19" s="18" t="n">
        <v>4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Amélia Gabin</t>
        </is>
      </c>
      <c r="C20" s="8" t="inlineStr">
        <is>
          <t>38233</t>
        </is>
      </c>
      <c r="D20" t="inlineStr">
        <is>
          <t>Assoc. Qta.Lago</t>
        </is>
      </c>
      <c r="E20" s="8" t="n">
        <v>-2</v>
      </c>
      <c r="F20" s="18" t="n">
        <v>4</v>
      </c>
      <c r="G20" s="18" t="n">
        <v>4</v>
      </c>
      <c r="H20" s="18" t="n">
        <v>3</v>
      </c>
      <c r="I20" s="18" t="n">
        <v>5</v>
      </c>
      <c r="J20" s="18" t="n">
        <v>5</v>
      </c>
      <c r="K20" s="18" t="n">
        <v>3</v>
      </c>
      <c r="L20" s="18" t="n">
        <v>5</v>
      </c>
      <c r="M20" s="18" t="n">
        <v>4</v>
      </c>
      <c r="N20" s="18" t="n">
        <v>4</v>
      </c>
      <c r="O20" s="18" t="n">
        <v>4</v>
      </c>
      <c r="P20" s="18" t="n">
        <v>6</v>
      </c>
      <c r="Q20" s="18" t="n">
        <v>4</v>
      </c>
      <c r="R20" s="18" t="n">
        <v>4</v>
      </c>
      <c r="S20" s="18" t="n">
        <v>5</v>
      </c>
      <c r="T20" s="18" t="n">
        <v>3</v>
      </c>
      <c r="U20" s="18" t="n">
        <v>4</v>
      </c>
      <c r="V20" s="18" t="n">
        <v>5</v>
      </c>
      <c r="W20" s="18" t="n">
        <v>7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4</v>
      </c>
      <c r="AC20" s="18" t="n">
        <v>4</v>
      </c>
      <c r="AD20" s="18" t="n">
        <v>3</v>
      </c>
      <c r="AE20" s="18" t="n">
        <v>5</v>
      </c>
      <c r="AF20" s="18" t="n">
        <v>6</v>
      </c>
      <c r="AG20" s="18" t="n">
        <v>3</v>
      </c>
      <c r="AH20" s="18" t="n">
        <v>5</v>
      </c>
      <c r="AI20" s="18" t="n">
        <v>5</v>
      </c>
      <c r="AJ20" s="18" t="n">
        <v>5</v>
      </c>
      <c r="AK20" s="18" t="n">
        <v>3</v>
      </c>
      <c r="AL20" s="18" t="n">
        <v>5</v>
      </c>
      <c r="AM20" s="18" t="n">
        <v>4</v>
      </c>
      <c r="AN20" s="18" t="n">
        <v>4</v>
      </c>
      <c r="AO20" s="18" t="n">
        <v>4</v>
      </c>
      <c r="AP20" s="18" t="n">
        <v>3</v>
      </c>
      <c r="AQ20" s="18" t="n">
        <v>5</v>
      </c>
      <c r="AR20" s="18" t="n">
        <v>4</v>
      </c>
      <c r="AS20" s="18" t="n">
        <v>5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Tiago Abrantes</t>
        </is>
      </c>
      <c r="C21" s="8" t="inlineStr">
        <is>
          <t>38315</t>
        </is>
      </c>
      <c r="D21" t="inlineStr">
        <is>
          <t>Vilamoura, C. G</t>
        </is>
      </c>
      <c r="E21" s="8" t="n">
        <v>2.9</v>
      </c>
      <c r="F21" s="18" t="n">
        <v>5</v>
      </c>
      <c r="G21" s="18" t="n">
        <v>5</v>
      </c>
      <c r="H21" s="18" t="n">
        <v>4</v>
      </c>
      <c r="I21" s="18" t="n">
        <v>4</v>
      </c>
      <c r="J21" s="18" t="n">
        <v>4</v>
      </c>
      <c r="K21" s="18" t="n">
        <v>4</v>
      </c>
      <c r="L21" s="18" t="n">
        <v>4</v>
      </c>
      <c r="M21" s="18" t="n">
        <v>5</v>
      </c>
      <c r="N21" s="18" t="n">
        <v>4</v>
      </c>
      <c r="O21" s="18" t="n">
        <v>4</v>
      </c>
      <c r="P21" s="18" t="n">
        <v>7</v>
      </c>
      <c r="Q21" s="18" t="n">
        <v>5</v>
      </c>
      <c r="R21" s="18" t="n">
        <v>4</v>
      </c>
      <c r="S21" s="18" t="n">
        <v>6</v>
      </c>
      <c r="T21" s="18" t="n">
        <v>2</v>
      </c>
      <c r="U21" s="18" t="n">
        <v>4</v>
      </c>
      <c r="V21" s="18" t="n">
        <v>3</v>
      </c>
      <c r="W21" s="18" t="n">
        <v>6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B21" s="18" t="n">
        <v>4</v>
      </c>
      <c r="AC21" s="18" t="n">
        <v>5</v>
      </c>
      <c r="AD21" s="18" t="n">
        <v>4</v>
      </c>
      <c r="AE21" s="18" t="n">
        <v>4</v>
      </c>
      <c r="AF21" s="18" t="n">
        <v>3</v>
      </c>
      <c r="AG21" s="18" t="n">
        <v>5</v>
      </c>
      <c r="AH21" s="18" t="n">
        <v>5</v>
      </c>
      <c r="AI21" s="18" t="n">
        <v>5</v>
      </c>
      <c r="AJ21" s="18" t="n">
        <v>5</v>
      </c>
      <c r="AK21" s="18" t="n">
        <v>4</v>
      </c>
      <c r="AL21" s="18" t="n">
        <v>7</v>
      </c>
      <c r="AM21" s="18" t="n">
        <v>5</v>
      </c>
      <c r="AN21" s="18" t="n">
        <v>4</v>
      </c>
      <c r="AO21" s="18" t="n">
        <v>4</v>
      </c>
      <c r="AP21" s="18" t="n">
        <v>3</v>
      </c>
      <c r="AQ21" s="18" t="n">
        <v>4</v>
      </c>
      <c r="AR21" s="18" t="n">
        <v>5</v>
      </c>
      <c r="AS21" s="18" t="n">
        <v>7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MAX(0,25-AV21)*1.0</f>
        <v/>
      </c>
      <c r="AX21" s="19">
        <f>AA21+AW21</f>
        <v/>
      </c>
    </row>
    <row r="22">
      <c r="A22" s="8" t="n">
        <v>11</v>
      </c>
      <c r="B22" t="inlineStr">
        <is>
          <t>Ricardo Castro Ferreira</t>
        </is>
      </c>
      <c r="C22" s="8" t="inlineStr">
        <is>
          <t>49085</t>
        </is>
      </c>
      <c r="D22" t="inlineStr">
        <is>
          <t>Estoril</t>
        </is>
      </c>
      <c r="E22" s="8" t="n">
        <v>11.6</v>
      </c>
      <c r="F22" s="18" t="n">
        <v>4</v>
      </c>
      <c r="G22" s="18" t="n">
        <v>5</v>
      </c>
      <c r="H22" s="18" t="n">
        <v>5</v>
      </c>
      <c r="I22" s="18" t="n">
        <v>5</v>
      </c>
      <c r="J22" s="18" t="n">
        <v>6</v>
      </c>
      <c r="K22" s="18" t="n">
        <v>3</v>
      </c>
      <c r="L22" s="18" t="n">
        <v>5</v>
      </c>
      <c r="M22" s="18" t="n">
        <v>6</v>
      </c>
      <c r="N22" s="18" t="n">
        <v>4</v>
      </c>
      <c r="O22" s="18" t="n">
        <v>5</v>
      </c>
      <c r="P22" s="18" t="n">
        <v>5</v>
      </c>
      <c r="Q22" s="18" t="n">
        <v>4</v>
      </c>
      <c r="R22" s="18" t="n">
        <v>2</v>
      </c>
      <c r="S22" s="18" t="n">
        <v>5</v>
      </c>
      <c r="T22" s="18" t="n">
        <v>4</v>
      </c>
      <c r="U22" s="18" t="n">
        <v>4</v>
      </c>
      <c r="V22" s="18" t="n">
        <v>4</v>
      </c>
      <c r="W22" s="18" t="n">
        <v>5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4</v>
      </c>
      <c r="AC22" s="18" t="n">
        <v>6</v>
      </c>
      <c r="AD22" s="18" t="n">
        <v>3</v>
      </c>
      <c r="AE22" s="18" t="n">
        <v>7</v>
      </c>
      <c r="AF22" s="18" t="n">
        <v>5</v>
      </c>
      <c r="AG22" s="18" t="n">
        <v>3</v>
      </c>
      <c r="AH22" s="18" t="n">
        <v>4</v>
      </c>
      <c r="AI22" s="18" t="n">
        <v>5</v>
      </c>
      <c r="AJ22" s="18" t="n">
        <v>4</v>
      </c>
      <c r="AK22" s="18" t="n">
        <v>4</v>
      </c>
      <c r="AL22" s="18" t="n">
        <v>6</v>
      </c>
      <c r="AM22" s="18" t="n">
        <v>5</v>
      </c>
      <c r="AN22" s="18" t="n">
        <v>4</v>
      </c>
      <c r="AO22" s="18" t="n">
        <v>4</v>
      </c>
      <c r="AP22" s="18" t="n">
        <v>2</v>
      </c>
      <c r="AQ22" s="18" t="n">
        <v>5</v>
      </c>
      <c r="AR22" s="18" t="n">
        <v>4</v>
      </c>
      <c r="AS22" s="18" t="n">
        <v>5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Rafaela Pinto</t>
        </is>
      </c>
      <c r="C23" s="8" t="inlineStr">
        <is>
          <t>40390</t>
        </is>
      </c>
      <c r="D23" t="inlineStr">
        <is>
          <t>Arquitectos</t>
        </is>
      </c>
      <c r="E23" s="8" t="n">
        <v>1</v>
      </c>
      <c r="F23" s="18" t="n">
        <v>4</v>
      </c>
      <c r="G23" s="18" t="n">
        <v>7</v>
      </c>
      <c r="H23" s="18" t="n">
        <v>3</v>
      </c>
      <c r="I23" s="18" t="n">
        <v>6</v>
      </c>
      <c r="J23" s="18" t="n">
        <v>5</v>
      </c>
      <c r="K23" s="18" t="n">
        <v>3</v>
      </c>
      <c r="L23" s="18" t="n">
        <v>5</v>
      </c>
      <c r="M23" s="18" t="n">
        <v>5</v>
      </c>
      <c r="N23" s="18" t="n">
        <v>4</v>
      </c>
      <c r="O23" s="18" t="n">
        <v>4</v>
      </c>
      <c r="P23" s="18" t="n">
        <v>7</v>
      </c>
      <c r="Q23" s="18" t="n">
        <v>4</v>
      </c>
      <c r="R23" s="18" t="n">
        <v>3</v>
      </c>
      <c r="S23" s="18" t="n">
        <v>4</v>
      </c>
      <c r="T23" s="18" t="n">
        <v>4</v>
      </c>
      <c r="U23" s="18" t="n">
        <v>4</v>
      </c>
      <c r="V23" s="18" t="n">
        <v>4</v>
      </c>
      <c r="W23" s="18" t="n">
        <v>5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4</v>
      </c>
      <c r="AC23" s="18" t="n">
        <v>5</v>
      </c>
      <c r="AD23" s="18" t="n">
        <v>3</v>
      </c>
      <c r="AE23" s="18" t="n">
        <v>5</v>
      </c>
      <c r="AF23" s="18" t="n">
        <v>4</v>
      </c>
      <c r="AG23" s="18" t="n">
        <v>4</v>
      </c>
      <c r="AH23" s="18" t="n">
        <v>5</v>
      </c>
      <c r="AI23" s="18" t="n">
        <v>5</v>
      </c>
      <c r="AJ23" s="18" t="n">
        <v>5</v>
      </c>
      <c r="AK23" s="18" t="n">
        <v>5</v>
      </c>
      <c r="AL23" s="18" t="n">
        <v>7</v>
      </c>
      <c r="AM23" s="18" t="n">
        <v>4</v>
      </c>
      <c r="AN23" s="18" t="n">
        <v>4</v>
      </c>
      <c r="AO23" s="18" t="n">
        <v>5</v>
      </c>
      <c r="AP23" s="18" t="n">
        <v>2</v>
      </c>
      <c r="AQ23" s="18" t="n">
        <v>3</v>
      </c>
      <c r="AR23" s="18" t="n">
        <v>4</v>
      </c>
      <c r="AS23" s="18" t="n">
        <v>5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Nuno Palmares Jr.</t>
        </is>
      </c>
      <c r="C24" s="8" t="inlineStr">
        <is>
          <t>49124</t>
        </is>
      </c>
      <c r="D24" t="inlineStr">
        <is>
          <t>Estoril</t>
        </is>
      </c>
      <c r="E24" s="8" t="n">
        <v>7.8</v>
      </c>
      <c r="F24" s="18" t="n">
        <v>5</v>
      </c>
      <c r="G24" s="18" t="n">
        <v>5</v>
      </c>
      <c r="H24" s="18" t="n">
        <v>4</v>
      </c>
      <c r="I24" s="18" t="n">
        <v>5</v>
      </c>
      <c r="J24" s="18" t="n">
        <v>5</v>
      </c>
      <c r="K24" s="18" t="n">
        <v>3</v>
      </c>
      <c r="L24" s="18" t="n">
        <v>5</v>
      </c>
      <c r="M24" s="18" t="n">
        <v>5</v>
      </c>
      <c r="N24" s="18" t="n">
        <v>4</v>
      </c>
      <c r="O24" s="18" t="n">
        <v>4</v>
      </c>
      <c r="P24" s="18" t="n">
        <v>6</v>
      </c>
      <c r="Q24" s="18" t="n">
        <v>5</v>
      </c>
      <c r="R24" s="18" t="n">
        <v>3</v>
      </c>
      <c r="S24" s="18" t="n">
        <v>4</v>
      </c>
      <c r="T24" s="18" t="n">
        <v>3</v>
      </c>
      <c r="U24" s="18" t="n">
        <v>6</v>
      </c>
      <c r="V24" s="18" t="n">
        <v>4</v>
      </c>
      <c r="W24" s="18" t="n">
        <v>5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4</v>
      </c>
      <c r="AC24" s="18" t="n">
        <v>5</v>
      </c>
      <c r="AD24" s="18" t="n">
        <v>3</v>
      </c>
      <c r="AE24" s="18" t="n">
        <v>6</v>
      </c>
      <c r="AF24" s="18" t="n">
        <v>5</v>
      </c>
      <c r="AG24" s="18" t="n">
        <v>3</v>
      </c>
      <c r="AH24" s="18" t="n">
        <v>5</v>
      </c>
      <c r="AI24" s="18" t="n">
        <v>4</v>
      </c>
      <c r="AJ24" s="18" t="n">
        <v>4</v>
      </c>
      <c r="AK24" s="18" t="n">
        <v>4</v>
      </c>
      <c r="AL24" s="18" t="n">
        <v>5</v>
      </c>
      <c r="AM24" s="18" t="n">
        <v>4</v>
      </c>
      <c r="AN24" s="18" t="n">
        <v>3</v>
      </c>
      <c r="AO24" s="18" t="n">
        <v>4</v>
      </c>
      <c r="AP24" s="18" t="n">
        <v>3</v>
      </c>
      <c r="AQ24" s="18" t="n">
        <v>5</v>
      </c>
      <c r="AR24" s="18" t="n">
        <v>5</v>
      </c>
      <c r="AS24" s="18" t="n">
        <v>5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Tomás Rente</t>
        </is>
      </c>
      <c r="C25" s="8" t="inlineStr">
        <is>
          <t>46311</t>
        </is>
      </c>
      <c r="D25" t="inlineStr">
        <is>
          <t>Miramar</t>
        </is>
      </c>
      <c r="E25" s="8" t="n">
        <v>10.5</v>
      </c>
      <c r="F25" s="18" t="n">
        <v>5</v>
      </c>
      <c r="G25" s="18" t="n">
        <v>5</v>
      </c>
      <c r="H25" s="18" t="n">
        <v>5</v>
      </c>
      <c r="I25" s="18" t="n">
        <v>7</v>
      </c>
      <c r="J25" s="18" t="n">
        <v>4</v>
      </c>
      <c r="K25" s="18" t="n">
        <v>3</v>
      </c>
      <c r="L25" s="18" t="n">
        <v>7</v>
      </c>
      <c r="M25" s="18" t="n">
        <v>5</v>
      </c>
      <c r="N25" s="18" t="n">
        <v>4</v>
      </c>
      <c r="O25" s="18" t="n">
        <v>4</v>
      </c>
      <c r="P25" s="18" t="n">
        <v>5</v>
      </c>
      <c r="Q25" s="18" t="n">
        <v>4</v>
      </c>
      <c r="R25" s="18" t="n">
        <v>3</v>
      </c>
      <c r="S25" s="18" t="n">
        <v>4</v>
      </c>
      <c r="T25" s="18" t="n">
        <v>4</v>
      </c>
      <c r="U25" s="18" t="n">
        <v>5</v>
      </c>
      <c r="V25" s="18" t="n">
        <v>4</v>
      </c>
      <c r="W25" s="18" t="n">
        <v>4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6</v>
      </c>
      <c r="AC25" s="18" t="n">
        <v>4</v>
      </c>
      <c r="AD25" s="18" t="n">
        <v>4</v>
      </c>
      <c r="AE25" s="18" t="n">
        <v>6</v>
      </c>
      <c r="AF25" s="18" t="n">
        <v>5</v>
      </c>
      <c r="AG25" s="18" t="n">
        <v>4</v>
      </c>
      <c r="AH25" s="18" t="n">
        <v>4</v>
      </c>
      <c r="AI25" s="18" t="n">
        <v>6</v>
      </c>
      <c r="AJ25" s="18" t="n">
        <v>4</v>
      </c>
      <c r="AK25" s="18" t="n">
        <v>5</v>
      </c>
      <c r="AL25" s="18" t="n">
        <v>5</v>
      </c>
      <c r="AM25" s="18" t="n">
        <v>4</v>
      </c>
      <c r="AN25" s="18" t="n">
        <v>4</v>
      </c>
      <c r="AO25" s="18" t="n">
        <v>4</v>
      </c>
      <c r="AP25" s="18" t="n">
        <v>2</v>
      </c>
      <c r="AQ25" s="18" t="n">
        <v>8</v>
      </c>
      <c r="AR25" s="18" t="n">
        <v>4</v>
      </c>
      <c r="AS25" s="18" t="n">
        <v>5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Jack Murtagh</t>
        </is>
      </c>
      <c r="C26" s="8" t="inlineStr">
        <is>
          <t>41593</t>
        </is>
      </c>
      <c r="D26" t="inlineStr">
        <is>
          <t>Vilamoura, C. G</t>
        </is>
      </c>
      <c r="E26" s="8" t="n">
        <v>11.2</v>
      </c>
      <c r="F26" s="18" t="n">
        <v>7</v>
      </c>
      <c r="G26" s="18" t="n">
        <v>5</v>
      </c>
      <c r="H26" s="18" t="n">
        <v>4</v>
      </c>
      <c r="I26" s="18" t="n">
        <v>5</v>
      </c>
      <c r="J26" s="18" t="n">
        <v>6</v>
      </c>
      <c r="K26" s="18" t="n">
        <v>3</v>
      </c>
      <c r="L26" s="18" t="n">
        <v>4</v>
      </c>
      <c r="M26" s="18" t="n">
        <v>3</v>
      </c>
      <c r="N26" s="18" t="n">
        <v>6</v>
      </c>
      <c r="O26" s="18" t="n">
        <v>6</v>
      </c>
      <c r="P26" s="18" t="n">
        <v>6</v>
      </c>
      <c r="Q26" s="18" t="n">
        <v>5</v>
      </c>
      <c r="R26" s="18" t="n">
        <v>2</v>
      </c>
      <c r="S26" s="18" t="n">
        <v>4</v>
      </c>
      <c r="T26" s="18" t="n">
        <v>3</v>
      </c>
      <c r="U26" s="18" t="n">
        <v>5</v>
      </c>
      <c r="V26" s="18" t="n">
        <v>4</v>
      </c>
      <c r="W26" s="18" t="n">
        <v>4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7</v>
      </c>
      <c r="AC26" s="18" t="n">
        <v>5</v>
      </c>
      <c r="AD26" s="18" t="n">
        <v>4</v>
      </c>
      <c r="AE26" s="18" t="n">
        <v>7</v>
      </c>
      <c r="AF26" s="18" t="n">
        <v>5</v>
      </c>
      <c r="AG26" s="18" t="n">
        <v>4</v>
      </c>
      <c r="AH26" s="18" t="n">
        <v>6</v>
      </c>
      <c r="AI26" s="18" t="n">
        <v>5</v>
      </c>
      <c r="AJ26" s="18" t="n">
        <v>5</v>
      </c>
      <c r="AK26" s="18" t="n">
        <v>5</v>
      </c>
      <c r="AL26" s="18" t="n">
        <v>4</v>
      </c>
      <c r="AM26" s="18" t="n">
        <v>6</v>
      </c>
      <c r="AN26" s="18" t="n">
        <v>3</v>
      </c>
      <c r="AO26" s="18" t="n">
        <v>5</v>
      </c>
      <c r="AP26" s="18" t="n">
        <v>3</v>
      </c>
      <c r="AQ26" s="18" t="n">
        <v>6</v>
      </c>
      <c r="AR26" s="18" t="n">
        <v>5</v>
      </c>
      <c r="AS26" s="18" t="n">
        <v>6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n">
        <v>16</v>
      </c>
      <c r="B27" t="inlineStr">
        <is>
          <t>David Filip</t>
        </is>
      </c>
      <c r="C27" s="8" t="inlineStr">
        <is>
          <t>51949</t>
        </is>
      </c>
      <c r="D27" t="inlineStr">
        <is>
          <t>Lisbon SC</t>
        </is>
      </c>
      <c r="E27" s="8" t="n">
        <v>19.3</v>
      </c>
      <c r="F27" s="18" t="n">
        <v>4</v>
      </c>
      <c r="G27" s="18" t="n">
        <v>5</v>
      </c>
      <c r="H27" s="18" t="n">
        <v>3</v>
      </c>
      <c r="I27" s="18" t="n">
        <v>7</v>
      </c>
      <c r="J27" s="18" t="n">
        <v>5</v>
      </c>
      <c r="K27" s="18" t="n">
        <v>4</v>
      </c>
      <c r="L27" s="18" t="n">
        <v>4</v>
      </c>
      <c r="M27" s="18" t="n">
        <v>6</v>
      </c>
      <c r="N27" s="18" t="n">
        <v>4</v>
      </c>
      <c r="O27" s="18" t="n">
        <v>5</v>
      </c>
      <c r="P27" s="18" t="n">
        <v>7</v>
      </c>
      <c r="Q27" s="18" t="n">
        <v>4</v>
      </c>
      <c r="R27" s="18" t="n">
        <v>3</v>
      </c>
      <c r="S27" s="18" t="n">
        <v>4</v>
      </c>
      <c r="T27" s="18" t="n">
        <v>3</v>
      </c>
      <c r="U27" s="18" t="n">
        <v>4</v>
      </c>
      <c r="V27" s="18" t="n">
        <v>4</v>
      </c>
      <c r="W27" s="18" t="n">
        <v>6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MAX(0,25-Z27)*1.0</f>
        <v/>
      </c>
      <c r="AB27" s="18" t="n">
        <v>4</v>
      </c>
      <c r="AC27" s="18" t="n">
        <v>6</v>
      </c>
      <c r="AD27" s="18" t="n">
        <v>3</v>
      </c>
      <c r="AE27" s="18" t="n">
        <v>6</v>
      </c>
      <c r="AF27" s="18" t="n">
        <v>6</v>
      </c>
      <c r="AG27" s="18" t="n">
        <v>6</v>
      </c>
      <c r="AH27" s="18" t="n">
        <v>6</v>
      </c>
      <c r="AI27" s="18" t="n">
        <v>6</v>
      </c>
      <c r="AJ27" s="18" t="n">
        <v>5</v>
      </c>
      <c r="AK27" s="18" t="n">
        <v>5</v>
      </c>
      <c r="AL27" s="18" t="n">
        <v>5</v>
      </c>
      <c r="AM27" s="18" t="n">
        <v>4</v>
      </c>
      <c r="AN27" s="18" t="n">
        <v>3</v>
      </c>
      <c r="AO27" s="18" t="n">
        <v>4</v>
      </c>
      <c r="AP27" s="18" t="n">
        <v>3</v>
      </c>
      <c r="AQ27" s="18" t="n">
        <v>4</v>
      </c>
      <c r="AR27" s="18" t="n">
        <v>4</v>
      </c>
      <c r="AS27" s="18" t="n">
        <v>6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MAX(0,25-AV27)*1.0</f>
        <v/>
      </c>
      <c r="AX27" s="19">
        <f>AA27+AW27</f>
        <v/>
      </c>
    </row>
    <row r="28">
      <c r="A28" s="8" t="n">
        <v>17</v>
      </c>
      <c r="B28" t="inlineStr">
        <is>
          <t>Miguel Coelho Porfirio</t>
        </is>
      </c>
      <c r="C28" s="8" t="inlineStr">
        <is>
          <t>44160</t>
        </is>
      </c>
      <c r="D28" t="inlineStr">
        <is>
          <t>Miramar</t>
        </is>
      </c>
      <c r="E28" s="8" t="n">
        <v>11.6</v>
      </c>
      <c r="F28" s="18" t="n">
        <v>5</v>
      </c>
      <c r="G28" s="18" t="n">
        <v>6</v>
      </c>
      <c r="H28" s="18" t="n">
        <v>3</v>
      </c>
      <c r="I28" s="18" t="n">
        <v>7</v>
      </c>
      <c r="J28" s="18" t="n">
        <v>5</v>
      </c>
      <c r="K28" s="18" t="n">
        <v>4</v>
      </c>
      <c r="L28" s="18" t="n">
        <v>4</v>
      </c>
      <c r="M28" s="18" t="n">
        <v>6</v>
      </c>
      <c r="N28" s="18" t="n">
        <v>5</v>
      </c>
      <c r="O28" s="18" t="n">
        <v>4</v>
      </c>
      <c r="P28" s="18" t="n">
        <v>6</v>
      </c>
      <c r="Q28" s="18" t="n">
        <v>4</v>
      </c>
      <c r="R28" s="18" t="n">
        <v>3</v>
      </c>
      <c r="S28" s="18" t="n">
        <v>3</v>
      </c>
      <c r="T28" s="18" t="n">
        <v>4</v>
      </c>
      <c r="U28" s="18" t="n">
        <v>5</v>
      </c>
      <c r="V28" s="18" t="n">
        <v>4</v>
      </c>
      <c r="W28" s="18" t="n">
        <v>5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MAX(0,25-Z28)*1.0</f>
        <v/>
      </c>
      <c r="AB28" s="18" t="n">
        <v>6</v>
      </c>
      <c r="AC28" s="18" t="n">
        <v>6</v>
      </c>
      <c r="AD28" s="18" t="n">
        <v>3</v>
      </c>
      <c r="AE28" s="18" t="n">
        <v>8</v>
      </c>
      <c r="AF28" s="18" t="n">
        <v>4</v>
      </c>
      <c r="AG28" s="18" t="n">
        <v>4</v>
      </c>
      <c r="AH28" s="18" t="n">
        <v>6</v>
      </c>
      <c r="AI28" s="18" t="n">
        <v>4</v>
      </c>
      <c r="AJ28" s="18" t="n">
        <v>5</v>
      </c>
      <c r="AK28" s="18" t="n">
        <v>4</v>
      </c>
      <c r="AL28" s="18" t="n">
        <v>6</v>
      </c>
      <c r="AM28" s="18" t="n">
        <v>5</v>
      </c>
      <c r="AN28" s="18" t="n">
        <v>3</v>
      </c>
      <c r="AO28" s="18" t="n">
        <v>4</v>
      </c>
      <c r="AP28" s="18" t="n">
        <v>4</v>
      </c>
      <c r="AQ28" s="18" t="n">
        <v>5</v>
      </c>
      <c r="AR28" s="18" t="n">
        <v>4</v>
      </c>
      <c r="AS28" s="18" t="n">
        <v>4</v>
      </c>
      <c r="AT28" s="8">
        <f>SUM(AB28:AS28)</f>
        <v/>
      </c>
      <c r="AU28" s="8">
        <f>AU10</f>
        <v/>
      </c>
      <c r="AV28" s="8">
        <f>AT28-AU28</f>
        <v/>
      </c>
      <c r="AW28" s="8">
        <f>MAX(0,25-AV28)*1.0</f>
        <v/>
      </c>
      <c r="AX28" s="19">
        <f>AA28+AW28</f>
        <v/>
      </c>
    </row>
    <row r="29">
      <c r="A29" s="8" t="n">
        <v>18</v>
      </c>
      <c r="B29" t="inlineStr">
        <is>
          <t>João Rocha</t>
        </is>
      </c>
      <c r="C29" s="8" t="inlineStr">
        <is>
          <t>48297</t>
        </is>
      </c>
      <c r="D29" t="inlineStr">
        <is>
          <t>Estoril</t>
        </is>
      </c>
      <c r="E29" s="8" t="n">
        <v>10.1</v>
      </c>
      <c r="F29" s="18" t="n">
        <v>4</v>
      </c>
      <c r="G29" s="18" t="n">
        <v>5</v>
      </c>
      <c r="H29" s="18" t="n">
        <v>5</v>
      </c>
      <c r="I29" s="18" t="n">
        <v>7</v>
      </c>
      <c r="J29" s="18" t="n">
        <v>4</v>
      </c>
      <c r="K29" s="18" t="n">
        <v>3</v>
      </c>
      <c r="L29" s="18" t="n">
        <v>6</v>
      </c>
      <c r="M29" s="18" t="n">
        <v>5</v>
      </c>
      <c r="N29" s="18" t="n">
        <v>3</v>
      </c>
      <c r="O29" s="18" t="n">
        <v>4</v>
      </c>
      <c r="P29" s="18" t="n">
        <v>6</v>
      </c>
      <c r="Q29" s="18" t="n">
        <v>4</v>
      </c>
      <c r="R29" s="18" t="n">
        <v>3</v>
      </c>
      <c r="S29" s="18" t="n">
        <v>4</v>
      </c>
      <c r="T29" s="18" t="n">
        <v>4</v>
      </c>
      <c r="U29" s="18" t="n">
        <v>5</v>
      </c>
      <c r="V29" s="18" t="n">
        <v>5</v>
      </c>
      <c r="W29" s="18" t="n">
        <v>6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MAX(0,25-Z29)*1.0</f>
        <v/>
      </c>
      <c r="AB29" s="18" t="n">
        <v>5</v>
      </c>
      <c r="AC29" s="18" t="n">
        <v>5</v>
      </c>
      <c r="AD29" s="18" t="n">
        <v>3</v>
      </c>
      <c r="AE29" s="18" t="n">
        <v>5</v>
      </c>
      <c r="AF29" s="18" t="n">
        <v>5</v>
      </c>
      <c r="AG29" s="18" t="n">
        <v>4</v>
      </c>
      <c r="AH29" s="18" t="n">
        <v>6</v>
      </c>
      <c r="AI29" s="18" t="n">
        <v>5</v>
      </c>
      <c r="AJ29" s="18" t="n">
        <v>4</v>
      </c>
      <c r="AK29" s="18" t="n">
        <v>6</v>
      </c>
      <c r="AL29" s="18" t="n">
        <v>6</v>
      </c>
      <c r="AM29" s="18" t="n">
        <v>5</v>
      </c>
      <c r="AN29" s="18" t="n">
        <v>4</v>
      </c>
      <c r="AO29" s="18" t="n">
        <v>5</v>
      </c>
      <c r="AP29" s="18" t="n">
        <v>3</v>
      </c>
      <c r="AQ29" s="18" t="n">
        <v>5</v>
      </c>
      <c r="AR29" s="18" t="n">
        <v>4</v>
      </c>
      <c r="AS29" s="18" t="n">
        <v>5</v>
      </c>
      <c r="AT29" s="8">
        <f>SUM(AB29:AS29)</f>
        <v/>
      </c>
      <c r="AU29" s="8">
        <f>AU10</f>
        <v/>
      </c>
      <c r="AV29" s="8">
        <f>AT29-AU29</f>
        <v/>
      </c>
      <c r="AW29" s="8">
        <f>MAX(0,25-AV29)*1.0</f>
        <v/>
      </c>
      <c r="AX29" s="19">
        <f>AA29+AW29</f>
        <v/>
      </c>
    </row>
    <row r="30">
      <c r="A30" s="8" t="n">
        <v>19</v>
      </c>
      <c r="B30" t="inlineStr">
        <is>
          <t>Tomás Lima Pinto</t>
        </is>
      </c>
      <c r="C30" s="8" t="inlineStr">
        <is>
          <t>46037</t>
        </is>
      </c>
      <c r="D30" t="inlineStr">
        <is>
          <t>Vilamoura, C. G</t>
        </is>
      </c>
      <c r="E30" s="8" t="n">
        <v>14.5</v>
      </c>
      <c r="F30" s="18" t="n">
        <v>4</v>
      </c>
      <c r="G30" s="18" t="n">
        <v>5</v>
      </c>
      <c r="H30" s="18" t="n">
        <v>4</v>
      </c>
      <c r="I30" s="18" t="n">
        <v>7</v>
      </c>
      <c r="J30" s="18" t="n">
        <v>5</v>
      </c>
      <c r="K30" s="18" t="n">
        <v>6</v>
      </c>
      <c r="L30" s="18" t="n">
        <v>6</v>
      </c>
      <c r="M30" s="18" t="n">
        <v>4</v>
      </c>
      <c r="N30" s="18" t="n">
        <v>4</v>
      </c>
      <c r="O30" s="18" t="n">
        <v>5</v>
      </c>
      <c r="P30" s="18" t="n">
        <v>4</v>
      </c>
      <c r="Q30" s="18" t="n">
        <v>4</v>
      </c>
      <c r="R30" s="18" t="n">
        <v>3</v>
      </c>
      <c r="S30" s="18" t="n">
        <v>4</v>
      </c>
      <c r="T30" s="18" t="n">
        <v>4</v>
      </c>
      <c r="U30" s="18" t="n">
        <v>5</v>
      </c>
      <c r="V30" s="18" t="n">
        <v>5</v>
      </c>
      <c r="W30" s="18" t="n">
        <v>5</v>
      </c>
      <c r="X30" s="8">
        <f>SUM(F30:W30)</f>
        <v/>
      </c>
      <c r="Y30" s="8">
        <f>Y10</f>
        <v/>
      </c>
      <c r="Z30" s="8">
        <f>X30-Y30</f>
        <v/>
      </c>
      <c r="AA30" s="8">
        <f>MAX(0,25-Z30)*1.0</f>
        <v/>
      </c>
      <c r="AB30" s="18" t="n">
        <v>6</v>
      </c>
      <c r="AC30" s="18" t="n">
        <v>6</v>
      </c>
      <c r="AD30" s="18" t="n">
        <v>4</v>
      </c>
      <c r="AE30" s="18" t="n">
        <v>8</v>
      </c>
      <c r="AF30" s="18" t="n">
        <v>4</v>
      </c>
      <c r="AG30" s="18" t="n">
        <v>4</v>
      </c>
      <c r="AH30" s="18" t="n">
        <v>5</v>
      </c>
      <c r="AI30" s="18" t="n">
        <v>7</v>
      </c>
      <c r="AJ30" s="18" t="n">
        <v>5</v>
      </c>
      <c r="AK30" s="18" t="n">
        <v>6</v>
      </c>
      <c r="AL30" s="18" t="n">
        <v>5</v>
      </c>
      <c r="AM30" s="18" t="n">
        <v>5</v>
      </c>
      <c r="AN30" s="18" t="n">
        <v>3</v>
      </c>
      <c r="AO30" s="18" t="n">
        <v>6</v>
      </c>
      <c r="AP30" s="18" t="n">
        <v>4</v>
      </c>
      <c r="AQ30" s="18" t="n">
        <v>6</v>
      </c>
      <c r="AR30" s="18" t="n">
        <v>5</v>
      </c>
      <c r="AS30" s="18" t="n">
        <v>6</v>
      </c>
      <c r="AT30" s="8">
        <f>SUM(AB30:AS30)</f>
        <v/>
      </c>
      <c r="AU30" s="8">
        <f>AU10</f>
        <v/>
      </c>
      <c r="AV30" s="8">
        <f>AT30-AU30</f>
        <v/>
      </c>
      <c r="AW30" s="8">
        <f>MAX(0,25-AV30)*1.0</f>
        <v/>
      </c>
      <c r="AX30" s="19">
        <f>AA30+AW30</f>
        <v/>
      </c>
    </row>
    <row r="31">
      <c r="A31" s="8" t="n">
        <v>20</v>
      </c>
      <c r="B31" t="inlineStr">
        <is>
          <t>Clementy Tarasov</t>
        </is>
      </c>
      <c r="C31" s="8" t="inlineStr">
        <is>
          <t>50919</t>
        </is>
      </c>
      <c r="D31" t="inlineStr">
        <is>
          <t>Vila Sol</t>
        </is>
      </c>
      <c r="E31" s="8" t="n">
        <v>10.1</v>
      </c>
      <c r="F31" s="18" t="n">
        <v>5</v>
      </c>
      <c r="G31" s="18" t="n">
        <v>4</v>
      </c>
      <c r="H31" s="18" t="n">
        <v>4</v>
      </c>
      <c r="I31" s="18" t="n">
        <v>6</v>
      </c>
      <c r="J31" s="18" t="n">
        <v>5</v>
      </c>
      <c r="K31" s="18" t="n">
        <v>5</v>
      </c>
      <c r="L31" s="18" t="n">
        <v>6</v>
      </c>
      <c r="M31" s="18" t="n">
        <v>6</v>
      </c>
      <c r="N31" s="18" t="n">
        <v>5</v>
      </c>
      <c r="O31" s="18" t="n">
        <v>5</v>
      </c>
      <c r="P31" s="18" t="n">
        <v>5</v>
      </c>
      <c r="Q31" s="18" t="n">
        <v>4</v>
      </c>
      <c r="R31" s="18" t="n">
        <v>3</v>
      </c>
      <c r="S31" s="18" t="n">
        <v>3</v>
      </c>
      <c r="T31" s="18" t="n">
        <v>4</v>
      </c>
      <c r="U31" s="18" t="n">
        <v>5</v>
      </c>
      <c r="V31" s="18" t="n">
        <v>5</v>
      </c>
      <c r="W31" s="18" t="n">
        <v>5</v>
      </c>
      <c r="X31" s="8">
        <f>SUM(F31:W31)</f>
        <v/>
      </c>
      <c r="Y31" s="8">
        <f>Y10</f>
        <v/>
      </c>
      <c r="Z31" s="8">
        <f>X31-Y31</f>
        <v/>
      </c>
      <c r="AA31" s="8">
        <f>MAX(0,25-Z31)*1.0</f>
        <v/>
      </c>
      <c r="AB31" s="18" t="n">
        <v>4</v>
      </c>
      <c r="AC31" s="18" t="n">
        <v>5</v>
      </c>
      <c r="AD31" s="18" t="n">
        <v>5</v>
      </c>
      <c r="AE31" s="18" t="n">
        <v>5</v>
      </c>
      <c r="AF31" s="18" t="n">
        <v>5</v>
      </c>
      <c r="AG31" s="18" t="n">
        <v>3</v>
      </c>
      <c r="AH31" s="18" t="n">
        <v>6</v>
      </c>
      <c r="AI31" s="18" t="n">
        <v>6</v>
      </c>
      <c r="AJ31" s="18" t="n">
        <v>6</v>
      </c>
      <c r="AK31" s="18" t="n">
        <v>5</v>
      </c>
      <c r="AL31" s="18" t="n">
        <v>5</v>
      </c>
      <c r="AM31" s="18" t="n">
        <v>4</v>
      </c>
      <c r="AN31" s="18" t="n">
        <v>6</v>
      </c>
      <c r="AO31" s="18" t="n">
        <v>5</v>
      </c>
      <c r="AP31" s="18" t="n">
        <v>3</v>
      </c>
      <c r="AQ31" s="18" t="n">
        <v>4</v>
      </c>
      <c r="AR31" s="18" t="n">
        <v>4</v>
      </c>
      <c r="AS31" s="18" t="n">
        <v>5</v>
      </c>
      <c r="AT31" s="8">
        <f>SUM(AB31:AS31)</f>
        <v/>
      </c>
      <c r="AU31" s="8">
        <f>AU10</f>
        <v/>
      </c>
      <c r="AV31" s="8">
        <f>AT31-AU31</f>
        <v/>
      </c>
      <c r="AW31" s="8">
        <f>MAX(0,25-AV31)*1.0</f>
        <v/>
      </c>
      <c r="AX31" s="19">
        <f>AA31+AW31</f>
        <v/>
      </c>
    </row>
    <row r="32">
      <c r="A32" s="8" t="n">
        <v>21</v>
      </c>
      <c r="B32" t="inlineStr">
        <is>
          <t>Rodrigo Sousa Correia</t>
        </is>
      </c>
      <c r="C32" s="8" t="inlineStr">
        <is>
          <t>44934</t>
        </is>
      </c>
      <c r="D32" t="inlineStr">
        <is>
          <t>Vilamoura, C. G</t>
        </is>
      </c>
      <c r="E32" s="8" t="n">
        <v>2.5</v>
      </c>
      <c r="F32" s="18" t="n">
        <v>4</v>
      </c>
      <c r="G32" s="18" t="n">
        <v>4</v>
      </c>
      <c r="H32" s="18" t="n">
        <v>5</v>
      </c>
      <c r="I32" s="18" t="n">
        <v>6</v>
      </c>
      <c r="J32" s="18" t="n">
        <v>7</v>
      </c>
      <c r="K32" s="18" t="n">
        <v>4</v>
      </c>
      <c r="L32" s="18" t="n">
        <v>5</v>
      </c>
      <c r="M32" s="18" t="n">
        <v>6</v>
      </c>
      <c r="N32" s="18" t="n">
        <v>4</v>
      </c>
      <c r="O32" s="18" t="n">
        <v>5</v>
      </c>
      <c r="P32" s="18" t="n">
        <v>5</v>
      </c>
      <c r="Q32" s="18" t="n">
        <v>4</v>
      </c>
      <c r="R32" s="18" t="n">
        <v>4</v>
      </c>
      <c r="S32" s="18" t="n">
        <v>4</v>
      </c>
      <c r="T32" s="18" t="n">
        <v>4</v>
      </c>
      <c r="U32" s="18" t="n">
        <v>5</v>
      </c>
      <c r="V32" s="18" t="n">
        <v>4</v>
      </c>
      <c r="W32" s="18" t="n">
        <v>5</v>
      </c>
      <c r="X32" s="8">
        <f>SUM(F32:W32)</f>
        <v/>
      </c>
      <c r="Y32" s="8">
        <f>Y10</f>
        <v/>
      </c>
      <c r="Z32" s="8">
        <f>X32-Y32</f>
        <v/>
      </c>
      <c r="AA32" s="8">
        <f>MAX(0,25-Z32)*1.0</f>
        <v/>
      </c>
      <c r="AB32" s="18" t="n">
        <v>5</v>
      </c>
      <c r="AC32" s="18" t="n">
        <v>4</v>
      </c>
      <c r="AD32" s="18" t="n">
        <v>4</v>
      </c>
      <c r="AE32" s="18" t="n">
        <v>5</v>
      </c>
      <c r="AF32" s="18" t="n">
        <v>6</v>
      </c>
      <c r="AG32" s="18" t="n">
        <v>4</v>
      </c>
      <c r="AH32" s="18" t="n">
        <v>5</v>
      </c>
      <c r="AI32" s="18" t="n">
        <v>6</v>
      </c>
      <c r="AJ32" s="18" t="n">
        <v>4</v>
      </c>
      <c r="AK32" s="18" t="n">
        <v>5</v>
      </c>
      <c r="AL32" s="18" t="n">
        <v>5</v>
      </c>
      <c r="AM32" s="18" t="n">
        <v>4</v>
      </c>
      <c r="AN32" s="18" t="n">
        <v>4</v>
      </c>
      <c r="AO32" s="18" t="n">
        <v>5</v>
      </c>
      <c r="AP32" s="18" t="n">
        <v>3</v>
      </c>
      <c r="AQ32" s="18" t="n">
        <v>4</v>
      </c>
      <c r="AR32" s="18" t="n">
        <v>5</v>
      </c>
      <c r="AS32" s="18" t="n">
        <v>4</v>
      </c>
      <c r="AT32" s="8">
        <f>SUM(AB32:AS32)</f>
        <v/>
      </c>
      <c r="AU32" s="8">
        <f>AU10</f>
        <v/>
      </c>
      <c r="AV32" s="8">
        <f>AT32-AU32</f>
        <v/>
      </c>
      <c r="AW32" s="8">
        <f>MAX(0,25-AV32)*1.0</f>
        <v/>
      </c>
      <c r="AX32" s="19">
        <f>AA32+AW32</f>
        <v/>
      </c>
    </row>
    <row r="33">
      <c r="A33" s="8" t="n">
        <v>22</v>
      </c>
      <c r="B33" t="inlineStr">
        <is>
          <t>Sabrina Ribeiro Crisóstomo</t>
        </is>
      </c>
      <c r="C33" s="8" t="inlineStr">
        <is>
          <t>48971</t>
        </is>
      </c>
      <c r="D33" t="inlineStr">
        <is>
          <t>Vilamoura, C. G</t>
        </is>
      </c>
      <c r="E33" s="8" t="n">
        <v>14.3</v>
      </c>
      <c r="F33" s="18" t="n">
        <v>5</v>
      </c>
      <c r="G33" s="18" t="n">
        <v>5</v>
      </c>
      <c r="H33" s="18" t="n">
        <v>4</v>
      </c>
      <c r="I33" s="18" t="n">
        <v>6</v>
      </c>
      <c r="J33" s="18" t="n">
        <v>4</v>
      </c>
      <c r="K33" s="18" t="n">
        <v>3</v>
      </c>
      <c r="L33" s="18" t="n">
        <v>5</v>
      </c>
      <c r="M33" s="18" t="n">
        <v>6</v>
      </c>
      <c r="N33" s="18" t="n">
        <v>6</v>
      </c>
      <c r="O33" s="18" t="n">
        <v>5</v>
      </c>
      <c r="P33" s="18" t="n">
        <v>5</v>
      </c>
      <c r="Q33" s="18" t="n">
        <v>4</v>
      </c>
      <c r="R33" s="18" t="n">
        <v>2</v>
      </c>
      <c r="S33" s="18" t="n">
        <v>5</v>
      </c>
      <c r="T33" s="18" t="n">
        <v>4</v>
      </c>
      <c r="U33" s="18" t="n">
        <v>5</v>
      </c>
      <c r="V33" s="18" t="n">
        <v>5</v>
      </c>
      <c r="W33" s="18" t="n">
        <v>6</v>
      </c>
      <c r="X33" s="8">
        <f>SUM(F33:W33)</f>
        <v/>
      </c>
      <c r="Y33" s="8">
        <f>Y10</f>
        <v/>
      </c>
      <c r="Z33" s="8">
        <f>X33-Y33</f>
        <v/>
      </c>
      <c r="AA33" s="8">
        <f>MAX(0,25-Z33)*1.0</f>
        <v/>
      </c>
      <c r="AB33" s="18" t="n">
        <v>4</v>
      </c>
      <c r="AC33" s="18" t="n">
        <v>6</v>
      </c>
      <c r="AD33" s="18" t="n">
        <v>4</v>
      </c>
      <c r="AE33" s="18" t="n">
        <v>5</v>
      </c>
      <c r="AF33" s="18" t="n">
        <v>5</v>
      </c>
      <c r="AG33" s="18" t="n">
        <v>3</v>
      </c>
      <c r="AH33" s="18" t="n">
        <v>5</v>
      </c>
      <c r="AI33" s="18" t="n">
        <v>6</v>
      </c>
      <c r="AJ33" s="18" t="n">
        <v>5</v>
      </c>
      <c r="AK33" s="18" t="n">
        <v>5</v>
      </c>
      <c r="AL33" s="18" t="n">
        <v>6</v>
      </c>
      <c r="AM33" s="18" t="n">
        <v>4</v>
      </c>
      <c r="AN33" s="18" t="n">
        <v>3</v>
      </c>
      <c r="AO33" s="18" t="n">
        <v>5</v>
      </c>
      <c r="AP33" s="18" t="n">
        <v>3</v>
      </c>
      <c r="AQ33" s="18" t="n">
        <v>5</v>
      </c>
      <c r="AR33" s="18" t="n">
        <v>5</v>
      </c>
      <c r="AS33" s="18" t="n">
        <v>6</v>
      </c>
      <c r="AT33" s="8">
        <f>SUM(AB33:AS33)</f>
        <v/>
      </c>
      <c r="AU33" s="8">
        <f>AU10</f>
        <v/>
      </c>
      <c r="AV33" s="8">
        <f>AT33-AU33</f>
        <v/>
      </c>
      <c r="AW33" s="8">
        <f>MAX(0,25-AV33)*1.0</f>
        <v/>
      </c>
      <c r="AX33" s="19">
        <f>AA33+AW33</f>
        <v/>
      </c>
    </row>
    <row r="34">
      <c r="A34" s="8" t="n">
        <v>23</v>
      </c>
      <c r="B34" t="inlineStr">
        <is>
          <t>Afonso de Sousa Pinto</t>
        </is>
      </c>
      <c r="C34" s="8" t="inlineStr">
        <is>
          <t>46480</t>
        </is>
      </c>
      <c r="D34" t="inlineStr">
        <is>
          <t>Oporto</t>
        </is>
      </c>
      <c r="E34" s="8" t="n">
        <v>14</v>
      </c>
      <c r="F34" s="18" t="n">
        <v>4</v>
      </c>
      <c r="G34" s="18" t="n">
        <v>5</v>
      </c>
      <c r="H34" s="18" t="n">
        <v>3</v>
      </c>
      <c r="I34" s="18" t="n">
        <v>6</v>
      </c>
      <c r="J34" s="18" t="n">
        <v>4</v>
      </c>
      <c r="K34" s="18" t="n">
        <v>3</v>
      </c>
      <c r="L34" s="18" t="n">
        <v>5</v>
      </c>
      <c r="M34" s="18" t="n">
        <v>6</v>
      </c>
      <c r="N34" s="18" t="n">
        <v>6</v>
      </c>
      <c r="O34" s="18" t="n">
        <v>4</v>
      </c>
      <c r="P34" s="18" t="n">
        <v>6</v>
      </c>
      <c r="Q34" s="18" t="n">
        <v>5</v>
      </c>
      <c r="R34" s="18" t="n">
        <v>3</v>
      </c>
      <c r="S34" s="18" t="n">
        <v>5</v>
      </c>
      <c r="T34" s="18" t="n">
        <v>5</v>
      </c>
      <c r="U34" s="18" t="n">
        <v>5</v>
      </c>
      <c r="V34" s="18" t="n">
        <v>4</v>
      </c>
      <c r="W34" s="18" t="n">
        <v>6</v>
      </c>
      <c r="X34" s="8">
        <f>SUM(F34:W34)</f>
        <v/>
      </c>
      <c r="Y34" s="8">
        <f>Y10</f>
        <v/>
      </c>
      <c r="Z34" s="8">
        <f>X34-Y34</f>
        <v/>
      </c>
      <c r="AA34" s="8">
        <f>MAX(0,25-Z34)*1.0</f>
        <v/>
      </c>
      <c r="AB34" s="18" t="n">
        <v>4</v>
      </c>
      <c r="AC34" s="18" t="n">
        <v>5</v>
      </c>
      <c r="AD34" s="18" t="n">
        <v>3</v>
      </c>
      <c r="AE34" s="18" t="n">
        <v>6</v>
      </c>
      <c r="AF34" s="18" t="n">
        <v>5</v>
      </c>
      <c r="AG34" s="18" t="n">
        <v>4</v>
      </c>
      <c r="AH34" s="18" t="n">
        <v>6</v>
      </c>
      <c r="AI34" s="18" t="n">
        <v>5</v>
      </c>
      <c r="AJ34" s="18" t="n">
        <v>5</v>
      </c>
      <c r="AK34" s="18" t="n">
        <v>6</v>
      </c>
      <c r="AL34" s="18" t="n">
        <v>5</v>
      </c>
      <c r="AM34" s="18" t="n">
        <v>5</v>
      </c>
      <c r="AN34" s="18" t="n">
        <v>3</v>
      </c>
      <c r="AO34" s="18" t="n">
        <v>5</v>
      </c>
      <c r="AP34" s="18" t="n">
        <v>4</v>
      </c>
      <c r="AQ34" s="18" t="n">
        <v>3</v>
      </c>
      <c r="AR34" s="18" t="n">
        <v>6</v>
      </c>
      <c r="AS34" s="18" t="n">
        <v>5</v>
      </c>
      <c r="AT34" s="8">
        <f>SUM(AB34:AS34)</f>
        <v/>
      </c>
      <c r="AU34" s="8">
        <f>AU10</f>
        <v/>
      </c>
      <c r="AV34" s="8">
        <f>AT34-AU34</f>
        <v/>
      </c>
      <c r="AW34" s="8">
        <f>MAX(0,25-AV34)*1.0</f>
        <v/>
      </c>
      <c r="AX34" s="19">
        <f>AA34+AW34</f>
        <v/>
      </c>
    </row>
    <row r="35">
      <c r="A35" s="8" t="n">
        <v>24</v>
      </c>
      <c r="B35" t="inlineStr">
        <is>
          <t>Finn Gordon</t>
        </is>
      </c>
      <c r="C35" s="8" t="inlineStr">
        <is>
          <t>55269</t>
        </is>
      </c>
      <c r="D35" t="inlineStr">
        <is>
          <t>Vilamoura, C. G</t>
        </is>
      </c>
      <c r="E35" s="8" t="n">
        <v>11.1</v>
      </c>
      <c r="F35" s="18" t="n">
        <v>5</v>
      </c>
      <c r="G35" s="18" t="n">
        <v>5</v>
      </c>
      <c r="H35" s="18" t="n">
        <v>3</v>
      </c>
      <c r="I35" s="18" t="n">
        <v>5</v>
      </c>
      <c r="J35" s="18" t="n">
        <v>5</v>
      </c>
      <c r="K35" s="18" t="n">
        <v>3</v>
      </c>
      <c r="L35" s="18" t="n">
        <v>6</v>
      </c>
      <c r="M35" s="18" t="n">
        <v>6</v>
      </c>
      <c r="N35" s="18" t="n">
        <v>5</v>
      </c>
      <c r="O35" s="18" t="n">
        <v>5</v>
      </c>
      <c r="P35" s="18" t="n">
        <v>5</v>
      </c>
      <c r="Q35" s="18" t="n">
        <v>5</v>
      </c>
      <c r="R35" s="18" t="n">
        <v>5</v>
      </c>
      <c r="S35" s="18" t="n">
        <v>5</v>
      </c>
      <c r="T35" s="18" t="n">
        <v>3</v>
      </c>
      <c r="U35" s="18" t="n">
        <v>5</v>
      </c>
      <c r="V35" s="18" t="n">
        <v>5</v>
      </c>
      <c r="W35" s="18" t="n">
        <v>5</v>
      </c>
      <c r="X35" s="8">
        <f>SUM(F35:W35)</f>
        <v/>
      </c>
      <c r="Y35" s="8">
        <f>Y10</f>
        <v/>
      </c>
      <c r="Z35" s="8">
        <f>X35-Y35</f>
        <v/>
      </c>
      <c r="AA35" s="8">
        <f>MAX(0,25-Z35)*1.0</f>
        <v/>
      </c>
      <c r="AW35" s="8" t="n">
        <v>0</v>
      </c>
      <c r="AX35" s="19">
        <f>AA35+AW35</f>
        <v/>
      </c>
    </row>
    <row r="36">
      <c r="A36" s="8" t="n">
        <v>25</v>
      </c>
      <c r="B36" t="inlineStr">
        <is>
          <t>Miguel Silva</t>
        </is>
      </c>
      <c r="C36" s="8" t="inlineStr">
        <is>
          <t>48791</t>
        </is>
      </c>
      <c r="D36" t="inlineStr">
        <is>
          <t>Amendoeira</t>
        </is>
      </c>
      <c r="E36" s="8" t="n">
        <v>10.3</v>
      </c>
      <c r="F36" s="18" t="n">
        <v>5</v>
      </c>
      <c r="G36" s="18" t="n">
        <v>5</v>
      </c>
      <c r="H36" s="18" t="n">
        <v>5</v>
      </c>
      <c r="I36" s="18" t="n">
        <v>6</v>
      </c>
      <c r="J36" s="18" t="n">
        <v>5</v>
      </c>
      <c r="K36" s="18" t="n">
        <v>5</v>
      </c>
      <c r="L36" s="18" t="n">
        <v>5</v>
      </c>
      <c r="M36" s="18" t="n">
        <v>6</v>
      </c>
      <c r="N36" s="18" t="n">
        <v>6</v>
      </c>
      <c r="O36" s="18" t="n">
        <v>4</v>
      </c>
      <c r="P36" s="18" t="n">
        <v>5</v>
      </c>
      <c r="Q36" s="18" t="n">
        <v>4</v>
      </c>
      <c r="R36" s="18" t="n">
        <v>3</v>
      </c>
      <c r="S36" s="18" t="n">
        <v>5</v>
      </c>
      <c r="T36" s="18" t="n">
        <v>4</v>
      </c>
      <c r="U36" s="18" t="n">
        <v>6</v>
      </c>
      <c r="V36" s="18" t="n">
        <v>4</v>
      </c>
      <c r="W36" s="18" t="n">
        <v>4</v>
      </c>
      <c r="X36" s="8">
        <f>SUM(F36:W36)</f>
        <v/>
      </c>
      <c r="Y36" s="8">
        <f>Y10</f>
        <v/>
      </c>
      <c r="Z36" s="8">
        <f>X36-Y36</f>
        <v/>
      </c>
      <c r="AA36" s="8">
        <f>MAX(0,25-Z36)*1.0</f>
        <v/>
      </c>
      <c r="AB36" s="18" t="n">
        <v>4</v>
      </c>
      <c r="AC36" s="18" t="n">
        <v>5</v>
      </c>
      <c r="AD36" s="18" t="n">
        <v>4</v>
      </c>
      <c r="AE36" s="18" t="n">
        <v>6</v>
      </c>
      <c r="AF36" s="18" t="n">
        <v>5</v>
      </c>
      <c r="AG36" s="18" t="n">
        <v>3</v>
      </c>
      <c r="AH36" s="18" t="n">
        <v>5</v>
      </c>
      <c r="AI36" s="18" t="n">
        <v>5</v>
      </c>
      <c r="AJ36" s="18" t="n">
        <v>5</v>
      </c>
      <c r="AK36" s="18" t="n">
        <v>5</v>
      </c>
      <c r="AL36" s="18" t="n">
        <v>5</v>
      </c>
      <c r="AM36" s="18" t="n">
        <v>5</v>
      </c>
      <c r="AN36" s="18" t="n">
        <v>3</v>
      </c>
      <c r="AO36" s="18" t="n">
        <v>5</v>
      </c>
      <c r="AP36" s="18" t="n">
        <v>3</v>
      </c>
      <c r="AQ36" s="18" t="n">
        <v>4</v>
      </c>
      <c r="AR36" s="18" t="n">
        <v>6</v>
      </c>
      <c r="AS36" s="18" t="n">
        <v>5</v>
      </c>
      <c r="AT36" s="8">
        <f>SUM(AB36:AS36)</f>
        <v/>
      </c>
      <c r="AU36" s="8">
        <f>AU10</f>
        <v/>
      </c>
      <c r="AV36" s="8">
        <f>AT36-AU36</f>
        <v/>
      </c>
      <c r="AW36" s="8">
        <f>MAX(0,25-AV36)*1.0</f>
        <v/>
      </c>
      <c r="AX36" s="19">
        <f>AA36+AW36</f>
        <v/>
      </c>
    </row>
    <row r="37">
      <c r="A37" s="8" t="n">
        <v>26</v>
      </c>
      <c r="B37" t="inlineStr">
        <is>
          <t>Nicholas Cordeiro</t>
        </is>
      </c>
      <c r="C37" s="8" t="inlineStr">
        <is>
          <t>49066</t>
        </is>
      </c>
      <c r="D37" t="inlineStr">
        <is>
          <t>Vilamoura, C. G</t>
        </is>
      </c>
      <c r="E37" s="8" t="n">
        <v>12.5</v>
      </c>
      <c r="F37" s="18" t="n">
        <v>6</v>
      </c>
      <c r="G37" s="18" t="n">
        <v>6</v>
      </c>
      <c r="H37" s="18" t="n">
        <v>5</v>
      </c>
      <c r="I37" s="18" t="n">
        <v>6</v>
      </c>
      <c r="J37" s="18" t="n">
        <v>6</v>
      </c>
      <c r="K37" s="18" t="n">
        <v>4</v>
      </c>
      <c r="L37" s="18" t="n">
        <v>4</v>
      </c>
      <c r="M37" s="18" t="n">
        <v>5</v>
      </c>
      <c r="N37" s="18" t="n">
        <v>5</v>
      </c>
      <c r="O37" s="18" t="n">
        <v>5</v>
      </c>
      <c r="P37" s="18" t="n">
        <v>5</v>
      </c>
      <c r="Q37" s="18" t="n">
        <v>4</v>
      </c>
      <c r="R37" s="18" t="n">
        <v>3</v>
      </c>
      <c r="S37" s="18" t="n">
        <v>4</v>
      </c>
      <c r="T37" s="18" t="n">
        <v>4</v>
      </c>
      <c r="U37" s="18" t="n">
        <v>6</v>
      </c>
      <c r="V37" s="18" t="n">
        <v>4</v>
      </c>
      <c r="W37" s="18" t="n">
        <v>5</v>
      </c>
      <c r="X37" s="8">
        <f>SUM(F37:W37)</f>
        <v/>
      </c>
      <c r="Y37" s="8">
        <f>Y10</f>
        <v/>
      </c>
      <c r="Z37" s="8">
        <f>X37-Y37</f>
        <v/>
      </c>
      <c r="AA37" s="8">
        <f>MAX(0,25-Z37)*1.0</f>
        <v/>
      </c>
      <c r="AB37" s="18" t="n">
        <v>6</v>
      </c>
      <c r="AC37" s="18" t="n">
        <v>6</v>
      </c>
      <c r="AD37" s="18" t="n">
        <v>5</v>
      </c>
      <c r="AE37" s="18" t="n">
        <v>6</v>
      </c>
      <c r="AF37" s="18" t="n">
        <v>6</v>
      </c>
      <c r="AG37" s="18" t="n">
        <v>3</v>
      </c>
      <c r="AH37" s="18" t="n">
        <v>7</v>
      </c>
      <c r="AI37" s="18" t="n">
        <v>6</v>
      </c>
      <c r="AJ37" s="18" t="n">
        <v>6</v>
      </c>
      <c r="AK37" s="18" t="n">
        <v>5</v>
      </c>
      <c r="AL37" s="18" t="n">
        <v>7</v>
      </c>
      <c r="AM37" s="18" t="n">
        <v>4</v>
      </c>
      <c r="AN37" s="18" t="n">
        <v>4</v>
      </c>
      <c r="AO37" s="18" t="n">
        <v>7</v>
      </c>
      <c r="AP37" s="18" t="n">
        <v>3</v>
      </c>
      <c r="AQ37" s="18" t="n">
        <v>5</v>
      </c>
      <c r="AR37" s="18" t="n">
        <v>4</v>
      </c>
      <c r="AS37" s="18" t="n">
        <v>6</v>
      </c>
      <c r="AT37" s="8">
        <f>SUM(AB37:AS37)</f>
        <v/>
      </c>
      <c r="AU37" s="8">
        <f>AU10</f>
        <v/>
      </c>
      <c r="AV37" s="8">
        <f>AT37-AU37</f>
        <v/>
      </c>
      <c r="AW37" s="8">
        <f>MAX(0,25-AV37)*1.0</f>
        <v/>
      </c>
      <c r="AX37" s="19">
        <f>AA37+AW37</f>
        <v/>
      </c>
    </row>
    <row r="38">
      <c r="A38" s="8" t="n">
        <v>27</v>
      </c>
      <c r="B38" t="inlineStr">
        <is>
          <t>Grace Gordon</t>
        </is>
      </c>
      <c r="C38" s="8" t="inlineStr">
        <is>
          <t>55270</t>
        </is>
      </c>
      <c r="D38" t="inlineStr">
        <is>
          <t>Vilamoura, C. G</t>
        </is>
      </c>
      <c r="E38" s="8" t="n">
        <v>7</v>
      </c>
      <c r="F38" s="18" t="n">
        <v>5</v>
      </c>
      <c r="G38" s="18" t="n">
        <v>7</v>
      </c>
      <c r="H38" s="18" t="n">
        <v>5</v>
      </c>
      <c r="I38" s="18" t="n">
        <v>6</v>
      </c>
      <c r="J38" s="18" t="n">
        <v>6</v>
      </c>
      <c r="K38" s="18" t="n">
        <v>3</v>
      </c>
      <c r="L38" s="18" t="n">
        <v>4</v>
      </c>
      <c r="M38" s="18" t="n">
        <v>6</v>
      </c>
      <c r="N38" s="18" t="n">
        <v>4</v>
      </c>
      <c r="O38" s="18" t="n">
        <v>4</v>
      </c>
      <c r="P38" s="18" t="n">
        <v>6</v>
      </c>
      <c r="Q38" s="18" t="n">
        <v>4</v>
      </c>
      <c r="R38" s="18" t="n">
        <v>3</v>
      </c>
      <c r="S38" s="18" t="n">
        <v>4</v>
      </c>
      <c r="T38" s="18" t="n">
        <v>4</v>
      </c>
      <c r="U38" s="18" t="n">
        <v>5</v>
      </c>
      <c r="V38" s="18" t="n">
        <v>6</v>
      </c>
      <c r="W38" s="18" t="n">
        <v>6</v>
      </c>
      <c r="X38" s="8">
        <f>SUM(F38:W38)</f>
        <v/>
      </c>
      <c r="Y38" s="8">
        <f>Y10</f>
        <v/>
      </c>
      <c r="Z38" s="8">
        <f>X38-Y38</f>
        <v/>
      </c>
      <c r="AA38" s="8">
        <f>MAX(0,25-Z38)*1.0</f>
        <v/>
      </c>
      <c r="AB38" s="18" t="n">
        <v>4</v>
      </c>
      <c r="AC38" s="18" t="n">
        <v>6</v>
      </c>
      <c r="AD38" s="18" t="n">
        <v>4</v>
      </c>
      <c r="AE38" s="18" t="n">
        <v>4</v>
      </c>
      <c r="AF38" s="18" t="n">
        <v>5</v>
      </c>
      <c r="AG38" s="18" t="n">
        <v>4</v>
      </c>
      <c r="AH38" s="18" t="n">
        <v>4</v>
      </c>
      <c r="AI38" s="18" t="n">
        <v>5</v>
      </c>
      <c r="AJ38" s="18" t="n">
        <v>5</v>
      </c>
      <c r="AK38" s="18" t="n">
        <v>5</v>
      </c>
      <c r="AL38" s="18" t="n">
        <v>5</v>
      </c>
      <c r="AM38" s="18" t="n">
        <v>5</v>
      </c>
      <c r="AN38" s="18" t="n">
        <v>2</v>
      </c>
      <c r="AO38" s="18" t="n">
        <v>4</v>
      </c>
      <c r="AP38" s="18" t="n">
        <v>3</v>
      </c>
      <c r="AQ38" s="18" t="n">
        <v>5</v>
      </c>
      <c r="AR38" s="18" t="n">
        <v>4</v>
      </c>
      <c r="AS38" s="18" t="n">
        <v>5</v>
      </c>
      <c r="AT38" s="8">
        <f>SUM(AB38:AS38)</f>
        <v/>
      </c>
      <c r="AU38" s="8">
        <f>AU10</f>
        <v/>
      </c>
      <c r="AV38" s="8">
        <f>AT38-AU38</f>
        <v/>
      </c>
      <c r="AW38" s="8">
        <f>MAX(0,25-AV38)*1.0</f>
        <v/>
      </c>
      <c r="AX38" s="19">
        <f>AA38+AW38</f>
        <v/>
      </c>
    </row>
    <row r="39">
      <c r="A39" s="8" t="n">
        <v>28</v>
      </c>
      <c r="B39" t="inlineStr">
        <is>
          <t>Manuel Goulartt Medeiros</t>
        </is>
      </c>
      <c r="C39" s="8" t="inlineStr">
        <is>
          <t>52884</t>
        </is>
      </c>
      <c r="D39" t="inlineStr">
        <is>
          <t>Santo da Serra</t>
        </is>
      </c>
      <c r="E39" s="8" t="n">
        <v>18.5</v>
      </c>
      <c r="F39" s="18" t="n">
        <v>5</v>
      </c>
      <c r="G39" s="18" t="n">
        <v>6</v>
      </c>
      <c r="H39" s="18" t="n">
        <v>3</v>
      </c>
      <c r="I39" s="18" t="n">
        <v>5</v>
      </c>
      <c r="J39" s="18" t="n">
        <v>4</v>
      </c>
      <c r="K39" s="18" t="n">
        <v>6</v>
      </c>
      <c r="L39" s="18" t="n">
        <v>5</v>
      </c>
      <c r="M39" s="18" t="n">
        <v>5</v>
      </c>
      <c r="N39" s="18" t="n">
        <v>5</v>
      </c>
      <c r="O39" s="18" t="n">
        <v>5</v>
      </c>
      <c r="P39" s="18" t="n">
        <v>5</v>
      </c>
      <c r="Q39" s="18" t="n">
        <v>5</v>
      </c>
      <c r="R39" s="18" t="n">
        <v>5</v>
      </c>
      <c r="S39" s="18" t="n">
        <v>4</v>
      </c>
      <c r="T39" s="18" t="n">
        <v>4</v>
      </c>
      <c r="U39" s="18" t="n">
        <v>6</v>
      </c>
      <c r="V39" s="18" t="n">
        <v>4</v>
      </c>
      <c r="W39" s="18" t="n">
        <v>6</v>
      </c>
      <c r="X39" s="8">
        <f>SUM(F39:W39)</f>
        <v/>
      </c>
      <c r="Y39" s="8">
        <f>Y10</f>
        <v/>
      </c>
      <c r="Z39" s="8">
        <f>X39-Y39</f>
        <v/>
      </c>
      <c r="AA39" s="8">
        <f>MAX(0,25-Z39)*1.0</f>
        <v/>
      </c>
      <c r="AB39" s="18" t="n">
        <v>5</v>
      </c>
      <c r="AC39" s="18" t="n">
        <v>6</v>
      </c>
      <c r="AD39" s="18" t="n">
        <v>4</v>
      </c>
      <c r="AE39" s="18" t="n">
        <v>5</v>
      </c>
      <c r="AF39" s="18" t="n">
        <v>5</v>
      </c>
      <c r="AG39" s="18" t="n">
        <v>4</v>
      </c>
      <c r="AH39" s="18" t="n">
        <v>5</v>
      </c>
      <c r="AI39" s="18" t="n">
        <v>6</v>
      </c>
      <c r="AJ39" s="18" t="n">
        <v>7</v>
      </c>
      <c r="AK39" s="18" t="n">
        <v>5</v>
      </c>
      <c r="AL39" s="18" t="n">
        <v>5</v>
      </c>
      <c r="AM39" s="18" t="n">
        <v>4</v>
      </c>
      <c r="AN39" s="18" t="n">
        <v>3</v>
      </c>
      <c r="AO39" s="18" t="n">
        <v>5</v>
      </c>
      <c r="AP39" s="18" t="n">
        <v>4</v>
      </c>
      <c r="AQ39" s="18" t="n">
        <v>5</v>
      </c>
      <c r="AR39" s="18" t="n">
        <v>5</v>
      </c>
      <c r="AS39" s="18" t="n">
        <v>6</v>
      </c>
      <c r="AT39" s="8">
        <f>SUM(AB39:AS39)</f>
        <v/>
      </c>
      <c r="AU39" s="8">
        <f>AU10</f>
        <v/>
      </c>
      <c r="AV39" s="8">
        <f>AT39-AU39</f>
        <v/>
      </c>
      <c r="AW39" s="8">
        <f>MAX(0,25-AV39)*1.0</f>
        <v/>
      </c>
      <c r="AX39" s="19">
        <f>AA39+AW39</f>
        <v/>
      </c>
    </row>
    <row r="40">
      <c r="A40" s="8" t="n">
        <v>29</v>
      </c>
      <c r="B40" t="inlineStr">
        <is>
          <t>Beau Delfortrie</t>
        </is>
      </c>
      <c r="C40" s="8" t="inlineStr">
        <is>
          <t>50247</t>
        </is>
      </c>
      <c r="D40" t="inlineStr">
        <is>
          <t>Vila Sol</t>
        </is>
      </c>
      <c r="E40" s="8" t="n">
        <v>13.1</v>
      </c>
      <c r="F40" s="18" t="n">
        <v>4</v>
      </c>
      <c r="G40" s="18" t="n">
        <v>5</v>
      </c>
      <c r="H40" s="18" t="n">
        <v>4</v>
      </c>
      <c r="I40" s="18" t="n">
        <v>5</v>
      </c>
      <c r="J40" s="18" t="n">
        <v>7</v>
      </c>
      <c r="K40" s="18" t="n">
        <v>4</v>
      </c>
      <c r="L40" s="18" t="n">
        <v>8</v>
      </c>
      <c r="M40" s="18" t="n">
        <v>5</v>
      </c>
      <c r="N40" s="18" t="n">
        <v>4</v>
      </c>
      <c r="O40" s="18" t="n">
        <v>4</v>
      </c>
      <c r="P40" s="18" t="n">
        <v>6</v>
      </c>
      <c r="Q40" s="18" t="n">
        <v>5</v>
      </c>
      <c r="R40" s="18" t="n">
        <v>4</v>
      </c>
      <c r="S40" s="18" t="n">
        <v>5</v>
      </c>
      <c r="T40" s="18" t="n">
        <v>4</v>
      </c>
      <c r="U40" s="18" t="n">
        <v>6</v>
      </c>
      <c r="V40" s="18" t="n">
        <v>5</v>
      </c>
      <c r="W40" s="18" t="n">
        <v>4</v>
      </c>
      <c r="X40" s="8">
        <f>SUM(F40:W40)</f>
        <v/>
      </c>
      <c r="Y40" s="8">
        <f>Y10</f>
        <v/>
      </c>
      <c r="Z40" s="8">
        <f>X40-Y40</f>
        <v/>
      </c>
      <c r="AA40" s="8">
        <f>MAX(0,25-Z40)*1.0</f>
        <v/>
      </c>
      <c r="AB40" s="18" t="n">
        <v>5</v>
      </c>
      <c r="AC40" s="18" t="n">
        <v>5</v>
      </c>
      <c r="AD40" s="18" t="n">
        <v>4</v>
      </c>
      <c r="AE40" s="18" t="n">
        <v>7</v>
      </c>
      <c r="AF40" s="18" t="n">
        <v>5</v>
      </c>
      <c r="AG40" s="18" t="n">
        <v>4</v>
      </c>
      <c r="AH40" s="18" t="n">
        <v>7</v>
      </c>
      <c r="AI40" s="18" t="n">
        <v>5</v>
      </c>
      <c r="AJ40" s="18" t="n">
        <v>5</v>
      </c>
      <c r="AK40" s="18" t="n">
        <v>5</v>
      </c>
      <c r="AL40" s="18" t="n">
        <v>5</v>
      </c>
      <c r="AM40" s="18" t="n">
        <v>5</v>
      </c>
      <c r="AN40" s="18" t="n">
        <v>3</v>
      </c>
      <c r="AO40" s="18" t="n">
        <v>4</v>
      </c>
      <c r="AP40" s="18" t="n">
        <v>3</v>
      </c>
      <c r="AQ40" s="18" t="n">
        <v>5</v>
      </c>
      <c r="AR40" s="18" t="n">
        <v>4</v>
      </c>
      <c r="AS40" s="18" t="n">
        <v>4</v>
      </c>
      <c r="AT40" s="8">
        <f>SUM(AB40:AS40)</f>
        <v/>
      </c>
      <c r="AU40" s="8">
        <f>AU10</f>
        <v/>
      </c>
      <c r="AV40" s="8">
        <f>AT40-AU40</f>
        <v/>
      </c>
      <c r="AW40" s="8">
        <f>MAX(0,25-AV40)*1.0</f>
        <v/>
      </c>
      <c r="AX40" s="19">
        <f>AA40+AW40</f>
        <v/>
      </c>
    </row>
    <row r="41">
      <c r="A41" s="8" t="n">
        <v>30</v>
      </c>
      <c r="B41" t="inlineStr">
        <is>
          <t>Clara Trindade</t>
        </is>
      </c>
      <c r="C41" s="8" t="inlineStr">
        <is>
          <t>45812</t>
        </is>
      </c>
      <c r="D41" t="inlineStr">
        <is>
          <t>Belas</t>
        </is>
      </c>
      <c r="E41" s="8" t="n">
        <v>10.5</v>
      </c>
      <c r="F41" s="18" t="n">
        <v>4</v>
      </c>
      <c r="G41" s="18" t="n">
        <v>6</v>
      </c>
      <c r="H41" s="18" t="n">
        <v>3</v>
      </c>
      <c r="I41" s="18" t="n">
        <v>6</v>
      </c>
      <c r="J41" s="18" t="n">
        <v>4</v>
      </c>
      <c r="K41" s="18" t="n">
        <v>6</v>
      </c>
      <c r="L41" s="18" t="n">
        <v>7</v>
      </c>
      <c r="M41" s="18" t="n">
        <v>8</v>
      </c>
      <c r="N41" s="18" t="n">
        <v>5</v>
      </c>
      <c r="O41" s="18" t="n">
        <v>5</v>
      </c>
      <c r="P41" s="18" t="n">
        <v>6</v>
      </c>
      <c r="Q41" s="18" t="n">
        <v>5</v>
      </c>
      <c r="R41" s="18" t="n">
        <v>3</v>
      </c>
      <c r="S41" s="18" t="n">
        <v>4</v>
      </c>
      <c r="T41" s="18" t="n">
        <v>3</v>
      </c>
      <c r="U41" s="18" t="n">
        <v>5</v>
      </c>
      <c r="V41" s="18" t="n">
        <v>5</v>
      </c>
      <c r="W41" s="18" t="n">
        <v>5</v>
      </c>
      <c r="X41" s="8">
        <f>SUM(F41:W41)</f>
        <v/>
      </c>
      <c r="Y41" s="8">
        <f>Y10</f>
        <v/>
      </c>
      <c r="Z41" s="8">
        <f>X41-Y41</f>
        <v/>
      </c>
      <c r="AA41" s="8">
        <f>MAX(0,25-Z41)*1.0</f>
        <v/>
      </c>
      <c r="AB41" s="18" t="n">
        <v>5</v>
      </c>
      <c r="AC41" s="18" t="n">
        <v>5</v>
      </c>
      <c r="AD41" s="18" t="n">
        <v>3</v>
      </c>
      <c r="AE41" s="18" t="n">
        <v>6</v>
      </c>
      <c r="AF41" s="18" t="n">
        <v>4</v>
      </c>
      <c r="AG41" s="18" t="n">
        <v>4</v>
      </c>
      <c r="AH41" s="18" t="n">
        <v>4</v>
      </c>
      <c r="AI41" s="18" t="n">
        <v>6</v>
      </c>
      <c r="AJ41" s="18" t="n">
        <v>6</v>
      </c>
      <c r="AK41" s="18" t="n">
        <v>6</v>
      </c>
      <c r="AL41" s="18" t="n">
        <v>5</v>
      </c>
      <c r="AM41" s="18" t="n">
        <v>4</v>
      </c>
      <c r="AN41" s="18" t="n">
        <v>3</v>
      </c>
      <c r="AO41" s="18" t="n">
        <v>4</v>
      </c>
      <c r="AP41" s="18" t="n">
        <v>4</v>
      </c>
      <c r="AQ41" s="18" t="n">
        <v>5</v>
      </c>
      <c r="AR41" s="18" t="n">
        <v>5</v>
      </c>
      <c r="AS41" s="18" t="n">
        <v>6</v>
      </c>
      <c r="AT41" s="8">
        <f>SUM(AB41:AS41)</f>
        <v/>
      </c>
      <c r="AU41" s="8">
        <f>AU10</f>
        <v/>
      </c>
      <c r="AV41" s="8">
        <f>AT41-AU41</f>
        <v/>
      </c>
      <c r="AW41" s="8">
        <f>MAX(0,25-AV41)*1.0</f>
        <v/>
      </c>
      <c r="AX41" s="19">
        <f>AA41+AW41</f>
        <v/>
      </c>
    </row>
    <row r="42">
      <c r="A42" s="8" t="n">
        <v>31</v>
      </c>
      <c r="B42" t="inlineStr">
        <is>
          <t>Carlota Braz Gil</t>
        </is>
      </c>
      <c r="C42" s="8" t="inlineStr">
        <is>
          <t>47374</t>
        </is>
      </c>
      <c r="D42" t="inlineStr">
        <is>
          <t>Santo da Serra</t>
        </is>
      </c>
      <c r="E42" s="8" t="n">
        <v>12.5</v>
      </c>
      <c r="F42" s="18" t="n">
        <v>5</v>
      </c>
      <c r="G42" s="18" t="n">
        <v>5</v>
      </c>
      <c r="H42" s="18" t="n">
        <v>4</v>
      </c>
      <c r="I42" s="18" t="n">
        <v>7</v>
      </c>
      <c r="J42" s="18" t="n">
        <v>4</v>
      </c>
      <c r="K42" s="18" t="n">
        <v>5</v>
      </c>
      <c r="L42" s="18" t="n">
        <v>5</v>
      </c>
      <c r="M42" s="18" t="n">
        <v>6</v>
      </c>
      <c r="N42" s="18" t="n">
        <v>5</v>
      </c>
      <c r="O42" s="18" t="n">
        <v>5</v>
      </c>
      <c r="P42" s="18" t="n">
        <v>7</v>
      </c>
      <c r="Q42" s="18" t="n">
        <v>5</v>
      </c>
      <c r="R42" s="18" t="n">
        <v>4</v>
      </c>
      <c r="S42" s="18" t="n">
        <v>4</v>
      </c>
      <c r="T42" s="18" t="n">
        <v>4</v>
      </c>
      <c r="U42" s="18" t="n">
        <v>5</v>
      </c>
      <c r="V42" s="18" t="n">
        <v>4</v>
      </c>
      <c r="W42" s="18" t="n">
        <v>6</v>
      </c>
      <c r="X42" s="8">
        <f>SUM(F42:W42)</f>
        <v/>
      </c>
      <c r="Y42" s="8">
        <f>Y10</f>
        <v/>
      </c>
      <c r="Z42" s="8">
        <f>X42-Y42</f>
        <v/>
      </c>
      <c r="AA42" s="8">
        <f>MAX(0,25-Z42)*1.0</f>
        <v/>
      </c>
      <c r="AB42" s="18" t="n">
        <v>5</v>
      </c>
      <c r="AC42" s="18" t="n">
        <v>6</v>
      </c>
      <c r="AD42" s="18" t="n">
        <v>3</v>
      </c>
      <c r="AE42" s="18" t="n">
        <v>5</v>
      </c>
      <c r="AF42" s="18" t="n">
        <v>4</v>
      </c>
      <c r="AG42" s="18" t="n">
        <v>4</v>
      </c>
      <c r="AH42" s="18" t="n">
        <v>7</v>
      </c>
      <c r="AI42" s="18" t="n">
        <v>7</v>
      </c>
      <c r="AJ42" s="18" t="n">
        <v>5</v>
      </c>
      <c r="AK42" s="18" t="n">
        <v>5</v>
      </c>
      <c r="AL42" s="18" t="n">
        <v>6</v>
      </c>
      <c r="AM42" s="18" t="n">
        <v>6</v>
      </c>
      <c r="AN42" s="18" t="n">
        <v>4</v>
      </c>
      <c r="AO42" s="18" t="n">
        <v>4</v>
      </c>
      <c r="AP42" s="18" t="n">
        <v>4</v>
      </c>
      <c r="AQ42" s="18" t="n">
        <v>5</v>
      </c>
      <c r="AR42" s="18" t="n">
        <v>4</v>
      </c>
      <c r="AS42" s="18" t="n">
        <v>6</v>
      </c>
      <c r="AT42" s="8">
        <f>SUM(AB42:AS42)</f>
        <v/>
      </c>
      <c r="AU42" s="8">
        <f>AU10</f>
        <v/>
      </c>
      <c r="AV42" s="8">
        <f>AT42-AU42</f>
        <v/>
      </c>
      <c r="AW42" s="8">
        <f>MAX(0,25-AV42)*1.0</f>
        <v/>
      </c>
      <c r="AX42" s="19">
        <f>AA42+AW42</f>
        <v/>
      </c>
    </row>
    <row r="43">
      <c r="A43" s="8" t="n">
        <v>32</v>
      </c>
      <c r="B43" t="inlineStr">
        <is>
          <t>Marek Pejas</t>
        </is>
      </c>
      <c r="C43" s="8" t="inlineStr">
        <is>
          <t>52069</t>
        </is>
      </c>
      <c r="D43" t="inlineStr">
        <is>
          <t>Vilamoura, C. G</t>
        </is>
      </c>
      <c r="E43" s="8" t="n">
        <v>32.9</v>
      </c>
      <c r="F43" s="18" t="n">
        <v>5</v>
      </c>
      <c r="G43" s="18" t="n">
        <v>5</v>
      </c>
      <c r="H43" s="18" t="n">
        <v>3</v>
      </c>
      <c r="I43" s="18" t="n">
        <v>6</v>
      </c>
      <c r="J43" s="18" t="n">
        <v>6</v>
      </c>
      <c r="K43" s="18" t="n">
        <v>3</v>
      </c>
      <c r="L43" s="18" t="n">
        <v>4</v>
      </c>
      <c r="M43" s="18" t="n">
        <v>6</v>
      </c>
      <c r="N43" s="18" t="n">
        <v>7</v>
      </c>
      <c r="O43" s="18" t="n">
        <v>5</v>
      </c>
      <c r="P43" s="18" t="n">
        <v>7</v>
      </c>
      <c r="Q43" s="18" t="n">
        <v>4</v>
      </c>
      <c r="R43" s="18" t="n">
        <v>4</v>
      </c>
      <c r="S43" s="18" t="n">
        <v>5</v>
      </c>
      <c r="T43" s="18" t="n">
        <v>3</v>
      </c>
      <c r="U43" s="18" t="n">
        <v>5</v>
      </c>
      <c r="V43" s="18" t="n">
        <v>5</v>
      </c>
      <c r="W43" s="18" t="n">
        <v>7</v>
      </c>
      <c r="X43" s="8">
        <f>SUM(F43:W43)</f>
        <v/>
      </c>
      <c r="Y43" s="8">
        <f>Y10</f>
        <v/>
      </c>
      <c r="Z43" s="8">
        <f>X43-Y43</f>
        <v/>
      </c>
      <c r="AA43" s="8">
        <f>MAX(0,25-Z43)*1.0</f>
        <v/>
      </c>
      <c r="AB43" s="18" t="n">
        <v>6</v>
      </c>
      <c r="AC43" s="18" t="n">
        <v>5</v>
      </c>
      <c r="AD43" s="18" t="n">
        <v>3</v>
      </c>
      <c r="AE43" s="18" t="n">
        <v>7</v>
      </c>
      <c r="AF43" s="18" t="n">
        <v>5</v>
      </c>
      <c r="AG43" s="18" t="n">
        <v>3</v>
      </c>
      <c r="AH43" s="18" t="n">
        <v>7</v>
      </c>
      <c r="AI43" s="18" t="n">
        <v>6</v>
      </c>
      <c r="AJ43" s="18" t="n">
        <v>5</v>
      </c>
      <c r="AK43" s="18" t="n">
        <v>5</v>
      </c>
      <c r="AL43" s="18" t="n">
        <v>6</v>
      </c>
      <c r="AM43" s="18" t="n">
        <v>6</v>
      </c>
      <c r="AN43" s="18" t="n">
        <v>4</v>
      </c>
      <c r="AO43" s="18" t="n">
        <v>6</v>
      </c>
      <c r="AP43" s="18" t="n">
        <v>5</v>
      </c>
      <c r="AQ43" s="18" t="n">
        <v>5</v>
      </c>
      <c r="AR43" s="18" t="n">
        <v>6</v>
      </c>
      <c r="AS43" s="18" t="n">
        <v>6</v>
      </c>
      <c r="AT43" s="8">
        <f>SUM(AB43:AS43)</f>
        <v/>
      </c>
      <c r="AU43" s="8">
        <f>AU10</f>
        <v/>
      </c>
      <c r="AV43" s="8">
        <f>AT43-AU43</f>
        <v/>
      </c>
      <c r="AW43" s="8">
        <f>MAX(0,25-AV43)*1.0</f>
        <v/>
      </c>
      <c r="AX43" s="19">
        <f>AA43+AW43</f>
        <v/>
      </c>
    </row>
    <row r="44">
      <c r="A44" s="8" t="n">
        <v>33</v>
      </c>
      <c r="B44" t="inlineStr">
        <is>
          <t>José Silva</t>
        </is>
      </c>
      <c r="C44" s="8" t="inlineStr">
        <is>
          <t>54845</t>
        </is>
      </c>
      <c r="D44" t="inlineStr">
        <is>
          <t>Amendoeira</t>
        </is>
      </c>
      <c r="E44" s="8" t="n">
        <v>20.8</v>
      </c>
      <c r="F44" s="18" t="n">
        <v>5</v>
      </c>
      <c r="G44" s="18" t="n">
        <v>6</v>
      </c>
      <c r="H44" s="18" t="n">
        <v>3</v>
      </c>
      <c r="I44" s="18" t="n">
        <v>7</v>
      </c>
      <c r="J44" s="18" t="n">
        <v>5</v>
      </c>
      <c r="K44" s="18" t="n">
        <v>3</v>
      </c>
      <c r="L44" s="18" t="n">
        <v>5</v>
      </c>
      <c r="M44" s="18" t="n">
        <v>5</v>
      </c>
      <c r="N44" s="18" t="n">
        <v>5</v>
      </c>
      <c r="O44" s="18" t="n">
        <v>5</v>
      </c>
      <c r="P44" s="18" t="n">
        <v>6</v>
      </c>
      <c r="Q44" s="18" t="n">
        <v>4</v>
      </c>
      <c r="R44" s="18" t="n">
        <v>4</v>
      </c>
      <c r="S44" s="18" t="n">
        <v>5</v>
      </c>
      <c r="T44" s="18" t="n">
        <v>4</v>
      </c>
      <c r="U44" s="18" t="n">
        <v>5</v>
      </c>
      <c r="V44" s="18" t="n">
        <v>8</v>
      </c>
      <c r="W44" s="18" t="n">
        <v>6</v>
      </c>
      <c r="X44" s="8">
        <f>SUM(F44:W44)</f>
        <v/>
      </c>
      <c r="Y44" s="8">
        <f>Y10</f>
        <v/>
      </c>
      <c r="Z44" s="8">
        <f>X44-Y44</f>
        <v/>
      </c>
      <c r="AA44" s="8">
        <f>MAX(0,25-Z44)*1.0</f>
        <v/>
      </c>
      <c r="AB44" s="18" t="n">
        <v>5</v>
      </c>
      <c r="AC44" s="18" t="n">
        <v>6</v>
      </c>
      <c r="AD44" s="18" t="n">
        <v>4</v>
      </c>
      <c r="AE44" s="18" t="n">
        <v>7</v>
      </c>
      <c r="AF44" s="18" t="n">
        <v>7</v>
      </c>
      <c r="AG44" s="18" t="n">
        <v>6</v>
      </c>
      <c r="AH44" s="18" t="n">
        <v>7</v>
      </c>
      <c r="AI44" s="18" t="n">
        <v>4</v>
      </c>
      <c r="AJ44" s="18" t="n">
        <v>6</v>
      </c>
      <c r="AK44" s="18" t="n">
        <v>4</v>
      </c>
      <c r="AL44" s="18" t="n">
        <v>5</v>
      </c>
      <c r="AM44" s="18" t="n">
        <v>4</v>
      </c>
      <c r="AN44" s="18" t="n">
        <v>3</v>
      </c>
      <c r="AO44" s="18" t="n">
        <v>5</v>
      </c>
      <c r="AP44" s="18" t="n">
        <v>4</v>
      </c>
      <c r="AQ44" s="18" t="n">
        <v>6</v>
      </c>
      <c r="AR44" s="18" t="n">
        <v>6</v>
      </c>
      <c r="AS44" s="18" t="n">
        <v>6</v>
      </c>
      <c r="AT44" s="8">
        <f>SUM(AB44:AS44)</f>
        <v/>
      </c>
      <c r="AU44" s="8">
        <f>AU10</f>
        <v/>
      </c>
      <c r="AV44" s="8">
        <f>AT44-AU44</f>
        <v/>
      </c>
      <c r="AW44" s="8">
        <f>MAX(0,25-AV44)*1.0</f>
        <v/>
      </c>
      <c r="AX44" s="19">
        <f>AA44+AW44</f>
        <v/>
      </c>
    </row>
    <row r="45">
      <c r="A45" s="8" t="n">
        <v>34</v>
      </c>
      <c r="B45" t="inlineStr">
        <is>
          <t>Gabriel Costa</t>
        </is>
      </c>
      <c r="C45" s="8" t="inlineStr">
        <is>
          <t>53838</t>
        </is>
      </c>
      <c r="D45" t="inlineStr">
        <is>
          <t>Amendoeira</t>
        </is>
      </c>
      <c r="E45" s="8" t="n">
        <v>38.2</v>
      </c>
      <c r="F45" s="18" t="n">
        <v>5</v>
      </c>
      <c r="G45" s="18" t="n">
        <v>6</v>
      </c>
      <c r="H45" s="18" t="n">
        <v>4</v>
      </c>
      <c r="I45" s="18" t="n">
        <v>7</v>
      </c>
      <c r="J45" s="18" t="n">
        <v>5</v>
      </c>
      <c r="K45" s="18" t="n">
        <v>4</v>
      </c>
      <c r="L45" s="18" t="n">
        <v>5</v>
      </c>
      <c r="M45" s="18" t="n">
        <v>7</v>
      </c>
      <c r="N45" s="18" t="n">
        <v>4</v>
      </c>
      <c r="O45" s="18" t="n">
        <v>6</v>
      </c>
      <c r="P45" s="18" t="n">
        <v>7</v>
      </c>
      <c r="Q45" s="18" t="n">
        <v>4</v>
      </c>
      <c r="R45" s="18" t="n">
        <v>6</v>
      </c>
      <c r="S45" s="18" t="n">
        <v>5</v>
      </c>
      <c r="T45" s="18" t="n">
        <v>2</v>
      </c>
      <c r="U45" s="18" t="n">
        <v>7</v>
      </c>
      <c r="V45" s="18" t="n">
        <v>5</v>
      </c>
      <c r="W45" s="18" t="n">
        <v>6</v>
      </c>
      <c r="X45" s="8">
        <f>SUM(F45:W45)</f>
        <v/>
      </c>
      <c r="Y45" s="8">
        <f>Y10</f>
        <v/>
      </c>
      <c r="Z45" s="8">
        <f>X45-Y45</f>
        <v/>
      </c>
      <c r="AA45" s="8">
        <f>MAX(0,25-Z45)*1.0</f>
        <v/>
      </c>
      <c r="AB45" s="18" t="n">
        <v>7</v>
      </c>
      <c r="AC45" s="18" t="n">
        <v>6</v>
      </c>
      <c r="AD45" s="18" t="n">
        <v>3</v>
      </c>
      <c r="AE45" s="18" t="n">
        <v>8</v>
      </c>
      <c r="AF45" s="18" t="n">
        <v>6</v>
      </c>
      <c r="AG45" s="18" t="n">
        <v>4</v>
      </c>
      <c r="AH45" s="18" t="n">
        <v>7</v>
      </c>
      <c r="AI45" s="18" t="n">
        <v>7</v>
      </c>
      <c r="AJ45" s="18" t="n">
        <v>6</v>
      </c>
      <c r="AK45" s="18" t="n">
        <v>6</v>
      </c>
      <c r="AL45" s="18" t="n">
        <v>7</v>
      </c>
      <c r="AM45" s="18" t="n">
        <v>6</v>
      </c>
      <c r="AN45" s="18" t="n">
        <v>4</v>
      </c>
      <c r="AO45" s="18" t="n">
        <v>4</v>
      </c>
      <c r="AP45" s="18" t="n">
        <v>4</v>
      </c>
      <c r="AQ45" s="18" t="n">
        <v>6</v>
      </c>
      <c r="AR45" s="18" t="n">
        <v>6</v>
      </c>
      <c r="AS45" s="18" t="n">
        <v>7</v>
      </c>
      <c r="AT45" s="8">
        <f>SUM(AB45:AS45)</f>
        <v/>
      </c>
      <c r="AU45" s="8">
        <f>AU10</f>
        <v/>
      </c>
      <c r="AV45" s="8">
        <f>AT45-AU45</f>
        <v/>
      </c>
      <c r="AW45" s="8">
        <f>MAX(0,25-AV45)*1.0</f>
        <v/>
      </c>
      <c r="AX45" s="19">
        <f>AA45+AW45</f>
        <v/>
      </c>
    </row>
    <row r="46">
      <c r="A46" s="8" t="n">
        <v>35</v>
      </c>
      <c r="B46" t="inlineStr">
        <is>
          <t>Catarina Sousa Conceição</t>
        </is>
      </c>
      <c r="C46" s="8" t="inlineStr">
        <is>
          <t>48794</t>
        </is>
      </c>
      <c r="D46" t="inlineStr">
        <is>
          <t>Vilamoura, C. G</t>
        </is>
      </c>
      <c r="E46" s="8" t="n">
        <v>14.7</v>
      </c>
      <c r="F46" s="18" t="n">
        <v>5</v>
      </c>
      <c r="G46" s="18" t="n">
        <v>5</v>
      </c>
      <c r="H46" s="18" t="n">
        <v>4</v>
      </c>
      <c r="I46" s="18" t="n">
        <v>6</v>
      </c>
      <c r="J46" s="18" t="n">
        <v>7</v>
      </c>
      <c r="K46" s="18" t="n">
        <v>6</v>
      </c>
      <c r="L46" s="18" t="n">
        <v>5</v>
      </c>
      <c r="M46" s="18" t="n">
        <v>6</v>
      </c>
      <c r="N46" s="18" t="n">
        <v>6</v>
      </c>
      <c r="O46" s="18" t="n">
        <v>5</v>
      </c>
      <c r="P46" s="18" t="n">
        <v>6</v>
      </c>
      <c r="Q46" s="18" t="n">
        <v>6</v>
      </c>
      <c r="R46" s="18" t="n">
        <v>3</v>
      </c>
      <c r="S46" s="18" t="n">
        <v>6</v>
      </c>
      <c r="T46" s="18" t="n">
        <v>4</v>
      </c>
      <c r="U46" s="18" t="n">
        <v>4</v>
      </c>
      <c r="V46" s="18" t="n">
        <v>5</v>
      </c>
      <c r="W46" s="18" t="n">
        <v>7</v>
      </c>
      <c r="X46" s="8">
        <f>SUM(F46:W46)</f>
        <v/>
      </c>
      <c r="Y46" s="8">
        <f>Y10</f>
        <v/>
      </c>
      <c r="Z46" s="8">
        <f>X46-Y46</f>
        <v/>
      </c>
      <c r="AA46" s="8">
        <f>MAX(0,25-Z46)*1.0</f>
        <v/>
      </c>
      <c r="AB46" s="18" t="n">
        <v>5</v>
      </c>
      <c r="AC46" s="18" t="n">
        <v>6</v>
      </c>
      <c r="AD46" s="18" t="n">
        <v>5</v>
      </c>
      <c r="AE46" s="18" t="n">
        <v>6</v>
      </c>
      <c r="AF46" s="18" t="n">
        <v>5</v>
      </c>
      <c r="AG46" s="18" t="n">
        <v>3</v>
      </c>
      <c r="AH46" s="18" t="n">
        <v>5</v>
      </c>
      <c r="AI46" s="18" t="n">
        <v>7</v>
      </c>
      <c r="AJ46" s="18" t="n">
        <v>5</v>
      </c>
      <c r="AK46" s="18" t="n">
        <v>5</v>
      </c>
      <c r="AL46" s="18" t="n">
        <v>6</v>
      </c>
      <c r="AM46" s="18" t="n">
        <v>5</v>
      </c>
      <c r="AN46" s="18" t="n">
        <v>3</v>
      </c>
      <c r="AO46" s="18" t="n">
        <v>5</v>
      </c>
      <c r="AP46" s="18" t="n">
        <v>4</v>
      </c>
      <c r="AQ46" s="18" t="n">
        <v>5</v>
      </c>
      <c r="AR46" s="18" t="n">
        <v>4</v>
      </c>
      <c r="AS46" s="18" t="n">
        <v>6</v>
      </c>
      <c r="AT46" s="8">
        <f>SUM(AB46:AS46)</f>
        <v/>
      </c>
      <c r="AU46" s="8">
        <f>AU10</f>
        <v/>
      </c>
      <c r="AV46" s="8">
        <f>AT46-AU46</f>
        <v/>
      </c>
      <c r="AW46" s="8">
        <f>MAX(0,25-AV46)*1.0</f>
        <v/>
      </c>
      <c r="AX46" s="19">
        <f>AA46+AW46</f>
        <v/>
      </c>
    </row>
    <row r="47">
      <c r="A47" s="8" t="n">
        <v>36</v>
      </c>
      <c r="B47" t="inlineStr">
        <is>
          <t>Ryan Dantas</t>
        </is>
      </c>
      <c r="C47" s="8" t="inlineStr">
        <is>
          <t>45439</t>
        </is>
      </c>
      <c r="D47" t="inlineStr">
        <is>
          <t>Belas</t>
        </is>
      </c>
      <c r="E47" s="8" t="n">
        <v>13.4</v>
      </c>
      <c r="F47" s="18" t="n">
        <v>5</v>
      </c>
      <c r="G47" s="18" t="n">
        <v>6</v>
      </c>
      <c r="H47" s="18" t="n">
        <v>3</v>
      </c>
      <c r="I47" s="18" t="n">
        <v>7</v>
      </c>
      <c r="J47" s="18" t="n">
        <v>4</v>
      </c>
      <c r="K47" s="18" t="n">
        <v>5</v>
      </c>
      <c r="L47" s="18" t="n">
        <v>7</v>
      </c>
      <c r="M47" s="18" t="n">
        <v>6</v>
      </c>
      <c r="N47" s="18" t="n">
        <v>6</v>
      </c>
      <c r="O47" s="18" t="n">
        <v>6</v>
      </c>
      <c r="P47" s="18" t="n">
        <v>7</v>
      </c>
      <c r="Q47" s="18" t="n">
        <v>4</v>
      </c>
      <c r="R47" s="18" t="n">
        <v>3</v>
      </c>
      <c r="S47" s="18" t="n">
        <v>4</v>
      </c>
      <c r="T47" s="18" t="n">
        <v>4</v>
      </c>
      <c r="U47" s="18" t="n">
        <v>5</v>
      </c>
      <c r="V47" s="18" t="n">
        <v>5</v>
      </c>
      <c r="W47" s="18" t="n">
        <v>9</v>
      </c>
      <c r="X47" s="8">
        <f>SUM(F47:W47)</f>
        <v/>
      </c>
      <c r="Y47" s="8">
        <f>Y10</f>
        <v/>
      </c>
      <c r="Z47" s="8">
        <f>X47-Y47</f>
        <v/>
      </c>
      <c r="AA47" s="8">
        <f>MAX(0,25-Z47)*1.0</f>
        <v/>
      </c>
      <c r="AB47" s="18" t="n">
        <v>4</v>
      </c>
      <c r="AC47" s="18" t="n">
        <v>5</v>
      </c>
      <c r="AD47" s="18" t="n">
        <v>4</v>
      </c>
      <c r="AE47" s="18" t="n">
        <v>8</v>
      </c>
      <c r="AF47" s="18" t="n">
        <v>4</v>
      </c>
      <c r="AG47" s="18" t="n">
        <v>4</v>
      </c>
      <c r="AH47" s="18" t="n">
        <v>6</v>
      </c>
      <c r="AI47" s="18" t="n">
        <v>5</v>
      </c>
      <c r="AJ47" s="18" t="n">
        <v>5</v>
      </c>
      <c r="AK47" s="18" t="n">
        <v>5</v>
      </c>
      <c r="AL47" s="18" t="n">
        <v>6</v>
      </c>
      <c r="AM47" s="18" t="n">
        <v>5</v>
      </c>
      <c r="AN47" s="18" t="n">
        <v>3</v>
      </c>
      <c r="AO47" s="18" t="n">
        <v>5</v>
      </c>
      <c r="AP47" s="18" t="n">
        <v>3</v>
      </c>
      <c r="AQ47" s="18" t="n">
        <v>4</v>
      </c>
      <c r="AR47" s="18" t="n">
        <v>5</v>
      </c>
      <c r="AS47" s="18" t="n">
        <v>6</v>
      </c>
      <c r="AT47" s="8">
        <f>SUM(AB47:AS47)</f>
        <v/>
      </c>
      <c r="AU47" s="8">
        <f>AU10</f>
        <v/>
      </c>
      <c r="AV47" s="8">
        <f>AT47-AU47</f>
        <v/>
      </c>
      <c r="AW47" s="8">
        <f>MAX(0,25-AV47)*1.0</f>
        <v/>
      </c>
      <c r="AX47" s="19">
        <f>AA47+AW47</f>
        <v/>
      </c>
    </row>
    <row r="48">
      <c r="A48" s="8" t="n">
        <v>37</v>
      </c>
      <c r="B48" t="inlineStr">
        <is>
          <t>Luís Pinheiro Jr.</t>
        </is>
      </c>
      <c r="C48" s="8" t="inlineStr">
        <is>
          <t>46590</t>
        </is>
      </c>
      <c r="D48" t="inlineStr">
        <is>
          <t>Belas</t>
        </is>
      </c>
      <c r="E48" s="8" t="n">
        <v>19.3</v>
      </c>
      <c r="F48" s="18" t="n">
        <v>5</v>
      </c>
      <c r="G48" s="18" t="n">
        <v>8</v>
      </c>
      <c r="H48" s="18" t="n">
        <v>3</v>
      </c>
      <c r="I48" s="18" t="n">
        <v>6</v>
      </c>
      <c r="J48" s="18" t="n">
        <v>7</v>
      </c>
      <c r="K48" s="18" t="n">
        <v>4</v>
      </c>
      <c r="L48" s="18" t="n">
        <v>6</v>
      </c>
      <c r="M48" s="18" t="n">
        <v>6</v>
      </c>
      <c r="N48" s="18" t="n">
        <v>5</v>
      </c>
      <c r="O48" s="18" t="n">
        <v>5</v>
      </c>
      <c r="P48" s="18" t="n">
        <v>7</v>
      </c>
      <c r="Q48" s="18" t="n">
        <v>7</v>
      </c>
      <c r="R48" s="18" t="n">
        <v>4</v>
      </c>
      <c r="S48" s="18" t="n">
        <v>5</v>
      </c>
      <c r="T48" s="18" t="n">
        <v>3</v>
      </c>
      <c r="U48" s="18" t="n">
        <v>5</v>
      </c>
      <c r="V48" s="18" t="n">
        <v>5</v>
      </c>
      <c r="W48" s="18" t="n">
        <v>6</v>
      </c>
      <c r="X48" s="8">
        <f>SUM(F48:W48)</f>
        <v/>
      </c>
      <c r="Y48" s="8">
        <f>Y10</f>
        <v/>
      </c>
      <c r="Z48" s="8">
        <f>X48-Y48</f>
        <v/>
      </c>
      <c r="AA48" s="8">
        <f>MAX(0,25-Z48)*1.0</f>
        <v/>
      </c>
      <c r="AB48" s="18" t="n">
        <v>5</v>
      </c>
      <c r="AC48" s="18" t="n">
        <v>4</v>
      </c>
      <c r="AD48" s="18" t="n">
        <v>6</v>
      </c>
      <c r="AE48" s="18" t="n">
        <v>6</v>
      </c>
      <c r="AF48" s="18" t="n">
        <v>6</v>
      </c>
      <c r="AG48" s="18" t="n">
        <v>3</v>
      </c>
      <c r="AH48" s="18" t="n">
        <v>4</v>
      </c>
      <c r="AI48" s="18" t="n">
        <v>5</v>
      </c>
      <c r="AJ48" s="18" t="n">
        <v>7</v>
      </c>
      <c r="AK48" s="18" t="n">
        <v>4</v>
      </c>
      <c r="AL48" s="18" t="n">
        <v>7</v>
      </c>
      <c r="AM48" s="18" t="n">
        <v>5</v>
      </c>
      <c r="AN48" s="18" t="n">
        <v>4</v>
      </c>
      <c r="AO48" s="18" t="n">
        <v>5</v>
      </c>
      <c r="AP48" s="18" t="n">
        <v>4</v>
      </c>
      <c r="AQ48" s="18" t="n">
        <v>6</v>
      </c>
      <c r="AR48" s="18" t="n">
        <v>6</v>
      </c>
      <c r="AS48" s="18" t="n">
        <v>5</v>
      </c>
      <c r="AT48" s="8">
        <f>SUM(AB48:AS48)</f>
        <v/>
      </c>
      <c r="AU48" s="8">
        <f>AU10</f>
        <v/>
      </c>
      <c r="AV48" s="8">
        <f>AT48-AU48</f>
        <v/>
      </c>
      <c r="AW48" s="8">
        <f>MAX(0,25-AV48)*1.0</f>
        <v/>
      </c>
      <c r="AX48" s="19">
        <f>AA48+AW48</f>
        <v/>
      </c>
    </row>
    <row r="49">
      <c r="A49" s="8" t="n">
        <v>38</v>
      </c>
      <c r="B49" t="inlineStr">
        <is>
          <t>Thomas Blake Maia</t>
        </is>
      </c>
      <c r="C49" s="8" t="inlineStr">
        <is>
          <t>50189</t>
        </is>
      </c>
      <c r="D49" t="inlineStr">
        <is>
          <t>Vilamoura, C. G</t>
        </is>
      </c>
      <c r="E49" s="8" t="n">
        <v>36.8</v>
      </c>
      <c r="F49" s="18" t="n">
        <v>6</v>
      </c>
      <c r="G49" s="18" t="n">
        <v>5</v>
      </c>
      <c r="H49" s="18" t="n">
        <v>5</v>
      </c>
      <c r="I49" s="18" t="n">
        <v>7</v>
      </c>
      <c r="J49" s="18" t="n">
        <v>6</v>
      </c>
      <c r="K49" s="18" t="n">
        <v>4</v>
      </c>
      <c r="L49" s="18" t="n">
        <v>5</v>
      </c>
      <c r="M49" s="18" t="n">
        <v>6</v>
      </c>
      <c r="N49" s="18" t="n">
        <v>5</v>
      </c>
      <c r="O49" s="18" t="n">
        <v>6</v>
      </c>
      <c r="P49" s="18" t="n">
        <v>5</v>
      </c>
      <c r="Q49" s="18" t="n">
        <v>4</v>
      </c>
      <c r="R49" s="18" t="n">
        <v>6</v>
      </c>
      <c r="S49" s="18" t="n">
        <v>6</v>
      </c>
      <c r="T49" s="18" t="n">
        <v>4</v>
      </c>
      <c r="U49" s="18" t="n">
        <v>6</v>
      </c>
      <c r="V49" s="18" t="n">
        <v>6</v>
      </c>
      <c r="W49" s="18" t="n">
        <v>6</v>
      </c>
      <c r="X49" s="8">
        <f>SUM(F49:W49)</f>
        <v/>
      </c>
      <c r="Y49" s="8">
        <f>Y10</f>
        <v/>
      </c>
      <c r="Z49" s="8">
        <f>X49-Y49</f>
        <v/>
      </c>
      <c r="AA49" s="8">
        <f>MAX(0,25-Z49)*1.0</f>
        <v/>
      </c>
      <c r="AB49" s="18" t="n">
        <v>6</v>
      </c>
      <c r="AC49" s="18" t="n">
        <v>7</v>
      </c>
      <c r="AD49" s="18" t="n">
        <v>5</v>
      </c>
      <c r="AE49" s="18" t="n">
        <v>10</v>
      </c>
      <c r="AF49" s="18" t="n">
        <v>7</v>
      </c>
      <c r="AG49" s="18" t="n">
        <v>5</v>
      </c>
      <c r="AH49" s="18" t="n">
        <v>6</v>
      </c>
      <c r="AI49" s="18" t="n">
        <v>8</v>
      </c>
      <c r="AJ49" s="18" t="n">
        <v>7</v>
      </c>
      <c r="AK49" s="18" t="n">
        <v>6</v>
      </c>
      <c r="AL49" s="18" t="n">
        <v>7</v>
      </c>
      <c r="AM49" s="18" t="n">
        <v>4</v>
      </c>
      <c r="AN49" s="18" t="n">
        <v>6</v>
      </c>
      <c r="AO49" s="18" t="n">
        <v>7</v>
      </c>
      <c r="AP49" s="18" t="n">
        <v>4</v>
      </c>
      <c r="AQ49" s="18" t="n">
        <v>6</v>
      </c>
      <c r="AR49" s="18" t="n">
        <v>6</v>
      </c>
      <c r="AS49" s="18" t="n">
        <v>6</v>
      </c>
      <c r="AT49" s="8">
        <f>SUM(AB49:AS49)</f>
        <v/>
      </c>
      <c r="AU49" s="8">
        <f>AU10</f>
        <v/>
      </c>
      <c r="AV49" s="8">
        <f>AT49-AU49</f>
        <v/>
      </c>
      <c r="AW49" s="8">
        <f>MAX(0,25-AV49)*1.0</f>
        <v/>
      </c>
      <c r="AX49" s="19">
        <f>AA49+AW49</f>
        <v/>
      </c>
    </row>
    <row r="50">
      <c r="A50" s="8" t="n">
        <v>39</v>
      </c>
      <c r="B50" t="inlineStr">
        <is>
          <t>Miguel Santos Pereira</t>
        </is>
      </c>
      <c r="C50" s="8" t="inlineStr">
        <is>
          <t>48946</t>
        </is>
      </c>
      <c r="D50" t="inlineStr">
        <is>
          <t>Vilamoura, C. G</t>
        </is>
      </c>
      <c r="E50" s="8" t="n">
        <v>28.7</v>
      </c>
      <c r="F50" s="18" t="n">
        <v>7</v>
      </c>
      <c r="G50" s="18" t="n">
        <v>9</v>
      </c>
      <c r="H50" s="18" t="n">
        <v>4</v>
      </c>
      <c r="I50" s="18" t="n">
        <v>10</v>
      </c>
      <c r="J50" s="18" t="n">
        <v>5</v>
      </c>
      <c r="K50" s="18" t="n">
        <v>4</v>
      </c>
      <c r="L50" s="18" t="n">
        <v>5</v>
      </c>
      <c r="M50" s="18" t="n">
        <v>7</v>
      </c>
      <c r="N50" s="18" t="n">
        <v>5</v>
      </c>
      <c r="O50" s="18" t="n">
        <v>5</v>
      </c>
      <c r="P50" s="18" t="n">
        <v>7</v>
      </c>
      <c r="Q50" s="18" t="n">
        <v>5</v>
      </c>
      <c r="R50" s="18" t="n">
        <v>4</v>
      </c>
      <c r="S50" s="18" t="n">
        <v>5</v>
      </c>
      <c r="T50" s="18" t="n">
        <v>4</v>
      </c>
      <c r="U50" s="18" t="n">
        <v>5</v>
      </c>
      <c r="V50" s="18" t="n">
        <v>4</v>
      </c>
      <c r="W50" s="18" t="n">
        <v>7</v>
      </c>
      <c r="X50" s="8">
        <f>SUM(F50:W50)</f>
        <v/>
      </c>
      <c r="Y50" s="8">
        <f>Y10</f>
        <v/>
      </c>
      <c r="Z50" s="8">
        <f>X50-Y50</f>
        <v/>
      </c>
      <c r="AA50" s="8">
        <f>MAX(0,25-Z50)*1.0</f>
        <v/>
      </c>
      <c r="AB50" s="18" t="n">
        <v>5</v>
      </c>
      <c r="AC50" s="18" t="n">
        <v>6</v>
      </c>
      <c r="AD50" s="18" t="n">
        <v>3</v>
      </c>
      <c r="AE50" s="18" t="n">
        <v>5</v>
      </c>
      <c r="AF50" s="18" t="n">
        <v>7</v>
      </c>
      <c r="AG50" s="18" t="n">
        <v>3</v>
      </c>
      <c r="AH50" s="18" t="n">
        <v>5</v>
      </c>
      <c r="AI50" s="18" t="n">
        <v>5</v>
      </c>
      <c r="AJ50" s="18" t="n">
        <v>5</v>
      </c>
      <c r="AK50" s="18" t="n">
        <v>5</v>
      </c>
      <c r="AL50" s="18" t="n">
        <v>6</v>
      </c>
      <c r="AM50" s="18" t="n">
        <v>4</v>
      </c>
      <c r="AN50" s="18" t="n">
        <v>3</v>
      </c>
      <c r="AO50" s="18" t="n">
        <v>4</v>
      </c>
      <c r="AP50" s="18" t="n">
        <v>4</v>
      </c>
      <c r="AQ50" s="18" t="n">
        <v>6</v>
      </c>
      <c r="AR50" s="18" t="n">
        <v>7</v>
      </c>
      <c r="AS50" s="18" t="n">
        <v>6</v>
      </c>
      <c r="AT50" s="8">
        <f>SUM(AB50:AS50)</f>
        <v/>
      </c>
      <c r="AU50" s="8">
        <f>AU10</f>
        <v/>
      </c>
      <c r="AV50" s="8">
        <f>AT50-AU50</f>
        <v/>
      </c>
      <c r="AW50" s="8">
        <f>MAX(0,25-AV50)*1.0</f>
        <v/>
      </c>
      <c r="AX50" s="19">
        <f>AA50+AW50</f>
        <v/>
      </c>
    </row>
    <row r="51">
      <c r="A51" s="8" t="n">
        <v>40</v>
      </c>
      <c r="B51" t="inlineStr">
        <is>
          <t>Jack Barton</t>
        </is>
      </c>
      <c r="C51" s="8" t="inlineStr"/>
      <c r="D51" t="inlineStr">
        <is>
          <t>Internacional</t>
        </is>
      </c>
      <c r="E51" s="8" t="n">
        <v>18.5</v>
      </c>
      <c r="F51" s="18" t="n">
        <v>6</v>
      </c>
      <c r="G51" s="18" t="n">
        <v>5</v>
      </c>
      <c r="H51" s="18" t="n">
        <v>4</v>
      </c>
      <c r="I51" s="18" t="n">
        <v>6</v>
      </c>
      <c r="J51" s="18" t="n">
        <v>8</v>
      </c>
      <c r="K51" s="18" t="n">
        <v>10</v>
      </c>
      <c r="L51" s="18" t="n">
        <v>6</v>
      </c>
      <c r="M51" s="18" t="n">
        <v>7</v>
      </c>
      <c r="N51" s="18" t="n">
        <v>5</v>
      </c>
      <c r="O51" s="18" t="n">
        <v>5</v>
      </c>
      <c r="P51" s="18" t="n">
        <v>7</v>
      </c>
      <c r="Q51" s="18" t="n">
        <v>7</v>
      </c>
      <c r="R51" s="18" t="n">
        <v>4</v>
      </c>
      <c r="S51" s="18" t="n">
        <v>5</v>
      </c>
      <c r="T51" s="18" t="n">
        <v>4</v>
      </c>
      <c r="U51" s="18" t="n">
        <v>5</v>
      </c>
      <c r="V51" s="18" t="n">
        <v>5</v>
      </c>
      <c r="W51" s="18" t="n">
        <v>6</v>
      </c>
      <c r="X51" s="8">
        <f>SUM(F51:W51)</f>
        <v/>
      </c>
      <c r="Y51" s="8">
        <f>Y10</f>
        <v/>
      </c>
      <c r="Z51" s="8">
        <f>X51-Y51</f>
        <v/>
      </c>
      <c r="AA51" s="8">
        <f>MAX(0,25-Z51)*1.0</f>
        <v/>
      </c>
      <c r="AB51" s="18" t="n">
        <v>4</v>
      </c>
      <c r="AC51" s="18" t="n">
        <v>6</v>
      </c>
      <c r="AD51" s="18" t="n">
        <v>6</v>
      </c>
      <c r="AE51" s="18" t="n">
        <v>6</v>
      </c>
      <c r="AF51" s="18" t="n">
        <v>4</v>
      </c>
      <c r="AG51" s="18" t="n">
        <v>6</v>
      </c>
      <c r="AH51" s="18" t="n">
        <v>5</v>
      </c>
      <c r="AI51" s="18" t="n">
        <v>6</v>
      </c>
      <c r="AJ51" s="18" t="n">
        <v>4</v>
      </c>
      <c r="AK51" s="18" t="n">
        <v>5</v>
      </c>
      <c r="AL51" s="18" t="n">
        <v>6</v>
      </c>
      <c r="AM51" s="18" t="n">
        <v>5</v>
      </c>
      <c r="AN51" s="18" t="n">
        <v>5</v>
      </c>
      <c r="AO51" s="18" t="n">
        <v>5</v>
      </c>
      <c r="AP51" s="18" t="n">
        <v>5</v>
      </c>
      <c r="AQ51" s="18" t="n">
        <v>5</v>
      </c>
      <c r="AR51" s="18" t="n">
        <v>3</v>
      </c>
      <c r="AS51" s="18" t="n">
        <v>7</v>
      </c>
      <c r="AT51" s="8">
        <f>SUM(AB51:AS51)</f>
        <v/>
      </c>
      <c r="AU51" s="8">
        <f>AU10</f>
        <v/>
      </c>
      <c r="AV51" s="8">
        <f>AT51-AU51</f>
        <v/>
      </c>
      <c r="AW51" s="8">
        <f>MAX(0,25-AV51)*1.0</f>
        <v/>
      </c>
      <c r="AX51" s="19">
        <f>AA51+AW51</f>
        <v/>
      </c>
    </row>
    <row r="52">
      <c r="A52" s="8" t="n">
        <v>41</v>
      </c>
      <c r="B52" t="inlineStr">
        <is>
          <t>Maximilian O`callaghan</t>
        </is>
      </c>
      <c r="C52" s="8" t="inlineStr">
        <is>
          <t>48623</t>
        </is>
      </c>
      <c r="D52" t="inlineStr">
        <is>
          <t>Vilamoura, C. G</t>
        </is>
      </c>
      <c r="E52" s="8" t="n">
        <v>28.9</v>
      </c>
      <c r="F52" s="18" t="n">
        <v>5</v>
      </c>
      <c r="G52" s="18" t="n">
        <v>8</v>
      </c>
      <c r="H52" s="18" t="n">
        <v>4</v>
      </c>
      <c r="I52" s="18" t="n">
        <v>7</v>
      </c>
      <c r="J52" s="18" t="n">
        <v>7</v>
      </c>
      <c r="K52" s="18" t="n">
        <v>3</v>
      </c>
      <c r="L52" s="18" t="n">
        <v>6</v>
      </c>
      <c r="M52" s="18" t="n">
        <v>7</v>
      </c>
      <c r="N52" s="18" t="n">
        <v>5</v>
      </c>
      <c r="O52" s="18" t="n">
        <v>5</v>
      </c>
      <c r="P52" s="18" t="n">
        <v>7</v>
      </c>
      <c r="Q52" s="18" t="n">
        <v>6</v>
      </c>
      <c r="R52" s="18" t="n">
        <v>5</v>
      </c>
      <c r="S52" s="18" t="n">
        <v>7</v>
      </c>
      <c r="T52" s="18" t="n">
        <v>3</v>
      </c>
      <c r="U52" s="18" t="n">
        <v>6</v>
      </c>
      <c r="V52" s="18" t="n">
        <v>8</v>
      </c>
      <c r="W52" s="18" t="n">
        <v>7</v>
      </c>
      <c r="X52" s="8">
        <f>SUM(F52:W52)</f>
        <v/>
      </c>
      <c r="Y52" s="8">
        <f>Y10</f>
        <v/>
      </c>
      <c r="Z52" s="8">
        <f>X52-Y52</f>
        <v/>
      </c>
      <c r="AA52" s="8">
        <f>MAX(0,25-Z52)*1.0</f>
        <v/>
      </c>
      <c r="AB52" s="18" t="n">
        <v>8</v>
      </c>
      <c r="AC52" s="18" t="n">
        <v>6</v>
      </c>
      <c r="AD52" s="18" t="n">
        <v>5</v>
      </c>
      <c r="AE52" s="18" t="n">
        <v>6</v>
      </c>
      <c r="AF52" s="18" t="n">
        <v>7</v>
      </c>
      <c r="AG52" s="18" t="n">
        <v>4</v>
      </c>
      <c r="AH52" s="18" t="n">
        <v>6</v>
      </c>
      <c r="AI52" s="18" t="n">
        <v>7</v>
      </c>
      <c r="AJ52" s="18" t="n">
        <v>7</v>
      </c>
      <c r="AK52" s="18" t="n">
        <v>7</v>
      </c>
      <c r="AL52" s="18" t="n">
        <v>7</v>
      </c>
      <c r="AM52" s="18" t="n">
        <v>7</v>
      </c>
      <c r="AN52" s="18" t="n">
        <v>5</v>
      </c>
      <c r="AO52" s="18" t="n">
        <v>5</v>
      </c>
      <c r="AP52" s="18" t="n">
        <v>5</v>
      </c>
      <c r="AQ52" s="18" t="n">
        <v>8</v>
      </c>
      <c r="AR52" s="18" t="n">
        <v>6</v>
      </c>
      <c r="AS52" s="18" t="n">
        <v>6</v>
      </c>
      <c r="AT52" s="8">
        <f>SUM(AB52:AS52)</f>
        <v/>
      </c>
      <c r="AU52" s="8">
        <f>AU10</f>
        <v/>
      </c>
      <c r="AV52" s="8">
        <f>AT52-AU52</f>
        <v/>
      </c>
      <c r="AW52" s="8">
        <f>MAX(0,25-AV52)*1.0</f>
        <v/>
      </c>
      <c r="AX52" s="19">
        <f>AA52+AW52</f>
        <v/>
      </c>
    </row>
  </sheetData>
  <mergeCells count="1">
    <mergeCell ref="A1:H1"/>
  </mergeCells>
  <conditionalFormatting sqref="F12:F52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52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52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52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52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52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52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52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52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52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52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52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52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52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52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52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52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52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52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52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52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52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52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52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52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52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52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52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52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52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52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52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52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52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52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52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António Dantas Classic</t>
        </is>
      </c>
    </row>
    <row r="2">
      <c r="A2" s="10" t="inlineStr">
        <is>
          <t>Data:</t>
        </is>
      </c>
      <c r="B2" t="inlineStr">
        <is>
          <t>2025-05-30</t>
        </is>
      </c>
    </row>
    <row r="3">
      <c r="A3" s="10" t="inlineStr">
        <is>
          <t>Campo:</t>
        </is>
      </c>
      <c r="B3" t="inlineStr">
        <is>
          <t>Quinta do Peru</t>
        </is>
      </c>
    </row>
    <row r="4">
      <c r="A4" s="10" t="inlineStr">
        <is>
          <t>ccode/tcode:</t>
        </is>
      </c>
      <c r="B4" t="inlineStr">
        <is>
          <t>038/10651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https://scoring.datagolf.pt/pt/Classifications.aspx?ccode=038&amp;tcode=10651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5</v>
      </c>
      <c r="G10" s="15" t="n">
        <v>4</v>
      </c>
      <c r="H10" s="15" t="n">
        <v>3</v>
      </c>
      <c r="I10" s="15" t="n">
        <v>4</v>
      </c>
      <c r="J10" s="15" t="n">
        <v>5</v>
      </c>
      <c r="K10" s="15" t="n">
        <v>4</v>
      </c>
      <c r="L10" s="15" t="n">
        <v>4</v>
      </c>
      <c r="M10" s="15" t="n">
        <v>3</v>
      </c>
      <c r="N10" s="15" t="n">
        <v>4</v>
      </c>
      <c r="O10" s="15" t="n">
        <v>5</v>
      </c>
      <c r="P10" s="15" t="n">
        <v>3</v>
      </c>
      <c r="Q10" s="15" t="n">
        <v>4</v>
      </c>
      <c r="R10" s="15" t="n">
        <v>5</v>
      </c>
      <c r="S10" s="15" t="n">
        <v>4</v>
      </c>
      <c r="T10" s="15" t="n">
        <v>4</v>
      </c>
      <c r="U10" s="15" t="n">
        <v>3</v>
      </c>
      <c r="V10" s="15" t="n">
        <v>4</v>
      </c>
      <c r="W10" s="15" t="n">
        <v>4</v>
      </c>
      <c r="Y10" s="16">
        <f>SUM(F10:W10)</f>
        <v/>
      </c>
      <c r="AB10" s="15" t="n">
        <v>5</v>
      </c>
      <c r="AC10" s="15" t="n">
        <v>4</v>
      </c>
      <c r="AD10" s="15" t="n">
        <v>3</v>
      </c>
      <c r="AE10" s="15" t="n">
        <v>4</v>
      </c>
      <c r="AF10" s="15" t="n">
        <v>5</v>
      </c>
      <c r="AG10" s="15" t="n">
        <v>4</v>
      </c>
      <c r="AH10" s="15" t="n">
        <v>4</v>
      </c>
      <c r="AI10" s="15" t="n">
        <v>3</v>
      </c>
      <c r="AJ10" s="15" t="n">
        <v>4</v>
      </c>
      <c r="AK10" s="15" t="n">
        <v>5</v>
      </c>
      <c r="AL10" s="15" t="n">
        <v>3</v>
      </c>
      <c r="AM10" s="15" t="n">
        <v>4</v>
      </c>
      <c r="AN10" s="15" t="n">
        <v>5</v>
      </c>
      <c r="AO10" s="15" t="n">
        <v>4</v>
      </c>
      <c r="AP10" s="15" t="n">
        <v>4</v>
      </c>
      <c r="AQ10" s="15" t="n">
        <v>3</v>
      </c>
      <c r="AR10" s="15" t="n">
        <v>4</v>
      </c>
      <c r="AS10" s="15" t="n">
        <v>4</v>
      </c>
      <c r="AU10" s="16">
        <f>SUM(AB10:AS10)</f>
        <v/>
      </c>
    </row>
    <row r="11">
      <c r="A11" s="14" t="inlineStr">
        <is>
          <t>—SI—</t>
        </is>
      </c>
      <c r="F11" s="17" t="n">
        <v>2</v>
      </c>
      <c r="G11" s="17" t="n">
        <v>16</v>
      </c>
      <c r="H11" s="17" t="n">
        <v>18</v>
      </c>
      <c r="I11" s="17" t="n">
        <v>10</v>
      </c>
      <c r="J11" s="17" t="n">
        <v>6</v>
      </c>
      <c r="K11" s="17" t="n">
        <v>14</v>
      </c>
      <c r="L11" s="17" t="n">
        <v>12</v>
      </c>
      <c r="M11" s="17" t="n">
        <v>4</v>
      </c>
      <c r="N11" s="17" t="n">
        <v>8</v>
      </c>
      <c r="O11" s="17" t="n">
        <v>5</v>
      </c>
      <c r="P11" s="17" t="n">
        <v>17</v>
      </c>
      <c r="Q11" s="17" t="n">
        <v>15</v>
      </c>
      <c r="R11" s="17" t="n">
        <v>3</v>
      </c>
      <c r="S11" s="17" t="n">
        <v>13</v>
      </c>
      <c r="T11" s="17" t="n">
        <v>9</v>
      </c>
      <c r="U11" s="17" t="n">
        <v>7</v>
      </c>
      <c r="V11" s="17" t="n">
        <v>11</v>
      </c>
      <c r="W11" s="17" t="n">
        <v>1</v>
      </c>
      <c r="AB11" s="17" t="n">
        <v>2</v>
      </c>
      <c r="AC11" s="17" t="n">
        <v>16</v>
      </c>
      <c r="AD11" s="17" t="n">
        <v>18</v>
      </c>
      <c r="AE11" s="17" t="n">
        <v>10</v>
      </c>
      <c r="AF11" s="17" t="n">
        <v>6</v>
      </c>
      <c r="AG11" s="17" t="n">
        <v>14</v>
      </c>
      <c r="AH11" s="17" t="n">
        <v>12</v>
      </c>
      <c r="AI11" s="17" t="n">
        <v>4</v>
      </c>
      <c r="AJ11" s="17" t="n">
        <v>8</v>
      </c>
      <c r="AK11" s="17" t="n">
        <v>5</v>
      </c>
      <c r="AL11" s="17" t="n">
        <v>17</v>
      </c>
      <c r="AM11" s="17" t="n">
        <v>15</v>
      </c>
      <c r="AN11" s="17" t="n">
        <v>3</v>
      </c>
      <c r="AO11" s="17" t="n">
        <v>13</v>
      </c>
      <c r="AP11" s="17" t="n">
        <v>9</v>
      </c>
      <c r="AQ11" s="17" t="n">
        <v>7</v>
      </c>
      <c r="AR11" s="17" t="n">
        <v>11</v>
      </c>
      <c r="AS11" s="17" t="n">
        <v>1</v>
      </c>
    </row>
    <row r="12">
      <c r="A12" s="8" t="n">
        <v>1</v>
      </c>
      <c r="B12" t="inlineStr">
        <is>
          <t>Ricardo Castro Ferreira</t>
        </is>
      </c>
      <c r="C12" s="8" t="inlineStr">
        <is>
          <t>49085</t>
        </is>
      </c>
      <c r="D12" t="inlineStr">
        <is>
          <t>Estoril</t>
        </is>
      </c>
      <c r="E12" s="8" t="n">
        <v>12.2</v>
      </c>
      <c r="F12" s="18" t="n">
        <v>5</v>
      </c>
      <c r="G12" s="18" t="n">
        <v>4</v>
      </c>
      <c r="H12" s="18" t="n">
        <v>3</v>
      </c>
      <c r="I12" s="18" t="n">
        <v>4</v>
      </c>
      <c r="J12" s="18" t="n">
        <v>5</v>
      </c>
      <c r="K12" s="18" t="n">
        <v>4</v>
      </c>
      <c r="L12" s="18" t="n">
        <v>5</v>
      </c>
      <c r="M12" s="18" t="n">
        <v>3</v>
      </c>
      <c r="N12" s="18" t="n">
        <v>5</v>
      </c>
      <c r="O12" s="18" t="n">
        <v>4</v>
      </c>
      <c r="P12" s="18" t="n">
        <v>4</v>
      </c>
      <c r="Q12" s="18" t="n">
        <v>4</v>
      </c>
      <c r="R12" s="18" t="n">
        <v>5</v>
      </c>
      <c r="S12" s="18" t="n">
        <v>4</v>
      </c>
      <c r="T12" s="18" t="n">
        <v>4</v>
      </c>
      <c r="U12" s="18" t="n">
        <v>3</v>
      </c>
      <c r="V12" s="18" t="n">
        <v>4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5</v>
      </c>
      <c r="AC12" s="18" t="n">
        <v>5</v>
      </c>
      <c r="AD12" s="18" t="n">
        <v>4</v>
      </c>
      <c r="AE12" s="18" t="n">
        <v>4</v>
      </c>
      <c r="AF12" s="18" t="n">
        <v>6</v>
      </c>
      <c r="AG12" s="18" t="n">
        <v>5</v>
      </c>
      <c r="AH12" s="18" t="n">
        <v>4</v>
      </c>
      <c r="AI12" s="18" t="n">
        <v>3</v>
      </c>
      <c r="AJ12" s="18" t="n">
        <v>4</v>
      </c>
      <c r="AK12" s="18" t="n">
        <v>5</v>
      </c>
      <c r="AL12" s="18" t="n">
        <v>3</v>
      </c>
      <c r="AM12" s="18" t="n">
        <v>4</v>
      </c>
      <c r="AN12" s="18" t="n">
        <v>5</v>
      </c>
      <c r="AO12" s="18" t="n">
        <v>5</v>
      </c>
      <c r="AP12" s="18" t="n">
        <v>3</v>
      </c>
      <c r="AQ12" s="18" t="n">
        <v>3</v>
      </c>
      <c r="AR12" s="18" t="n">
        <v>5</v>
      </c>
      <c r="AS12" s="18" t="n">
        <v>5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João Setúbal</t>
        </is>
      </c>
      <c r="C13" s="8" t="inlineStr">
        <is>
          <t>43732</t>
        </is>
      </c>
      <c r="D13" t="inlineStr">
        <is>
          <t>Vilamoura, C. G</t>
        </is>
      </c>
      <c r="E13" s="8" t="n">
        <v>4.8</v>
      </c>
      <c r="F13" s="18" t="n">
        <v>5</v>
      </c>
      <c r="G13" s="18" t="n">
        <v>4</v>
      </c>
      <c r="H13" s="18" t="n">
        <v>3</v>
      </c>
      <c r="I13" s="18" t="n">
        <v>5</v>
      </c>
      <c r="J13" s="18" t="n">
        <v>5</v>
      </c>
      <c r="K13" s="18" t="n">
        <v>5</v>
      </c>
      <c r="L13" s="18" t="n">
        <v>5</v>
      </c>
      <c r="M13" s="18" t="n">
        <v>3</v>
      </c>
      <c r="N13" s="18" t="n">
        <v>4</v>
      </c>
      <c r="O13" s="18" t="n">
        <v>5</v>
      </c>
      <c r="P13" s="18" t="n">
        <v>2</v>
      </c>
      <c r="Q13" s="18" t="n">
        <v>3</v>
      </c>
      <c r="R13" s="18" t="n">
        <v>5</v>
      </c>
      <c r="S13" s="18" t="n">
        <v>5</v>
      </c>
      <c r="T13" s="18" t="n">
        <v>4</v>
      </c>
      <c r="U13" s="18" t="n">
        <v>3</v>
      </c>
      <c r="V13" s="18" t="n">
        <v>4</v>
      </c>
      <c r="W13" s="18" t="n">
        <v>5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5</v>
      </c>
      <c r="AC13" s="18" t="n">
        <v>6</v>
      </c>
      <c r="AD13" s="18" t="n">
        <v>2</v>
      </c>
      <c r="AE13" s="18" t="n">
        <v>5</v>
      </c>
      <c r="AF13" s="18" t="n">
        <v>5</v>
      </c>
      <c r="AG13" s="18" t="n">
        <v>6</v>
      </c>
      <c r="AH13" s="18" t="n">
        <v>4</v>
      </c>
      <c r="AI13" s="18" t="n">
        <v>4</v>
      </c>
      <c r="AJ13" s="18" t="n">
        <v>4</v>
      </c>
      <c r="AK13" s="18" t="n">
        <v>6</v>
      </c>
      <c r="AL13" s="18" t="n">
        <v>3</v>
      </c>
      <c r="AM13" s="18" t="n">
        <v>4</v>
      </c>
      <c r="AN13" s="18" t="n">
        <v>5</v>
      </c>
      <c r="AO13" s="18" t="n">
        <v>5</v>
      </c>
      <c r="AP13" s="18" t="n">
        <v>4</v>
      </c>
      <c r="AQ13" s="18" t="n">
        <v>3</v>
      </c>
      <c r="AR13" s="18" t="n">
        <v>5</v>
      </c>
      <c r="AS13" s="18" t="n">
        <v>5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Ricardo Serpa</t>
        </is>
      </c>
      <c r="C14" s="8" t="inlineStr">
        <is>
          <t>28845</t>
        </is>
      </c>
      <c r="D14" t="inlineStr">
        <is>
          <t>Vilamoura, C. G</t>
        </is>
      </c>
      <c r="E14" s="8" t="n">
        <v>0.1</v>
      </c>
      <c r="F14" s="18" t="n">
        <v>6</v>
      </c>
      <c r="G14" s="18" t="n">
        <v>4</v>
      </c>
      <c r="H14" s="18" t="n">
        <v>4</v>
      </c>
      <c r="I14" s="18" t="n">
        <v>4</v>
      </c>
      <c r="J14" s="18" t="n">
        <v>5</v>
      </c>
      <c r="K14" s="18" t="n">
        <v>4</v>
      </c>
      <c r="L14" s="18" t="n">
        <v>5</v>
      </c>
      <c r="M14" s="18" t="n">
        <v>4</v>
      </c>
      <c r="N14" s="18" t="n">
        <v>4</v>
      </c>
      <c r="O14" s="18" t="n">
        <v>5</v>
      </c>
      <c r="P14" s="18" t="n">
        <v>3</v>
      </c>
      <c r="Q14" s="18" t="n">
        <v>4</v>
      </c>
      <c r="R14" s="18" t="n">
        <v>4</v>
      </c>
      <c r="S14" s="18" t="n">
        <v>4</v>
      </c>
      <c r="T14" s="18" t="n">
        <v>4</v>
      </c>
      <c r="U14" s="18" t="n">
        <v>3</v>
      </c>
      <c r="V14" s="18" t="n">
        <v>5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5</v>
      </c>
      <c r="AC14" s="18" t="n">
        <v>4</v>
      </c>
      <c r="AD14" s="18" t="n">
        <v>3</v>
      </c>
      <c r="AE14" s="18" t="n">
        <v>4</v>
      </c>
      <c r="AF14" s="18" t="n">
        <v>5</v>
      </c>
      <c r="AG14" s="18" t="n">
        <v>4</v>
      </c>
      <c r="AH14" s="18" t="n">
        <v>5</v>
      </c>
      <c r="AI14" s="18" t="n">
        <v>3</v>
      </c>
      <c r="AJ14" s="18" t="n">
        <v>4</v>
      </c>
      <c r="AK14" s="18" t="n">
        <v>5</v>
      </c>
      <c r="AL14" s="18" t="n">
        <v>3</v>
      </c>
      <c r="AM14" s="18" t="n">
        <v>4</v>
      </c>
      <c r="AN14" s="18" t="n">
        <v>5</v>
      </c>
      <c r="AO14" s="18" t="n">
        <v>5</v>
      </c>
      <c r="AP14" s="18" t="n">
        <v>5</v>
      </c>
      <c r="AQ14" s="18" t="n">
        <v>2</v>
      </c>
      <c r="AR14" s="18" t="n">
        <v>6</v>
      </c>
      <c r="AS14" s="18" t="n">
        <v>4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João Maria Ivo de Carvalho</t>
        </is>
      </c>
      <c r="C15" s="8" t="inlineStr">
        <is>
          <t>38334</t>
        </is>
      </c>
      <c r="D15" t="inlineStr">
        <is>
          <t>Vilamoura, C. G</t>
        </is>
      </c>
      <c r="E15" s="8" t="n">
        <v>0.2</v>
      </c>
      <c r="F15" s="18" t="n">
        <v>5</v>
      </c>
      <c r="G15" s="18" t="n">
        <v>4</v>
      </c>
      <c r="H15" s="18" t="n">
        <v>5</v>
      </c>
      <c r="I15" s="18" t="n">
        <v>4</v>
      </c>
      <c r="J15" s="18" t="n">
        <v>6</v>
      </c>
      <c r="K15" s="18" t="n">
        <v>4</v>
      </c>
      <c r="L15" s="18" t="n">
        <v>4</v>
      </c>
      <c r="M15" s="18" t="n">
        <v>3</v>
      </c>
      <c r="N15" s="18" t="n">
        <v>4</v>
      </c>
      <c r="O15" s="18" t="n">
        <v>6</v>
      </c>
      <c r="P15" s="18" t="n">
        <v>4</v>
      </c>
      <c r="Q15" s="18" t="n">
        <v>3</v>
      </c>
      <c r="R15" s="18" t="n">
        <v>6</v>
      </c>
      <c r="S15" s="18" t="n">
        <v>4</v>
      </c>
      <c r="T15" s="18" t="n">
        <v>3</v>
      </c>
      <c r="U15" s="18" t="n">
        <v>3</v>
      </c>
      <c r="V15" s="18" t="n">
        <v>4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6</v>
      </c>
      <c r="AC15" s="18" t="n">
        <v>4</v>
      </c>
      <c r="AD15" s="18" t="n">
        <v>2</v>
      </c>
      <c r="AE15" s="18" t="n">
        <v>3</v>
      </c>
      <c r="AF15" s="18" t="n">
        <v>7</v>
      </c>
      <c r="AG15" s="18" t="n">
        <v>4</v>
      </c>
      <c r="AH15" s="18" t="n">
        <v>5</v>
      </c>
      <c r="AI15" s="18" t="n">
        <v>3</v>
      </c>
      <c r="AJ15" s="18" t="n">
        <v>4</v>
      </c>
      <c r="AK15" s="18" t="n">
        <v>5</v>
      </c>
      <c r="AL15" s="18" t="n">
        <v>3</v>
      </c>
      <c r="AM15" s="18" t="n">
        <v>4</v>
      </c>
      <c r="AN15" s="18" t="n">
        <v>4</v>
      </c>
      <c r="AO15" s="18" t="n">
        <v>6</v>
      </c>
      <c r="AP15" s="18" t="n">
        <v>5</v>
      </c>
      <c r="AQ15" s="18" t="n">
        <v>4</v>
      </c>
      <c r="AR15" s="18" t="n">
        <v>5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Filipe Pinheiro</t>
        </is>
      </c>
      <c r="C16" s="8" t="inlineStr">
        <is>
          <t>46591</t>
        </is>
      </c>
      <c r="D16" t="inlineStr">
        <is>
          <t>Belas</t>
        </is>
      </c>
      <c r="E16" s="8" t="n">
        <v>6.7</v>
      </c>
      <c r="F16" s="18" t="n">
        <v>5</v>
      </c>
      <c r="G16" s="18" t="n">
        <v>3</v>
      </c>
      <c r="H16" s="18" t="n">
        <v>4</v>
      </c>
      <c r="I16" s="18" t="n">
        <v>4</v>
      </c>
      <c r="J16" s="18" t="n">
        <v>5</v>
      </c>
      <c r="K16" s="18" t="n">
        <v>5</v>
      </c>
      <c r="L16" s="18" t="n">
        <v>5</v>
      </c>
      <c r="M16" s="18" t="n">
        <v>3</v>
      </c>
      <c r="N16" s="18" t="n">
        <v>5</v>
      </c>
      <c r="O16" s="18" t="n">
        <v>5</v>
      </c>
      <c r="P16" s="18" t="n">
        <v>4</v>
      </c>
      <c r="Q16" s="18" t="n">
        <v>4</v>
      </c>
      <c r="R16" s="18" t="n">
        <v>5</v>
      </c>
      <c r="S16" s="18" t="n">
        <v>4</v>
      </c>
      <c r="T16" s="18" t="n">
        <v>4</v>
      </c>
      <c r="U16" s="18" t="n">
        <v>3</v>
      </c>
      <c r="V16" s="18" t="n">
        <v>5</v>
      </c>
      <c r="W16" s="18" t="n">
        <v>5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5</v>
      </c>
      <c r="AC16" s="18" t="n">
        <v>4</v>
      </c>
      <c r="AD16" s="18" t="n">
        <v>4</v>
      </c>
      <c r="AE16" s="18" t="n">
        <v>4</v>
      </c>
      <c r="AF16" s="18" t="n">
        <v>6</v>
      </c>
      <c r="AG16" s="18" t="n">
        <v>4</v>
      </c>
      <c r="AH16" s="18" t="n">
        <v>5</v>
      </c>
      <c r="AI16" s="18" t="n">
        <v>3</v>
      </c>
      <c r="AJ16" s="18" t="n">
        <v>5</v>
      </c>
      <c r="AK16" s="18" t="n">
        <v>6</v>
      </c>
      <c r="AL16" s="18" t="n">
        <v>2</v>
      </c>
      <c r="AM16" s="18" t="n">
        <v>4</v>
      </c>
      <c r="AN16" s="18" t="n">
        <v>5</v>
      </c>
      <c r="AO16" s="18" t="n">
        <v>6</v>
      </c>
      <c r="AP16" s="18" t="n">
        <v>4</v>
      </c>
      <c r="AQ16" s="18" t="n">
        <v>3</v>
      </c>
      <c r="AR16" s="18" t="n">
        <v>5</v>
      </c>
      <c r="AS16" s="18" t="n">
        <v>5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Miguel Coelho Porfirio</t>
        </is>
      </c>
      <c r="C17" s="8" t="inlineStr">
        <is>
          <t>44160</t>
        </is>
      </c>
      <c r="D17" t="inlineStr">
        <is>
          <t>Miramar</t>
        </is>
      </c>
      <c r="E17" s="8" t="n">
        <v>12.9</v>
      </c>
      <c r="F17" s="18" t="n">
        <v>6</v>
      </c>
      <c r="G17" s="18" t="n">
        <v>4</v>
      </c>
      <c r="H17" s="18" t="n">
        <v>3</v>
      </c>
      <c r="I17" s="18" t="n">
        <v>4</v>
      </c>
      <c r="J17" s="18" t="n">
        <v>6</v>
      </c>
      <c r="K17" s="18" t="n">
        <v>4</v>
      </c>
      <c r="L17" s="18" t="n">
        <v>4</v>
      </c>
      <c r="M17" s="18" t="n">
        <v>3</v>
      </c>
      <c r="N17" s="18" t="n">
        <v>6</v>
      </c>
      <c r="O17" s="18" t="n">
        <v>4</v>
      </c>
      <c r="P17" s="18" t="n">
        <v>3</v>
      </c>
      <c r="Q17" s="18" t="n">
        <v>3</v>
      </c>
      <c r="R17" s="18" t="n">
        <v>5</v>
      </c>
      <c r="S17" s="18" t="n">
        <v>4</v>
      </c>
      <c r="T17" s="18" t="n">
        <v>6</v>
      </c>
      <c r="U17" s="18" t="n">
        <v>5</v>
      </c>
      <c r="V17" s="18" t="n">
        <v>4</v>
      </c>
      <c r="W17" s="18" t="n">
        <v>5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6</v>
      </c>
      <c r="AC17" s="18" t="n">
        <v>5</v>
      </c>
      <c r="AD17" s="18" t="n">
        <v>4</v>
      </c>
      <c r="AE17" s="18" t="n">
        <v>4</v>
      </c>
      <c r="AF17" s="18" t="n">
        <v>5</v>
      </c>
      <c r="AG17" s="18" t="n">
        <v>4</v>
      </c>
      <c r="AH17" s="18" t="n">
        <v>5</v>
      </c>
      <c r="AI17" s="18" t="n">
        <v>3</v>
      </c>
      <c r="AJ17" s="18" t="n">
        <v>7</v>
      </c>
      <c r="AK17" s="18" t="n">
        <v>5</v>
      </c>
      <c r="AL17" s="18" t="n">
        <v>4</v>
      </c>
      <c r="AM17" s="18" t="n">
        <v>4</v>
      </c>
      <c r="AN17" s="18" t="n">
        <v>7</v>
      </c>
      <c r="AO17" s="18" t="n">
        <v>4</v>
      </c>
      <c r="AP17" s="18" t="n">
        <v>5</v>
      </c>
      <c r="AQ17" s="18" t="n">
        <v>3</v>
      </c>
      <c r="AR17" s="18" t="n">
        <v>5</v>
      </c>
      <c r="AS17" s="18" t="n">
        <v>5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Sabrina Ribeiro Crisóstomo</t>
        </is>
      </c>
      <c r="C18" s="8" t="inlineStr">
        <is>
          <t>48971</t>
        </is>
      </c>
      <c r="D18" t="inlineStr">
        <is>
          <t>Vilamoura, C. G</t>
        </is>
      </c>
      <c r="E18" s="8" t="n">
        <v>14</v>
      </c>
      <c r="F18" s="18" t="n">
        <v>7</v>
      </c>
      <c r="G18" s="18" t="n">
        <v>5</v>
      </c>
      <c r="H18" s="18" t="n">
        <v>3</v>
      </c>
      <c r="I18" s="18" t="n">
        <v>3</v>
      </c>
      <c r="J18" s="18" t="n">
        <v>5</v>
      </c>
      <c r="K18" s="18" t="n">
        <v>5</v>
      </c>
      <c r="L18" s="18" t="n">
        <v>5</v>
      </c>
      <c r="M18" s="18" t="n">
        <v>4</v>
      </c>
      <c r="N18" s="18" t="n">
        <v>4</v>
      </c>
      <c r="O18" s="18" t="n">
        <v>4</v>
      </c>
      <c r="P18" s="18" t="n">
        <v>3</v>
      </c>
      <c r="Q18" s="18" t="n">
        <v>4</v>
      </c>
      <c r="R18" s="18" t="n">
        <v>6</v>
      </c>
      <c r="S18" s="18" t="n">
        <v>5</v>
      </c>
      <c r="T18" s="18" t="n">
        <v>4</v>
      </c>
      <c r="U18" s="18" t="n">
        <v>4</v>
      </c>
      <c r="V18" s="18" t="n">
        <v>4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8</v>
      </c>
      <c r="AC18" s="18" t="n">
        <v>5</v>
      </c>
      <c r="AD18" s="18" t="n">
        <v>3</v>
      </c>
      <c r="AE18" s="18" t="n">
        <v>4</v>
      </c>
      <c r="AF18" s="18" t="n">
        <v>5</v>
      </c>
      <c r="AG18" s="18" t="n">
        <v>4</v>
      </c>
      <c r="AH18" s="18" t="n">
        <v>4</v>
      </c>
      <c r="AI18" s="18" t="n">
        <v>4</v>
      </c>
      <c r="AJ18" s="18" t="n">
        <v>4</v>
      </c>
      <c r="AK18" s="18" t="n">
        <v>5</v>
      </c>
      <c r="AL18" s="18" t="n">
        <v>5</v>
      </c>
      <c r="AM18" s="18" t="n">
        <v>3</v>
      </c>
      <c r="AN18" s="18" t="n">
        <v>5</v>
      </c>
      <c r="AO18" s="18" t="n">
        <v>5</v>
      </c>
      <c r="AP18" s="18" t="n">
        <v>5</v>
      </c>
      <c r="AQ18" s="18" t="n">
        <v>4</v>
      </c>
      <c r="AR18" s="18" t="n">
        <v>5</v>
      </c>
      <c r="AS18" s="18" t="n">
        <v>6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Nuno Palmares Jr.</t>
        </is>
      </c>
      <c r="C19" s="8" t="inlineStr">
        <is>
          <t>49124</t>
        </is>
      </c>
      <c r="D19" t="inlineStr">
        <is>
          <t>Estoril</t>
        </is>
      </c>
      <c r="E19" s="8" t="n">
        <v>8</v>
      </c>
      <c r="F19" s="18" t="n">
        <v>6</v>
      </c>
      <c r="G19" s="18" t="n">
        <v>6</v>
      </c>
      <c r="H19" s="18" t="n">
        <v>3</v>
      </c>
      <c r="I19" s="18" t="n">
        <v>4</v>
      </c>
      <c r="J19" s="18" t="n">
        <v>6</v>
      </c>
      <c r="K19" s="18" t="n">
        <v>4</v>
      </c>
      <c r="L19" s="18" t="n">
        <v>4</v>
      </c>
      <c r="M19" s="18" t="n">
        <v>2</v>
      </c>
      <c r="N19" s="18" t="n">
        <v>5</v>
      </c>
      <c r="O19" s="18" t="n">
        <v>4</v>
      </c>
      <c r="P19" s="18" t="n">
        <v>4</v>
      </c>
      <c r="Q19" s="18" t="n">
        <v>6</v>
      </c>
      <c r="R19" s="18" t="n">
        <v>6</v>
      </c>
      <c r="S19" s="18" t="n">
        <v>4</v>
      </c>
      <c r="T19" s="18" t="n">
        <v>5</v>
      </c>
      <c r="U19" s="18" t="n">
        <v>2</v>
      </c>
      <c r="V19" s="18" t="n">
        <v>4</v>
      </c>
      <c r="W19" s="18" t="n">
        <v>5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5</v>
      </c>
      <c r="AC19" s="18" t="n">
        <v>4</v>
      </c>
      <c r="AD19" s="18" t="n">
        <v>3</v>
      </c>
      <c r="AE19" s="18" t="n">
        <v>5</v>
      </c>
      <c r="AF19" s="18" t="n">
        <v>6</v>
      </c>
      <c r="AG19" s="18" t="n">
        <v>4</v>
      </c>
      <c r="AH19" s="18" t="n">
        <v>5</v>
      </c>
      <c r="AI19" s="18" t="n">
        <v>4</v>
      </c>
      <c r="AJ19" s="18" t="n">
        <v>5</v>
      </c>
      <c r="AK19" s="18" t="n">
        <v>5</v>
      </c>
      <c r="AL19" s="18" t="n">
        <v>3</v>
      </c>
      <c r="AM19" s="18" t="n">
        <v>4</v>
      </c>
      <c r="AN19" s="18" t="n">
        <v>4</v>
      </c>
      <c r="AO19" s="18" t="n">
        <v>5</v>
      </c>
      <c r="AP19" s="18" t="n">
        <v>5</v>
      </c>
      <c r="AQ19" s="18" t="n">
        <v>3</v>
      </c>
      <c r="AR19" s="18" t="n">
        <v>5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Gabriel Fantasia Leite</t>
        </is>
      </c>
      <c r="C20" s="8" t="inlineStr">
        <is>
          <t>33811</t>
        </is>
      </c>
      <c r="D20" t="inlineStr">
        <is>
          <t>Aroeira</t>
        </is>
      </c>
      <c r="E20" s="8" t="n">
        <v>6.1</v>
      </c>
      <c r="F20" s="18" t="n">
        <v>5</v>
      </c>
      <c r="G20" s="18" t="n">
        <v>4</v>
      </c>
      <c r="H20" s="18" t="n">
        <v>3</v>
      </c>
      <c r="I20" s="18" t="n">
        <v>6</v>
      </c>
      <c r="J20" s="18" t="n">
        <v>6</v>
      </c>
      <c r="K20" s="18" t="n">
        <v>5</v>
      </c>
      <c r="L20" s="18" t="n">
        <v>4</v>
      </c>
      <c r="M20" s="18" t="n">
        <v>3</v>
      </c>
      <c r="N20" s="18" t="n">
        <v>3</v>
      </c>
      <c r="O20" s="18" t="n">
        <v>5</v>
      </c>
      <c r="P20" s="18" t="n">
        <v>3</v>
      </c>
      <c r="Q20" s="18" t="n">
        <v>5</v>
      </c>
      <c r="R20" s="18" t="n">
        <v>4</v>
      </c>
      <c r="S20" s="18" t="n">
        <v>5</v>
      </c>
      <c r="T20" s="18" t="n">
        <v>4</v>
      </c>
      <c r="U20" s="18" t="n">
        <v>4</v>
      </c>
      <c r="V20" s="18" t="n">
        <v>6</v>
      </c>
      <c r="W20" s="18" t="n">
        <v>5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5</v>
      </c>
      <c r="AC20" s="18" t="n">
        <v>4</v>
      </c>
      <c r="AD20" s="18" t="n">
        <v>4</v>
      </c>
      <c r="AE20" s="18" t="n">
        <v>5</v>
      </c>
      <c r="AF20" s="18" t="n">
        <v>6</v>
      </c>
      <c r="AG20" s="18" t="n">
        <v>3</v>
      </c>
      <c r="AH20" s="18" t="n">
        <v>5</v>
      </c>
      <c r="AI20" s="18" t="n">
        <v>3</v>
      </c>
      <c r="AJ20" s="18" t="n">
        <v>4</v>
      </c>
      <c r="AK20" s="18" t="n">
        <v>7</v>
      </c>
      <c r="AL20" s="18" t="n">
        <v>3</v>
      </c>
      <c r="AM20" s="18" t="n">
        <v>3</v>
      </c>
      <c r="AN20" s="18" t="n">
        <v>5</v>
      </c>
      <c r="AO20" s="18" t="n">
        <v>5</v>
      </c>
      <c r="AP20" s="18" t="n">
        <v>4</v>
      </c>
      <c r="AQ20" s="18" t="n">
        <v>3</v>
      </c>
      <c r="AR20" s="18" t="n">
        <v>6</v>
      </c>
      <c r="AS20" s="18" t="n">
        <v>3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Salvador Ivo de Carvalho</t>
        </is>
      </c>
      <c r="C21" s="8" t="inlineStr">
        <is>
          <t>43968</t>
        </is>
      </c>
      <c r="D21" t="inlineStr">
        <is>
          <t>Vilamoura, C. G</t>
        </is>
      </c>
      <c r="E21" s="8" t="n">
        <v>11.1</v>
      </c>
      <c r="F21" s="18" t="n">
        <v>5</v>
      </c>
      <c r="G21" s="18" t="n">
        <v>5</v>
      </c>
      <c r="H21" s="18" t="n">
        <v>4</v>
      </c>
      <c r="I21" s="18" t="n">
        <v>6</v>
      </c>
      <c r="J21" s="18" t="n">
        <v>6</v>
      </c>
      <c r="K21" s="18" t="n">
        <v>4</v>
      </c>
      <c r="L21" s="18" t="n">
        <v>5</v>
      </c>
      <c r="M21" s="18" t="n">
        <v>4</v>
      </c>
      <c r="N21" s="18" t="n">
        <v>5</v>
      </c>
      <c r="O21" s="18" t="n">
        <v>4</v>
      </c>
      <c r="P21" s="18" t="n">
        <v>3</v>
      </c>
      <c r="Q21" s="18" t="n">
        <v>5</v>
      </c>
      <c r="R21" s="18" t="n">
        <v>5</v>
      </c>
      <c r="S21" s="18" t="n">
        <v>4</v>
      </c>
      <c r="T21" s="18" t="n">
        <v>4</v>
      </c>
      <c r="U21" s="18" t="n">
        <v>3</v>
      </c>
      <c r="V21" s="18" t="n">
        <v>4</v>
      </c>
      <c r="W21" s="18" t="n">
        <v>5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W21" s="8" t="n">
        <v>0</v>
      </c>
      <c r="AX21" s="19">
        <f>AA21+AW21</f>
        <v/>
      </c>
    </row>
    <row r="22">
      <c r="A22" s="8" t="n">
        <v>11</v>
      </c>
      <c r="B22" t="inlineStr">
        <is>
          <t>David Filip</t>
        </is>
      </c>
      <c r="C22" s="8" t="inlineStr">
        <is>
          <t>51949</t>
        </is>
      </c>
      <c r="D22" t="inlineStr">
        <is>
          <t>Lisbon SC</t>
        </is>
      </c>
      <c r="E22" s="8" t="n">
        <v>16.7</v>
      </c>
      <c r="F22" s="18" t="n">
        <v>6</v>
      </c>
      <c r="G22" s="18" t="n">
        <v>5</v>
      </c>
      <c r="H22" s="18" t="n">
        <v>4</v>
      </c>
      <c r="I22" s="18" t="n">
        <v>5</v>
      </c>
      <c r="J22" s="18" t="n">
        <v>5</v>
      </c>
      <c r="K22" s="18" t="n">
        <v>3</v>
      </c>
      <c r="L22" s="18" t="n">
        <v>5</v>
      </c>
      <c r="M22" s="18" t="n">
        <v>4</v>
      </c>
      <c r="N22" s="18" t="n">
        <v>5</v>
      </c>
      <c r="O22" s="18" t="n">
        <v>5</v>
      </c>
      <c r="P22" s="18" t="n">
        <v>3</v>
      </c>
      <c r="Q22" s="18" t="n">
        <v>3</v>
      </c>
      <c r="R22" s="18" t="n">
        <v>6</v>
      </c>
      <c r="S22" s="18" t="n">
        <v>4</v>
      </c>
      <c r="T22" s="18" t="n">
        <v>5</v>
      </c>
      <c r="U22" s="18" t="n">
        <v>4</v>
      </c>
      <c r="V22" s="18" t="n">
        <v>4</v>
      </c>
      <c r="W22" s="18" t="n">
        <v>5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6</v>
      </c>
      <c r="AC22" s="18" t="n">
        <v>5</v>
      </c>
      <c r="AD22" s="18" t="n">
        <v>4</v>
      </c>
      <c r="AE22" s="18" t="n">
        <v>5</v>
      </c>
      <c r="AF22" s="18" t="n">
        <v>6</v>
      </c>
      <c r="AG22" s="18" t="n">
        <v>4</v>
      </c>
      <c r="AH22" s="18" t="n">
        <v>5</v>
      </c>
      <c r="AI22" s="18" t="n">
        <v>3</v>
      </c>
      <c r="AJ22" s="18" t="n">
        <v>5</v>
      </c>
      <c r="AK22" s="18" t="n">
        <v>4</v>
      </c>
      <c r="AL22" s="18" t="n">
        <v>4</v>
      </c>
      <c r="AM22" s="18" t="n">
        <v>4</v>
      </c>
      <c r="AN22" s="18" t="n">
        <v>6</v>
      </c>
      <c r="AO22" s="18" t="n">
        <v>5</v>
      </c>
      <c r="AP22" s="18" t="n">
        <v>5</v>
      </c>
      <c r="AQ22" s="18" t="n">
        <v>3</v>
      </c>
      <c r="AR22" s="18" t="n">
        <v>5</v>
      </c>
      <c r="AS22" s="18" t="n">
        <v>6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Rafael Gonçales Benesi</t>
        </is>
      </c>
      <c r="C23" s="8" t="inlineStr">
        <is>
          <t>54774</t>
        </is>
      </c>
      <c r="D23" t="inlineStr">
        <is>
          <t>Estoril</t>
        </is>
      </c>
      <c r="E23" s="8" t="n">
        <v>8.199999999999999</v>
      </c>
      <c r="F23" s="18" t="n">
        <v>5</v>
      </c>
      <c r="G23" s="18" t="n">
        <v>6</v>
      </c>
      <c r="H23" s="18" t="n">
        <v>4</v>
      </c>
      <c r="I23" s="18" t="n">
        <v>4</v>
      </c>
      <c r="J23" s="18" t="n">
        <v>5</v>
      </c>
      <c r="K23" s="18" t="n">
        <v>4</v>
      </c>
      <c r="L23" s="18" t="n">
        <v>5</v>
      </c>
      <c r="M23" s="18" t="n">
        <v>4</v>
      </c>
      <c r="N23" s="18" t="n">
        <v>4</v>
      </c>
      <c r="O23" s="18" t="n">
        <v>7</v>
      </c>
      <c r="P23" s="18" t="n">
        <v>3</v>
      </c>
      <c r="Q23" s="18" t="n">
        <v>5</v>
      </c>
      <c r="R23" s="18" t="n">
        <v>6</v>
      </c>
      <c r="S23" s="18" t="n">
        <v>4</v>
      </c>
      <c r="T23" s="18" t="n">
        <v>3</v>
      </c>
      <c r="U23" s="18" t="n">
        <v>4</v>
      </c>
      <c r="V23" s="18" t="n">
        <v>4</v>
      </c>
      <c r="W23" s="18" t="n">
        <v>4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4</v>
      </c>
      <c r="AC23" s="18" t="n">
        <v>4</v>
      </c>
      <c r="AD23" s="18" t="n">
        <v>3</v>
      </c>
      <c r="AE23" s="18" t="n">
        <v>4</v>
      </c>
      <c r="AF23" s="18" t="n">
        <v>4</v>
      </c>
      <c r="AG23" s="18" t="n">
        <v>4</v>
      </c>
      <c r="AH23" s="18" t="n">
        <v>4</v>
      </c>
      <c r="AI23" s="18" t="n">
        <v>4</v>
      </c>
      <c r="AJ23" s="18" t="n">
        <v>6</v>
      </c>
      <c r="AK23" s="18" t="n">
        <v>4</v>
      </c>
      <c r="AL23" s="18" t="n">
        <v>3</v>
      </c>
      <c r="AM23" s="18" t="n">
        <v>3</v>
      </c>
      <c r="AN23" s="18" t="n">
        <v>5</v>
      </c>
      <c r="AO23" s="18" t="n">
        <v>4</v>
      </c>
      <c r="AP23" s="18" t="n">
        <v>5</v>
      </c>
      <c r="AQ23" s="18" t="n">
        <v>4</v>
      </c>
      <c r="AR23" s="18" t="n">
        <v>4</v>
      </c>
      <c r="AS23" s="18" t="n">
        <v>6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Pedro Costa Alemão</t>
        </is>
      </c>
      <c r="C24" s="8" t="inlineStr">
        <is>
          <t>46706</t>
        </is>
      </c>
      <c r="D24" t="inlineStr">
        <is>
          <t>Estoril</t>
        </is>
      </c>
      <c r="E24" s="8" t="n">
        <v>7.7</v>
      </c>
      <c r="F24" s="18" t="n">
        <v>6</v>
      </c>
      <c r="G24" s="18" t="n">
        <v>4</v>
      </c>
      <c r="H24" s="18" t="n">
        <v>2</v>
      </c>
      <c r="I24" s="18" t="n">
        <v>4</v>
      </c>
      <c r="J24" s="18" t="n">
        <v>6</v>
      </c>
      <c r="K24" s="18" t="n">
        <v>5</v>
      </c>
      <c r="L24" s="18" t="n">
        <v>5</v>
      </c>
      <c r="M24" s="18" t="n">
        <v>3</v>
      </c>
      <c r="N24" s="18" t="n">
        <v>6</v>
      </c>
      <c r="O24" s="18" t="n">
        <v>5</v>
      </c>
      <c r="P24" s="18" t="n">
        <v>3</v>
      </c>
      <c r="Q24" s="18" t="n">
        <v>5</v>
      </c>
      <c r="R24" s="18" t="n">
        <v>6</v>
      </c>
      <c r="S24" s="18" t="n">
        <v>4</v>
      </c>
      <c r="T24" s="18" t="n">
        <v>4</v>
      </c>
      <c r="U24" s="18" t="n">
        <v>3</v>
      </c>
      <c r="V24" s="18" t="n">
        <v>5</v>
      </c>
      <c r="W24" s="18" t="n">
        <v>5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5</v>
      </c>
      <c r="AC24" s="18" t="n">
        <v>4</v>
      </c>
      <c r="AD24" s="18" t="n">
        <v>4</v>
      </c>
      <c r="AE24" s="18" t="n">
        <v>4</v>
      </c>
      <c r="AF24" s="18" t="n">
        <v>5</v>
      </c>
      <c r="AG24" s="18" t="n">
        <v>5</v>
      </c>
      <c r="AH24" s="18" t="n">
        <v>5</v>
      </c>
      <c r="AI24" s="18" t="n">
        <v>3</v>
      </c>
      <c r="AJ24" s="18" t="n">
        <v>4</v>
      </c>
      <c r="AK24" s="18" t="n">
        <v>6</v>
      </c>
      <c r="AL24" s="18" t="n">
        <v>3</v>
      </c>
      <c r="AM24" s="18" t="n">
        <v>4</v>
      </c>
      <c r="AN24" s="18" t="n">
        <v>5</v>
      </c>
      <c r="AO24" s="18" t="n">
        <v>4</v>
      </c>
      <c r="AP24" s="18" t="n">
        <v>4</v>
      </c>
      <c r="AQ24" s="18" t="n">
        <v>3</v>
      </c>
      <c r="AR24" s="18" t="n">
        <v>5</v>
      </c>
      <c r="AS24" s="18" t="n">
        <v>4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Angelina Gao</t>
        </is>
      </c>
      <c r="C25" s="8" t="inlineStr">
        <is>
          <t>51523</t>
        </is>
      </c>
      <c r="D25" t="inlineStr">
        <is>
          <t>Quinta do Peru</t>
        </is>
      </c>
      <c r="E25" s="8" t="n">
        <v>9.5</v>
      </c>
      <c r="F25" s="18" t="n">
        <v>6</v>
      </c>
      <c r="G25" s="18" t="n">
        <v>6</v>
      </c>
      <c r="H25" s="18" t="n">
        <v>2</v>
      </c>
      <c r="I25" s="18" t="n">
        <v>4</v>
      </c>
      <c r="J25" s="18" t="n">
        <v>6</v>
      </c>
      <c r="K25" s="18" t="n">
        <v>5</v>
      </c>
      <c r="L25" s="18" t="n">
        <v>4</v>
      </c>
      <c r="M25" s="18" t="n">
        <v>5</v>
      </c>
      <c r="N25" s="18" t="n">
        <v>5</v>
      </c>
      <c r="O25" s="18" t="n">
        <v>5</v>
      </c>
      <c r="P25" s="18" t="n">
        <v>4</v>
      </c>
      <c r="Q25" s="18" t="n">
        <v>4</v>
      </c>
      <c r="R25" s="18" t="n">
        <v>6</v>
      </c>
      <c r="S25" s="18" t="n">
        <v>5</v>
      </c>
      <c r="T25" s="18" t="n">
        <v>3</v>
      </c>
      <c r="U25" s="18" t="n">
        <v>3</v>
      </c>
      <c r="V25" s="18" t="n">
        <v>4</v>
      </c>
      <c r="W25" s="18" t="n">
        <v>5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5</v>
      </c>
      <c r="AC25" s="18" t="n">
        <v>5</v>
      </c>
      <c r="AD25" s="18" t="n">
        <v>4</v>
      </c>
      <c r="AE25" s="18" t="n">
        <v>6</v>
      </c>
      <c r="AF25" s="18" t="n">
        <v>5</v>
      </c>
      <c r="AG25" s="18" t="n">
        <v>4</v>
      </c>
      <c r="AH25" s="18" t="n">
        <v>5</v>
      </c>
      <c r="AI25" s="18" t="n">
        <v>2</v>
      </c>
      <c r="AJ25" s="18" t="n">
        <v>5</v>
      </c>
      <c r="AK25" s="18" t="n">
        <v>6</v>
      </c>
      <c r="AL25" s="18" t="n">
        <v>3</v>
      </c>
      <c r="AM25" s="18" t="n">
        <v>3</v>
      </c>
      <c r="AN25" s="18" t="n">
        <v>6</v>
      </c>
      <c r="AO25" s="18" t="n">
        <v>4</v>
      </c>
      <c r="AP25" s="18" t="n">
        <v>5</v>
      </c>
      <c r="AQ25" s="18" t="n">
        <v>3</v>
      </c>
      <c r="AR25" s="18" t="n">
        <v>5</v>
      </c>
      <c r="AS25" s="18" t="n">
        <v>5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Rodrigo Sousa Correia</t>
        </is>
      </c>
      <c r="C26" s="8" t="inlineStr">
        <is>
          <t>44934</t>
        </is>
      </c>
      <c r="D26" t="inlineStr">
        <is>
          <t>Vilamoura, C. G</t>
        </is>
      </c>
      <c r="E26" s="8" t="n">
        <v>3.7</v>
      </c>
      <c r="F26" s="18" t="n">
        <v>6</v>
      </c>
      <c r="G26" s="18" t="n">
        <v>5</v>
      </c>
      <c r="H26" s="18" t="n">
        <v>4</v>
      </c>
      <c r="I26" s="18" t="n">
        <v>5</v>
      </c>
      <c r="J26" s="18" t="n">
        <v>6</v>
      </c>
      <c r="K26" s="18" t="n">
        <v>5</v>
      </c>
      <c r="L26" s="18" t="n">
        <v>5</v>
      </c>
      <c r="M26" s="18" t="n">
        <v>3</v>
      </c>
      <c r="N26" s="18" t="n">
        <v>5</v>
      </c>
      <c r="O26" s="18" t="n">
        <v>5</v>
      </c>
      <c r="P26" s="18" t="n">
        <v>2</v>
      </c>
      <c r="Q26" s="18" t="n">
        <v>4</v>
      </c>
      <c r="R26" s="18" t="n">
        <v>4</v>
      </c>
      <c r="S26" s="18" t="n">
        <v>4</v>
      </c>
      <c r="T26" s="18" t="n">
        <v>6</v>
      </c>
      <c r="U26" s="18" t="n">
        <v>4</v>
      </c>
      <c r="V26" s="18" t="n">
        <v>6</v>
      </c>
      <c r="W26" s="18" t="n">
        <v>4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6</v>
      </c>
      <c r="AC26" s="18" t="n">
        <v>5</v>
      </c>
      <c r="AD26" s="18" t="n">
        <v>3</v>
      </c>
      <c r="AE26" s="18" t="n">
        <v>4</v>
      </c>
      <c r="AF26" s="18" t="n">
        <v>5</v>
      </c>
      <c r="AG26" s="18" t="n">
        <v>4</v>
      </c>
      <c r="AH26" s="18" t="n">
        <v>5</v>
      </c>
      <c r="AI26" s="18" t="n">
        <v>3</v>
      </c>
      <c r="AJ26" s="18" t="n">
        <v>4</v>
      </c>
      <c r="AK26" s="18" t="n">
        <v>4</v>
      </c>
      <c r="AL26" s="18" t="n">
        <v>4</v>
      </c>
      <c r="AM26" s="18" t="n">
        <v>4</v>
      </c>
      <c r="AN26" s="18" t="n">
        <v>4</v>
      </c>
      <c r="AO26" s="18" t="n">
        <v>4</v>
      </c>
      <c r="AP26" s="18" t="n">
        <v>5</v>
      </c>
      <c r="AQ26" s="18" t="n">
        <v>3</v>
      </c>
      <c r="AR26" s="18" t="n">
        <v>4</v>
      </c>
      <c r="AS26" s="18" t="n">
        <v>5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n">
        <v>16</v>
      </c>
      <c r="B27" t="inlineStr">
        <is>
          <t>Guo Ziyang</t>
        </is>
      </c>
      <c r="C27" s="8" t="inlineStr">
        <is>
          <t>57904</t>
        </is>
      </c>
      <c r="D27" t="inlineStr">
        <is>
          <t>Estoril</t>
        </is>
      </c>
      <c r="E27" s="8" t="n">
        <v>19</v>
      </c>
      <c r="F27" s="18" t="n">
        <v>6</v>
      </c>
      <c r="G27" s="18" t="n">
        <v>4</v>
      </c>
      <c r="H27" s="18" t="n">
        <v>3</v>
      </c>
      <c r="I27" s="18" t="n">
        <v>4</v>
      </c>
      <c r="J27" s="18" t="n">
        <v>7</v>
      </c>
      <c r="K27" s="18" t="n">
        <v>4</v>
      </c>
      <c r="L27" s="18" t="n">
        <v>5</v>
      </c>
      <c r="M27" s="18" t="n">
        <v>3</v>
      </c>
      <c r="N27" s="18" t="n">
        <v>6</v>
      </c>
      <c r="O27" s="18" t="n">
        <v>5</v>
      </c>
      <c r="P27" s="18" t="n">
        <v>3</v>
      </c>
      <c r="Q27" s="18" t="n">
        <v>4</v>
      </c>
      <c r="R27" s="18" t="n">
        <v>6</v>
      </c>
      <c r="S27" s="18" t="n">
        <v>5</v>
      </c>
      <c r="T27" s="18" t="n">
        <v>4</v>
      </c>
      <c r="U27" s="18" t="n">
        <v>3</v>
      </c>
      <c r="V27" s="18" t="n">
        <v>6</v>
      </c>
      <c r="W27" s="18" t="n">
        <v>6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MAX(0,25-Z27)*1.0</f>
        <v/>
      </c>
      <c r="AB27" s="18" t="n">
        <v>6</v>
      </c>
      <c r="AC27" s="18" t="n">
        <v>4</v>
      </c>
      <c r="AD27" s="18" t="n">
        <v>4</v>
      </c>
      <c r="AE27" s="18" t="n">
        <v>3</v>
      </c>
      <c r="AF27" s="18" t="n">
        <v>7</v>
      </c>
      <c r="AG27" s="18" t="n">
        <v>4</v>
      </c>
      <c r="AH27" s="18" t="n">
        <v>5</v>
      </c>
      <c r="AI27" s="18" t="n">
        <v>3</v>
      </c>
      <c r="AJ27" s="18" t="n">
        <v>6</v>
      </c>
      <c r="AK27" s="18" t="n">
        <v>5</v>
      </c>
      <c r="AL27" s="18" t="n">
        <v>2</v>
      </c>
      <c r="AM27" s="18" t="n">
        <v>5</v>
      </c>
      <c r="AN27" s="18" t="n">
        <v>5</v>
      </c>
      <c r="AO27" s="18" t="n">
        <v>6</v>
      </c>
      <c r="AP27" s="18" t="n">
        <v>6</v>
      </c>
      <c r="AQ27" s="18" t="n">
        <v>4</v>
      </c>
      <c r="AR27" s="18" t="n">
        <v>4</v>
      </c>
      <c r="AS27" s="18" t="n">
        <v>5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MAX(0,25-AV27)*1.0</f>
        <v/>
      </c>
      <c r="AX27" s="19">
        <f>AA27+AW27</f>
        <v/>
      </c>
    </row>
    <row r="28">
      <c r="A28" s="8" t="n">
        <v>17</v>
      </c>
      <c r="B28" t="inlineStr">
        <is>
          <t>João Rocha</t>
        </is>
      </c>
      <c r="C28" s="8" t="inlineStr">
        <is>
          <t>48297</t>
        </is>
      </c>
      <c r="D28" t="inlineStr">
        <is>
          <t>Estoril</t>
        </is>
      </c>
      <c r="E28" s="8" t="n">
        <v>7.9</v>
      </c>
      <c r="F28" s="18" t="n">
        <v>6</v>
      </c>
      <c r="G28" s="18" t="n">
        <v>5</v>
      </c>
      <c r="H28" s="18" t="n">
        <v>3</v>
      </c>
      <c r="I28" s="18" t="n">
        <v>5</v>
      </c>
      <c r="J28" s="18" t="n">
        <v>5</v>
      </c>
      <c r="K28" s="18" t="n">
        <v>5</v>
      </c>
      <c r="L28" s="18" t="n">
        <v>3</v>
      </c>
      <c r="M28" s="18" t="n">
        <v>3</v>
      </c>
      <c r="N28" s="18" t="n">
        <v>4</v>
      </c>
      <c r="O28" s="18" t="n">
        <v>7</v>
      </c>
      <c r="P28" s="18" t="n">
        <v>4</v>
      </c>
      <c r="Q28" s="18" t="n">
        <v>4</v>
      </c>
      <c r="R28" s="18" t="n">
        <v>6</v>
      </c>
      <c r="S28" s="18" t="n">
        <v>4</v>
      </c>
      <c r="T28" s="18" t="n">
        <v>6</v>
      </c>
      <c r="U28" s="18" t="n">
        <v>4</v>
      </c>
      <c r="V28" s="18" t="n">
        <v>5</v>
      </c>
      <c r="W28" s="18" t="n">
        <v>5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MAX(0,25-Z28)*1.0</f>
        <v/>
      </c>
      <c r="AB28" s="18" t="n">
        <v>7</v>
      </c>
      <c r="AC28" s="18" t="n">
        <v>4</v>
      </c>
      <c r="AD28" s="18" t="n">
        <v>4</v>
      </c>
      <c r="AE28" s="18" t="n">
        <v>6</v>
      </c>
      <c r="AF28" s="18" t="n">
        <v>6</v>
      </c>
      <c r="AG28" s="18" t="n">
        <v>4</v>
      </c>
      <c r="AH28" s="18" t="n">
        <v>3</v>
      </c>
      <c r="AI28" s="18" t="n">
        <v>5</v>
      </c>
      <c r="AJ28" s="18" t="n">
        <v>5</v>
      </c>
      <c r="AK28" s="18" t="n">
        <v>4</v>
      </c>
      <c r="AL28" s="18" t="n">
        <v>4</v>
      </c>
      <c r="AM28" s="18" t="n">
        <v>4</v>
      </c>
      <c r="AN28" s="18" t="n">
        <v>5</v>
      </c>
      <c r="AO28" s="18" t="n">
        <v>4</v>
      </c>
      <c r="AP28" s="18" t="n">
        <v>5</v>
      </c>
      <c r="AQ28" s="18" t="n">
        <v>3</v>
      </c>
      <c r="AR28" s="18" t="n">
        <v>5</v>
      </c>
      <c r="AS28" s="18" t="n">
        <v>5</v>
      </c>
      <c r="AT28" s="8">
        <f>SUM(AB28:AS28)</f>
        <v/>
      </c>
      <c r="AU28" s="8">
        <f>AU10</f>
        <v/>
      </c>
      <c r="AV28" s="8">
        <f>AT28-AU28</f>
        <v/>
      </c>
      <c r="AW28" s="8">
        <f>MAX(0,25-AV28)*1.0</f>
        <v/>
      </c>
      <c r="AX28" s="19">
        <f>AA28+AW28</f>
        <v/>
      </c>
    </row>
    <row r="29">
      <c r="A29" s="8" t="n">
        <v>18</v>
      </c>
      <c r="B29" t="inlineStr">
        <is>
          <t>Rafaela Pinto</t>
        </is>
      </c>
      <c r="C29" s="8" t="inlineStr">
        <is>
          <t>40390</t>
        </is>
      </c>
      <c r="D29" t="inlineStr">
        <is>
          <t>Arquitectos</t>
        </is>
      </c>
      <c r="E29" s="8" t="n">
        <v>1.6</v>
      </c>
      <c r="F29" s="18" t="n">
        <v>6</v>
      </c>
      <c r="G29" s="18" t="n">
        <v>5</v>
      </c>
      <c r="H29" s="18" t="n">
        <v>4</v>
      </c>
      <c r="I29" s="18" t="n">
        <v>5</v>
      </c>
      <c r="J29" s="18" t="n">
        <v>6</v>
      </c>
      <c r="K29" s="18" t="n">
        <v>5</v>
      </c>
      <c r="L29" s="18" t="n">
        <v>5</v>
      </c>
      <c r="M29" s="18" t="n">
        <v>3</v>
      </c>
      <c r="N29" s="18" t="n">
        <v>5</v>
      </c>
      <c r="O29" s="18" t="n">
        <v>6</v>
      </c>
      <c r="P29" s="18" t="n">
        <v>4</v>
      </c>
      <c r="Q29" s="18" t="n">
        <v>4</v>
      </c>
      <c r="R29" s="18" t="n">
        <v>5</v>
      </c>
      <c r="S29" s="18" t="n">
        <v>5</v>
      </c>
      <c r="T29" s="18" t="n">
        <v>4</v>
      </c>
      <c r="U29" s="18" t="n">
        <v>3</v>
      </c>
      <c r="V29" s="18" t="n">
        <v>4</v>
      </c>
      <c r="W29" s="18" t="n">
        <v>6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MAX(0,25-Z29)*1.0</f>
        <v/>
      </c>
      <c r="AB29" s="18" t="n">
        <v>5</v>
      </c>
      <c r="AC29" s="18" t="n">
        <v>5</v>
      </c>
      <c r="AD29" s="18" t="n">
        <v>4</v>
      </c>
      <c r="AE29" s="18" t="n">
        <v>4</v>
      </c>
      <c r="AF29" s="18" t="n">
        <v>7</v>
      </c>
      <c r="AG29" s="18" t="n">
        <v>5</v>
      </c>
      <c r="AH29" s="18" t="n">
        <v>5</v>
      </c>
      <c r="AI29" s="18" t="n">
        <v>3</v>
      </c>
      <c r="AJ29" s="18" t="n">
        <v>5</v>
      </c>
      <c r="AK29" s="18" t="n">
        <v>6</v>
      </c>
      <c r="AL29" s="18" t="n">
        <v>4</v>
      </c>
      <c r="AM29" s="18" t="n">
        <v>4</v>
      </c>
      <c r="AN29" s="18" t="n">
        <v>5</v>
      </c>
      <c r="AO29" s="18" t="n">
        <v>4</v>
      </c>
      <c r="AP29" s="18" t="n">
        <v>5</v>
      </c>
      <c r="AQ29" s="18" t="n">
        <v>4</v>
      </c>
      <c r="AR29" s="18" t="n">
        <v>6</v>
      </c>
      <c r="AS29" s="18" t="n">
        <v>5</v>
      </c>
      <c r="AT29" s="8">
        <f>SUM(AB29:AS29)</f>
        <v/>
      </c>
      <c r="AU29" s="8">
        <f>AU10</f>
        <v/>
      </c>
      <c r="AV29" s="8">
        <f>AT29-AU29</f>
        <v/>
      </c>
      <c r="AW29" s="8">
        <f>MAX(0,25-AV29)*1.0</f>
        <v/>
      </c>
      <c r="AX29" s="19">
        <f>AA29+AW29</f>
        <v/>
      </c>
    </row>
    <row r="30">
      <c r="A30" s="8" t="n">
        <v>19</v>
      </c>
      <c r="B30" t="inlineStr">
        <is>
          <t>Martim Sousa de Morais</t>
        </is>
      </c>
      <c r="C30" s="8" t="inlineStr">
        <is>
          <t>41609</t>
        </is>
      </c>
      <c r="D30" t="inlineStr">
        <is>
          <t>Belas</t>
        </is>
      </c>
      <c r="E30" s="8" t="n">
        <v>7.2</v>
      </c>
      <c r="F30" s="18" t="n">
        <v>5</v>
      </c>
      <c r="G30" s="18" t="n">
        <v>4</v>
      </c>
      <c r="H30" s="18" t="n">
        <v>3</v>
      </c>
      <c r="I30" s="18" t="n">
        <v>6</v>
      </c>
      <c r="J30" s="18" t="n">
        <v>6</v>
      </c>
      <c r="K30" s="18" t="n">
        <v>5</v>
      </c>
      <c r="L30" s="18" t="n">
        <v>6</v>
      </c>
      <c r="M30" s="18" t="n">
        <v>3</v>
      </c>
      <c r="N30" s="18" t="n">
        <v>5</v>
      </c>
      <c r="O30" s="18" t="n">
        <v>5</v>
      </c>
      <c r="P30" s="18" t="n">
        <v>3</v>
      </c>
      <c r="Q30" s="18" t="n">
        <v>4</v>
      </c>
      <c r="R30" s="18" t="n">
        <v>6</v>
      </c>
      <c r="S30" s="18" t="n">
        <v>5</v>
      </c>
      <c r="T30" s="18" t="n">
        <v>6</v>
      </c>
      <c r="U30" s="18" t="n">
        <v>3</v>
      </c>
      <c r="V30" s="18" t="n">
        <v>5</v>
      </c>
      <c r="W30" s="18" t="n">
        <v>6</v>
      </c>
      <c r="X30" s="8">
        <f>SUM(F30:W30)</f>
        <v/>
      </c>
      <c r="Y30" s="8">
        <f>Y10</f>
        <v/>
      </c>
      <c r="Z30" s="8">
        <f>X30-Y30</f>
        <v/>
      </c>
      <c r="AA30" s="8">
        <f>MAX(0,25-Z30)*1.0</f>
        <v/>
      </c>
      <c r="AB30" s="18" t="n">
        <v>5</v>
      </c>
      <c r="AC30" s="18" t="n">
        <v>4</v>
      </c>
      <c r="AD30" s="18" t="n">
        <v>3</v>
      </c>
      <c r="AE30" s="18" t="n">
        <v>6</v>
      </c>
      <c r="AF30" s="18" t="n">
        <v>6</v>
      </c>
      <c r="AG30" s="18" t="n">
        <v>3</v>
      </c>
      <c r="AH30" s="18" t="n">
        <v>5</v>
      </c>
      <c r="AI30" s="18" t="n">
        <v>6</v>
      </c>
      <c r="AJ30" s="18" t="n">
        <v>7</v>
      </c>
      <c r="AK30" s="18" t="n">
        <v>7</v>
      </c>
      <c r="AL30" s="18" t="n">
        <v>3</v>
      </c>
      <c r="AM30" s="18" t="n">
        <v>5</v>
      </c>
      <c r="AN30" s="18" t="n">
        <v>7</v>
      </c>
      <c r="AO30" s="18" t="n">
        <v>6</v>
      </c>
      <c r="AP30" s="18" t="n">
        <v>4</v>
      </c>
      <c r="AQ30" s="18" t="n">
        <v>4</v>
      </c>
      <c r="AR30" s="18" t="n">
        <v>4</v>
      </c>
      <c r="AS30" s="18" t="n">
        <v>5</v>
      </c>
      <c r="AT30" s="8">
        <f>SUM(AB30:AS30)</f>
        <v/>
      </c>
      <c r="AU30" s="8">
        <f>AU10</f>
        <v/>
      </c>
      <c r="AV30" s="8">
        <f>AT30-AU30</f>
        <v/>
      </c>
      <c r="AW30" s="8">
        <f>MAX(0,25-AV30)*1.0</f>
        <v/>
      </c>
      <c r="AX30" s="19">
        <f>AA30+AW30</f>
        <v/>
      </c>
    </row>
    <row r="31">
      <c r="A31" s="8" t="n">
        <v>20</v>
      </c>
      <c r="B31" t="inlineStr">
        <is>
          <t>Rodrigo Faria Constantino</t>
        </is>
      </c>
      <c r="C31" s="8" t="inlineStr">
        <is>
          <t>45278</t>
        </is>
      </c>
      <c r="D31" t="inlineStr">
        <is>
          <t>Belas</t>
        </is>
      </c>
      <c r="E31" s="8" t="n">
        <v>3.9</v>
      </c>
      <c r="F31" s="18" t="n">
        <v>6</v>
      </c>
      <c r="G31" s="18" t="n">
        <v>5</v>
      </c>
      <c r="H31" s="18" t="n">
        <v>7</v>
      </c>
      <c r="I31" s="18" t="n">
        <v>6</v>
      </c>
      <c r="J31" s="18" t="n">
        <v>6</v>
      </c>
      <c r="K31" s="18" t="n">
        <v>5</v>
      </c>
      <c r="L31" s="18" t="n">
        <v>5</v>
      </c>
      <c r="M31" s="18" t="n">
        <v>4</v>
      </c>
      <c r="N31" s="18" t="n">
        <v>4</v>
      </c>
      <c r="O31" s="18" t="n">
        <v>5</v>
      </c>
      <c r="P31" s="18" t="n">
        <v>4</v>
      </c>
      <c r="Q31" s="18" t="n">
        <v>4</v>
      </c>
      <c r="R31" s="18" t="n">
        <v>5</v>
      </c>
      <c r="S31" s="18" t="n">
        <v>4</v>
      </c>
      <c r="T31" s="18" t="n">
        <v>5</v>
      </c>
      <c r="U31" s="18" t="n">
        <v>3</v>
      </c>
      <c r="V31" s="18" t="n">
        <v>5</v>
      </c>
      <c r="W31" s="18" t="n">
        <v>6</v>
      </c>
      <c r="X31" s="8">
        <f>SUM(F31:W31)</f>
        <v/>
      </c>
      <c r="Y31" s="8">
        <f>Y10</f>
        <v/>
      </c>
      <c r="Z31" s="8">
        <f>X31-Y31</f>
        <v/>
      </c>
      <c r="AA31" s="8">
        <f>MAX(0,25-Z31)*1.0</f>
        <v/>
      </c>
      <c r="AB31" s="18" t="n">
        <v>5</v>
      </c>
      <c r="AC31" s="18" t="n">
        <v>5</v>
      </c>
      <c r="AD31" s="18" t="n">
        <v>3</v>
      </c>
      <c r="AE31" s="18" t="n">
        <v>4</v>
      </c>
      <c r="AF31" s="18" t="n">
        <v>5</v>
      </c>
      <c r="AG31" s="18" t="n">
        <v>4</v>
      </c>
      <c r="AH31" s="18" t="n">
        <v>5</v>
      </c>
      <c r="AI31" s="18" t="n">
        <v>3</v>
      </c>
      <c r="AJ31" s="18" t="n">
        <v>5</v>
      </c>
      <c r="AK31" s="18" t="n">
        <v>7</v>
      </c>
      <c r="AL31" s="18" t="n">
        <v>3</v>
      </c>
      <c r="AM31" s="18" t="n">
        <v>4</v>
      </c>
      <c r="AN31" s="18" t="n">
        <v>5</v>
      </c>
      <c r="AO31" s="18" t="n">
        <v>4</v>
      </c>
      <c r="AP31" s="18" t="n">
        <v>5</v>
      </c>
      <c r="AQ31" s="18" t="n">
        <v>3</v>
      </c>
      <c r="AR31" s="18" t="n">
        <v>4</v>
      </c>
      <c r="AS31" s="18" t="n">
        <v>3</v>
      </c>
      <c r="AT31" s="8">
        <f>SUM(AB31:AS31)</f>
        <v/>
      </c>
      <c r="AU31" s="8">
        <f>AU10</f>
        <v/>
      </c>
      <c r="AV31" s="8">
        <f>AT31-AU31</f>
        <v/>
      </c>
      <c r="AW31" s="8">
        <f>MAX(0,25-AV31)*1.0</f>
        <v/>
      </c>
      <c r="AX31" s="19">
        <f>AA31+AW31</f>
        <v/>
      </c>
    </row>
    <row r="32">
      <c r="A32" s="8" t="n">
        <v>21</v>
      </c>
      <c r="B32" t="inlineStr">
        <is>
          <t>Diogo Sequeira</t>
        </is>
      </c>
      <c r="C32" s="8" t="inlineStr">
        <is>
          <t>56654</t>
        </is>
      </c>
      <c r="D32" t="inlineStr">
        <is>
          <t>Quinta do Peru</t>
        </is>
      </c>
      <c r="E32" s="8" t="n">
        <v>16.4</v>
      </c>
      <c r="F32" s="18" t="n">
        <v>5</v>
      </c>
      <c r="G32" s="18" t="n">
        <v>5</v>
      </c>
      <c r="H32" s="18" t="n">
        <v>3</v>
      </c>
      <c r="I32" s="18" t="n">
        <v>5</v>
      </c>
      <c r="J32" s="18" t="n">
        <v>8</v>
      </c>
      <c r="K32" s="18" t="n">
        <v>6</v>
      </c>
      <c r="L32" s="18" t="n">
        <v>7</v>
      </c>
      <c r="M32" s="18" t="n">
        <v>4</v>
      </c>
      <c r="N32" s="18" t="n">
        <v>5</v>
      </c>
      <c r="O32" s="18" t="n">
        <v>5</v>
      </c>
      <c r="P32" s="18" t="n">
        <v>4</v>
      </c>
      <c r="Q32" s="18" t="n">
        <v>4</v>
      </c>
      <c r="R32" s="18" t="n">
        <v>5</v>
      </c>
      <c r="S32" s="18" t="n">
        <v>4</v>
      </c>
      <c r="T32" s="18" t="n">
        <v>4</v>
      </c>
      <c r="U32" s="18" t="n">
        <v>6</v>
      </c>
      <c r="V32" s="18" t="n">
        <v>5</v>
      </c>
      <c r="W32" s="18" t="n">
        <v>5</v>
      </c>
      <c r="X32" s="8">
        <f>SUM(F32:W32)</f>
        <v/>
      </c>
      <c r="Y32" s="8">
        <f>Y10</f>
        <v/>
      </c>
      <c r="Z32" s="8">
        <f>X32-Y32</f>
        <v/>
      </c>
      <c r="AA32" s="8">
        <f>MAX(0,25-Z32)*1.0</f>
        <v/>
      </c>
      <c r="AB32" s="18" t="n">
        <v>5</v>
      </c>
      <c r="AC32" s="18" t="n">
        <v>5</v>
      </c>
      <c r="AD32" s="18" t="n">
        <v>3</v>
      </c>
      <c r="AE32" s="18" t="n">
        <v>4</v>
      </c>
      <c r="AF32" s="18" t="n">
        <v>6</v>
      </c>
      <c r="AG32" s="18" t="n">
        <v>4</v>
      </c>
      <c r="AH32" s="18" t="n">
        <v>6</v>
      </c>
      <c r="AI32" s="18" t="n">
        <v>4</v>
      </c>
      <c r="AJ32" s="18" t="n">
        <v>6</v>
      </c>
      <c r="AK32" s="18" t="n">
        <v>5</v>
      </c>
      <c r="AL32" s="18" t="n">
        <v>3</v>
      </c>
      <c r="AM32" s="18" t="n">
        <v>4</v>
      </c>
      <c r="AN32" s="18" t="n">
        <v>6</v>
      </c>
      <c r="AO32" s="18" t="n">
        <v>4</v>
      </c>
      <c r="AP32" s="18" t="n">
        <v>4</v>
      </c>
      <c r="AQ32" s="18" t="n">
        <v>4</v>
      </c>
      <c r="AR32" s="18" t="n">
        <v>4</v>
      </c>
      <c r="AS32" s="18" t="n">
        <v>5</v>
      </c>
      <c r="AT32" s="8">
        <f>SUM(AB32:AS32)</f>
        <v/>
      </c>
      <c r="AU32" s="8">
        <f>AU10</f>
        <v/>
      </c>
      <c r="AV32" s="8">
        <f>AT32-AU32</f>
        <v/>
      </c>
      <c r="AW32" s="8">
        <f>MAX(0,25-AV32)*1.0</f>
        <v/>
      </c>
      <c r="AX32" s="19">
        <f>AA32+AW32</f>
        <v/>
      </c>
    </row>
    <row r="33">
      <c r="A33" s="8" t="n">
        <v>22</v>
      </c>
      <c r="B33" t="inlineStr">
        <is>
          <t>William Gao</t>
        </is>
      </c>
      <c r="C33" s="8" t="inlineStr">
        <is>
          <t>51524</t>
        </is>
      </c>
      <c r="D33" t="inlineStr">
        <is>
          <t>Quinta do Peru</t>
        </is>
      </c>
      <c r="E33" s="8" t="n">
        <v>14.5</v>
      </c>
      <c r="F33" s="18" t="n">
        <v>4</v>
      </c>
      <c r="G33" s="18" t="n">
        <v>6</v>
      </c>
      <c r="H33" s="18" t="n">
        <v>4</v>
      </c>
      <c r="I33" s="18" t="n">
        <v>5</v>
      </c>
      <c r="J33" s="18" t="n">
        <v>7</v>
      </c>
      <c r="K33" s="18" t="n">
        <v>4</v>
      </c>
      <c r="L33" s="18" t="n">
        <v>6</v>
      </c>
      <c r="M33" s="18" t="n">
        <v>6</v>
      </c>
      <c r="N33" s="18" t="n">
        <v>5</v>
      </c>
      <c r="O33" s="18" t="n">
        <v>6</v>
      </c>
      <c r="P33" s="18" t="n">
        <v>4</v>
      </c>
      <c r="Q33" s="18" t="n">
        <v>6</v>
      </c>
      <c r="R33" s="18" t="n">
        <v>7</v>
      </c>
      <c r="S33" s="18" t="n">
        <v>6</v>
      </c>
      <c r="T33" s="18" t="n">
        <v>5</v>
      </c>
      <c r="U33" s="18" t="n">
        <v>4</v>
      </c>
      <c r="V33" s="18" t="n">
        <v>4</v>
      </c>
      <c r="W33" s="18" t="n">
        <v>5</v>
      </c>
      <c r="X33" s="8">
        <f>SUM(F33:W33)</f>
        <v/>
      </c>
      <c r="Y33" s="8">
        <f>Y10</f>
        <v/>
      </c>
      <c r="Z33" s="8">
        <f>X33-Y33</f>
        <v/>
      </c>
      <c r="AA33" s="8">
        <f>MAX(0,25-Z33)*1.0</f>
        <v/>
      </c>
      <c r="AB33" s="18" t="n">
        <v>7</v>
      </c>
      <c r="AC33" s="18" t="n">
        <v>4</v>
      </c>
      <c r="AD33" s="18" t="n">
        <v>3</v>
      </c>
      <c r="AE33" s="18" t="n">
        <v>5</v>
      </c>
      <c r="AF33" s="18" t="n">
        <v>7</v>
      </c>
      <c r="AG33" s="18" t="n">
        <v>6</v>
      </c>
      <c r="AH33" s="18" t="n">
        <v>5</v>
      </c>
      <c r="AI33" s="18" t="n">
        <v>4</v>
      </c>
      <c r="AJ33" s="18" t="n">
        <v>5</v>
      </c>
      <c r="AK33" s="18" t="n">
        <v>7</v>
      </c>
      <c r="AL33" s="18" t="n">
        <v>3</v>
      </c>
      <c r="AM33" s="18" t="n">
        <v>4</v>
      </c>
      <c r="AN33" s="18" t="n">
        <v>6</v>
      </c>
      <c r="AO33" s="18" t="n">
        <v>5</v>
      </c>
      <c r="AP33" s="18" t="n">
        <v>5</v>
      </c>
      <c r="AQ33" s="18" t="n">
        <v>5</v>
      </c>
      <c r="AR33" s="18" t="n">
        <v>4</v>
      </c>
      <c r="AS33" s="18" t="n">
        <v>6</v>
      </c>
      <c r="AT33" s="8">
        <f>SUM(AB33:AS33)</f>
        <v/>
      </c>
      <c r="AU33" s="8">
        <f>AU10</f>
        <v/>
      </c>
      <c r="AV33" s="8">
        <f>AT33-AU33</f>
        <v/>
      </c>
      <c r="AW33" s="8">
        <f>MAX(0,25-AV33)*1.0</f>
        <v/>
      </c>
      <c r="AX33" s="19">
        <f>AA33+AW33</f>
        <v/>
      </c>
    </row>
    <row r="34">
      <c r="A34" s="8" t="n">
        <v>23</v>
      </c>
      <c r="B34" t="inlineStr">
        <is>
          <t>Tomás Lima Pinto</t>
        </is>
      </c>
      <c r="C34" s="8" t="inlineStr">
        <is>
          <t>46037</t>
        </is>
      </c>
      <c r="D34" t="inlineStr">
        <is>
          <t>Vilamoura, C. G</t>
        </is>
      </c>
      <c r="E34" s="8" t="n">
        <v>14.8</v>
      </c>
      <c r="F34" s="18" t="n">
        <v>6</v>
      </c>
      <c r="G34" s="18" t="n">
        <v>4</v>
      </c>
      <c r="H34" s="18" t="n">
        <v>4</v>
      </c>
      <c r="I34" s="18" t="n">
        <v>5</v>
      </c>
      <c r="J34" s="18" t="n">
        <v>6</v>
      </c>
      <c r="K34" s="18" t="n">
        <v>5</v>
      </c>
      <c r="L34" s="18" t="n">
        <v>4</v>
      </c>
      <c r="M34" s="18" t="n">
        <v>4</v>
      </c>
      <c r="N34" s="18" t="n">
        <v>10</v>
      </c>
      <c r="O34" s="18" t="n">
        <v>7</v>
      </c>
      <c r="P34" s="18" t="n">
        <v>4</v>
      </c>
      <c r="Q34" s="18" t="n">
        <v>4</v>
      </c>
      <c r="R34" s="18" t="n">
        <v>7</v>
      </c>
      <c r="S34" s="18" t="n">
        <v>6</v>
      </c>
      <c r="T34" s="18" t="n">
        <v>4</v>
      </c>
      <c r="U34" s="18" t="n">
        <v>4</v>
      </c>
      <c r="V34" s="18" t="n">
        <v>4</v>
      </c>
      <c r="W34" s="18" t="n">
        <v>7</v>
      </c>
      <c r="X34" s="8">
        <f>SUM(F34:W34)</f>
        <v/>
      </c>
      <c r="Y34" s="8">
        <f>Y10</f>
        <v/>
      </c>
      <c r="Z34" s="8">
        <f>X34-Y34</f>
        <v/>
      </c>
      <c r="AA34" s="8">
        <f>MAX(0,25-Z34)*1.0</f>
        <v/>
      </c>
      <c r="AB34" s="18" t="n">
        <v>6</v>
      </c>
      <c r="AC34" s="18" t="n">
        <v>4</v>
      </c>
      <c r="AD34" s="18" t="n">
        <v>4</v>
      </c>
      <c r="AE34" s="18" t="n">
        <v>5</v>
      </c>
      <c r="AF34" s="18" t="n">
        <v>5</v>
      </c>
      <c r="AG34" s="18" t="n">
        <v>4</v>
      </c>
      <c r="AH34" s="18" t="n">
        <v>5</v>
      </c>
      <c r="AI34" s="18" t="n">
        <v>4</v>
      </c>
      <c r="AJ34" s="18" t="n">
        <v>5</v>
      </c>
      <c r="AK34" s="18" t="n">
        <v>5</v>
      </c>
      <c r="AL34" s="18" t="n">
        <v>3</v>
      </c>
      <c r="AM34" s="18" t="n">
        <v>3</v>
      </c>
      <c r="AN34" s="18" t="n">
        <v>5</v>
      </c>
      <c r="AO34" s="18" t="n">
        <v>5</v>
      </c>
      <c r="AP34" s="18" t="n">
        <v>5</v>
      </c>
      <c r="AQ34" s="18" t="n">
        <v>4</v>
      </c>
      <c r="AR34" s="18" t="n">
        <v>3</v>
      </c>
      <c r="AS34" s="18" t="n">
        <v>5</v>
      </c>
      <c r="AT34" s="8">
        <f>SUM(AB34:AS34)</f>
        <v/>
      </c>
      <c r="AU34" s="8">
        <f>AU10</f>
        <v/>
      </c>
      <c r="AV34" s="8">
        <f>AT34-AU34</f>
        <v/>
      </c>
      <c r="AW34" s="8">
        <f>MAX(0,25-AV34)*1.0</f>
        <v/>
      </c>
      <c r="AX34" s="19">
        <f>AA34+AW34</f>
        <v/>
      </c>
    </row>
    <row r="35">
      <c r="A35" s="8" t="inlineStr">
        <is>
          <t>ND</t>
        </is>
      </c>
      <c r="B35" t="inlineStr">
        <is>
          <t>Martim Moreira</t>
        </is>
      </c>
      <c r="C35" s="8" t="inlineStr">
        <is>
          <t>42985</t>
        </is>
      </c>
      <c r="D35" t="inlineStr">
        <is>
          <t>Belas</t>
        </is>
      </c>
      <c r="E35" s="8" t="n">
        <v>8.300000000000001</v>
      </c>
      <c r="AA35" s="8" t="n">
        <v>0</v>
      </c>
      <c r="AW35" s="8" t="n">
        <v>0</v>
      </c>
      <c r="AX35" s="19">
        <f>AA35+AW35</f>
        <v/>
      </c>
    </row>
  </sheetData>
  <mergeCells count="1">
    <mergeCell ref="A1:H1"/>
  </mergeCells>
  <conditionalFormatting sqref="F12:F35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35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35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35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35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35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35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35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35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35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35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35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35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35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35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35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35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35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35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35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35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35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35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35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35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35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35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35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35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35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35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35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35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35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35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35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TOUR Vale Pisão</t>
        </is>
      </c>
    </row>
    <row r="2">
      <c r="A2" s="10" t="inlineStr">
        <is>
          <t>Data:</t>
        </is>
      </c>
      <c r="B2" t="inlineStr">
        <is>
          <t>2025-08-23</t>
        </is>
      </c>
    </row>
    <row r="3">
      <c r="A3" s="10" t="inlineStr">
        <is>
          <t>Campo:</t>
        </is>
      </c>
      <c r="B3" t="inlineStr">
        <is>
          <t>Vale Pisão</t>
        </is>
      </c>
    </row>
    <row r="4">
      <c r="A4" s="10" t="inlineStr">
        <is>
          <t>ccode/tcode:</t>
        </is>
      </c>
      <c r="B4" t="inlineStr">
        <is>
          <t>125/10370+10371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https://scoring.datagolf.pt/pt/Classifications.aspx?ccode=125&amp;tcode=10370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Nota:</t>
        </is>
      </c>
      <c r="B7" s="12" t="inlineStr">
        <is>
          <t>Dia 1 (tcode 10370) + Dia 2 (tcode 10371) — 1 torneio só, 2 rondas. Foi registado pela FPG como 2 tcodes separados, mas a comissão técnica PJA conta como 1 torneio único.</t>
        </is>
      </c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5</v>
      </c>
      <c r="G10" s="15" t="n">
        <v>4</v>
      </c>
      <c r="H10" s="15" t="n">
        <v>4</v>
      </c>
      <c r="I10" s="15" t="n">
        <v>3</v>
      </c>
      <c r="J10" s="15" t="n">
        <v>5</v>
      </c>
      <c r="K10" s="15" t="n">
        <v>4</v>
      </c>
      <c r="L10" s="15" t="n">
        <v>3</v>
      </c>
      <c r="M10" s="15" t="n">
        <v>5</v>
      </c>
      <c r="N10" s="15" t="n">
        <v>4</v>
      </c>
      <c r="O10" s="15" t="n">
        <v>5</v>
      </c>
      <c r="P10" s="15" t="n">
        <v>4</v>
      </c>
      <c r="Q10" s="15" t="n">
        <v>4</v>
      </c>
      <c r="R10" s="15" t="n">
        <v>3</v>
      </c>
      <c r="S10" s="15" t="n">
        <v>5</v>
      </c>
      <c r="T10" s="15" t="n">
        <v>4</v>
      </c>
      <c r="U10" s="15" t="n">
        <v>3</v>
      </c>
      <c r="V10" s="15" t="n">
        <v>5</v>
      </c>
      <c r="W10" s="15" t="n">
        <v>4</v>
      </c>
      <c r="Y10" s="16">
        <f>SUM(F10:W10)</f>
        <v/>
      </c>
      <c r="AB10" s="15" t="n">
        <v>5</v>
      </c>
      <c r="AC10" s="15" t="n">
        <v>4</v>
      </c>
      <c r="AD10" s="15" t="n">
        <v>4</v>
      </c>
      <c r="AE10" s="15" t="n">
        <v>3</v>
      </c>
      <c r="AF10" s="15" t="n">
        <v>5</v>
      </c>
      <c r="AG10" s="15" t="n">
        <v>4</v>
      </c>
      <c r="AH10" s="15" t="n">
        <v>3</v>
      </c>
      <c r="AI10" s="15" t="n">
        <v>5</v>
      </c>
      <c r="AJ10" s="15" t="n">
        <v>4</v>
      </c>
      <c r="AK10" s="15" t="n">
        <v>5</v>
      </c>
      <c r="AL10" s="15" t="n">
        <v>4</v>
      </c>
      <c r="AM10" s="15" t="n">
        <v>4</v>
      </c>
      <c r="AN10" s="15" t="n">
        <v>3</v>
      </c>
      <c r="AO10" s="15" t="n">
        <v>5</v>
      </c>
      <c r="AP10" s="15" t="n">
        <v>4</v>
      </c>
      <c r="AQ10" s="15" t="n">
        <v>3</v>
      </c>
      <c r="AR10" s="15" t="n">
        <v>5</v>
      </c>
      <c r="AS10" s="15" t="n">
        <v>4</v>
      </c>
      <c r="AU10" s="16">
        <f>SUM(AB10:AS10)</f>
        <v/>
      </c>
    </row>
    <row r="11">
      <c r="A11" s="14" t="inlineStr">
        <is>
          <t>—SI—</t>
        </is>
      </c>
      <c r="F11" s="17" t="n">
        <v>1</v>
      </c>
      <c r="G11" s="17" t="n">
        <v>9</v>
      </c>
      <c r="H11" s="17" t="n">
        <v>13</v>
      </c>
      <c r="I11" s="17" t="n">
        <v>11</v>
      </c>
      <c r="J11" s="17" t="n">
        <v>7</v>
      </c>
      <c r="K11" s="17" t="n">
        <v>15</v>
      </c>
      <c r="L11" s="17" t="n">
        <v>17</v>
      </c>
      <c r="M11" s="17" t="n">
        <v>5</v>
      </c>
      <c r="N11" s="17" t="n">
        <v>3</v>
      </c>
      <c r="O11" s="17" t="n">
        <v>2</v>
      </c>
      <c r="P11" s="17" t="n">
        <v>10</v>
      </c>
      <c r="Q11" s="17" t="n">
        <v>14</v>
      </c>
      <c r="R11" s="17" t="n">
        <v>12</v>
      </c>
      <c r="S11" s="17" t="n">
        <v>8</v>
      </c>
      <c r="T11" s="17" t="n">
        <v>16</v>
      </c>
      <c r="U11" s="17" t="n">
        <v>18</v>
      </c>
      <c r="V11" s="17" t="n">
        <v>6</v>
      </c>
      <c r="W11" s="17" t="n">
        <v>4</v>
      </c>
      <c r="AB11" s="17" t="n">
        <v>1</v>
      </c>
      <c r="AC11" s="17" t="n">
        <v>9</v>
      </c>
      <c r="AD11" s="17" t="n">
        <v>13</v>
      </c>
      <c r="AE11" s="17" t="n">
        <v>11</v>
      </c>
      <c r="AF11" s="17" t="n">
        <v>7</v>
      </c>
      <c r="AG11" s="17" t="n">
        <v>15</v>
      </c>
      <c r="AH11" s="17" t="n">
        <v>17</v>
      </c>
      <c r="AI11" s="17" t="n">
        <v>5</v>
      </c>
      <c r="AJ11" s="17" t="n">
        <v>3</v>
      </c>
      <c r="AK11" s="17" t="n">
        <v>2</v>
      </c>
      <c r="AL11" s="17" t="n">
        <v>10</v>
      </c>
      <c r="AM11" s="17" t="n">
        <v>14</v>
      </c>
      <c r="AN11" s="17" t="n">
        <v>12</v>
      </c>
      <c r="AO11" s="17" t="n">
        <v>8</v>
      </c>
      <c r="AP11" s="17" t="n">
        <v>16</v>
      </c>
      <c r="AQ11" s="17" t="n">
        <v>18</v>
      </c>
      <c r="AR11" s="17" t="n">
        <v>6</v>
      </c>
      <c r="AS11" s="17" t="n">
        <v>4</v>
      </c>
    </row>
    <row r="12">
      <c r="A12" s="8" t="n">
        <v>1</v>
      </c>
      <c r="B12" t="inlineStr">
        <is>
          <t>Ricardo Castro Ferreira</t>
        </is>
      </c>
      <c r="C12" s="8" t="inlineStr">
        <is>
          <t>49085</t>
        </is>
      </c>
      <c r="D12" t="inlineStr">
        <is>
          <t>Estoril</t>
        </is>
      </c>
      <c r="E12" s="8" t="n">
        <v>9</v>
      </c>
      <c r="F12" s="18" t="n">
        <v>4</v>
      </c>
      <c r="G12" s="18" t="n">
        <v>5</v>
      </c>
      <c r="H12" s="18" t="n">
        <v>4</v>
      </c>
      <c r="I12" s="18" t="n">
        <v>3</v>
      </c>
      <c r="J12" s="18" t="n">
        <v>4</v>
      </c>
      <c r="K12" s="18" t="n">
        <v>4</v>
      </c>
      <c r="L12" s="18" t="n">
        <v>3</v>
      </c>
      <c r="M12" s="18" t="n">
        <v>5</v>
      </c>
      <c r="N12" s="18" t="n">
        <v>5</v>
      </c>
      <c r="O12" s="18" t="n">
        <v>5</v>
      </c>
      <c r="P12" s="18" t="n">
        <v>4</v>
      </c>
      <c r="Q12" s="18" t="n">
        <v>4</v>
      </c>
      <c r="R12" s="18" t="n">
        <v>4</v>
      </c>
      <c r="S12" s="18" t="n">
        <v>5</v>
      </c>
      <c r="T12" s="18" t="n">
        <v>3</v>
      </c>
      <c r="U12" s="18" t="n">
        <v>2</v>
      </c>
      <c r="V12" s="18" t="n">
        <v>4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7</v>
      </c>
      <c r="AC12" s="18" t="n">
        <v>3</v>
      </c>
      <c r="AD12" s="18" t="n">
        <v>4</v>
      </c>
      <c r="AE12" s="18" t="n">
        <v>2</v>
      </c>
      <c r="AF12" s="18" t="n">
        <v>5</v>
      </c>
      <c r="AG12" s="18" t="n">
        <v>4</v>
      </c>
      <c r="AH12" s="18" t="n">
        <v>2</v>
      </c>
      <c r="AI12" s="18" t="n">
        <v>5</v>
      </c>
      <c r="AJ12" s="18" t="n">
        <v>4</v>
      </c>
      <c r="AK12" s="18" t="n">
        <v>5</v>
      </c>
      <c r="AL12" s="18" t="n">
        <v>5</v>
      </c>
      <c r="AM12" s="18" t="n">
        <v>4</v>
      </c>
      <c r="AN12" s="18" t="n">
        <v>3</v>
      </c>
      <c r="AO12" s="18" t="n">
        <v>4</v>
      </c>
      <c r="AP12" s="18" t="n">
        <v>4</v>
      </c>
      <c r="AQ12" s="18" t="n">
        <v>2</v>
      </c>
      <c r="AR12" s="18" t="n">
        <v>5</v>
      </c>
      <c r="AS12" s="18" t="n">
        <v>5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Guo Ziyang</t>
        </is>
      </c>
      <c r="C13" s="8" t="inlineStr">
        <is>
          <t>57904</t>
        </is>
      </c>
      <c r="D13" t="inlineStr">
        <is>
          <t>Estoril</t>
        </is>
      </c>
      <c r="E13" s="8" t="n">
        <v>12.7</v>
      </c>
      <c r="F13" s="18" t="n">
        <v>5</v>
      </c>
      <c r="G13" s="18" t="n">
        <v>4</v>
      </c>
      <c r="H13" s="18" t="n">
        <v>5</v>
      </c>
      <c r="I13" s="18" t="n">
        <v>2</v>
      </c>
      <c r="J13" s="18" t="n">
        <v>5</v>
      </c>
      <c r="K13" s="18" t="n">
        <v>4</v>
      </c>
      <c r="L13" s="18" t="n">
        <v>4</v>
      </c>
      <c r="M13" s="18" t="n">
        <v>4</v>
      </c>
      <c r="N13" s="18" t="n">
        <v>5</v>
      </c>
      <c r="O13" s="18" t="n">
        <v>5</v>
      </c>
      <c r="P13" s="18" t="n">
        <v>4</v>
      </c>
      <c r="Q13" s="18" t="n">
        <v>5</v>
      </c>
      <c r="R13" s="18" t="n">
        <v>3</v>
      </c>
      <c r="S13" s="18" t="n">
        <v>4</v>
      </c>
      <c r="T13" s="18" t="n">
        <v>5</v>
      </c>
      <c r="U13" s="18" t="n">
        <v>2</v>
      </c>
      <c r="V13" s="18" t="n">
        <v>5</v>
      </c>
      <c r="W13" s="18" t="n">
        <v>4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5</v>
      </c>
      <c r="AC13" s="18" t="n">
        <v>4</v>
      </c>
      <c r="AD13" s="18" t="n">
        <v>4</v>
      </c>
      <c r="AE13" s="18" t="n">
        <v>3</v>
      </c>
      <c r="AF13" s="18" t="n">
        <v>5</v>
      </c>
      <c r="AG13" s="18" t="n">
        <v>4</v>
      </c>
      <c r="AH13" s="18" t="n">
        <v>3</v>
      </c>
      <c r="AI13" s="18" t="n">
        <v>6</v>
      </c>
      <c r="AJ13" s="18" t="n">
        <v>4</v>
      </c>
      <c r="AK13" s="18" t="n">
        <v>7</v>
      </c>
      <c r="AL13" s="18" t="n">
        <v>7</v>
      </c>
      <c r="AM13" s="18" t="n">
        <v>4</v>
      </c>
      <c r="AN13" s="18" t="n">
        <v>2</v>
      </c>
      <c r="AO13" s="18" t="n">
        <v>6</v>
      </c>
      <c r="AP13" s="18" t="n">
        <v>4</v>
      </c>
      <c r="AQ13" s="18" t="n">
        <v>3</v>
      </c>
      <c r="AR13" s="18" t="n">
        <v>5</v>
      </c>
      <c r="AS13" s="18" t="n">
        <v>5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Francisco Carvalho</t>
        </is>
      </c>
      <c r="C14" s="8" t="inlineStr">
        <is>
          <t>52856</t>
        </is>
      </c>
      <c r="D14" t="inlineStr">
        <is>
          <t>Vale Pisão</t>
        </is>
      </c>
      <c r="E14" s="8" t="n">
        <v>11.9</v>
      </c>
      <c r="F14" s="18" t="n">
        <v>5</v>
      </c>
      <c r="G14" s="18" t="n">
        <v>4</v>
      </c>
      <c r="H14" s="18" t="n">
        <v>4</v>
      </c>
      <c r="I14" s="18" t="n">
        <v>4</v>
      </c>
      <c r="J14" s="18" t="n">
        <v>6</v>
      </c>
      <c r="K14" s="18" t="n">
        <v>4</v>
      </c>
      <c r="L14" s="18" t="n">
        <v>3</v>
      </c>
      <c r="M14" s="18" t="n">
        <v>5</v>
      </c>
      <c r="N14" s="18" t="n">
        <v>5</v>
      </c>
      <c r="O14" s="18" t="n">
        <v>5</v>
      </c>
      <c r="P14" s="18" t="n">
        <v>4</v>
      </c>
      <c r="Q14" s="18" t="n">
        <v>3</v>
      </c>
      <c r="R14" s="18" t="n">
        <v>3</v>
      </c>
      <c r="S14" s="18" t="n">
        <v>5</v>
      </c>
      <c r="T14" s="18" t="n">
        <v>4</v>
      </c>
      <c r="U14" s="18" t="n">
        <v>3</v>
      </c>
      <c r="V14" s="18" t="n">
        <v>5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5</v>
      </c>
      <c r="AC14" s="18" t="n">
        <v>4</v>
      </c>
      <c r="AD14" s="18" t="n">
        <v>3</v>
      </c>
      <c r="AE14" s="18" t="n">
        <v>3</v>
      </c>
      <c r="AF14" s="18" t="n">
        <v>5</v>
      </c>
      <c r="AG14" s="18" t="n">
        <v>3</v>
      </c>
      <c r="AH14" s="18" t="n">
        <v>4</v>
      </c>
      <c r="AI14" s="18" t="n">
        <v>5</v>
      </c>
      <c r="AJ14" s="18" t="n">
        <v>5</v>
      </c>
      <c r="AK14" s="18" t="n">
        <v>5</v>
      </c>
      <c r="AL14" s="18" t="n">
        <v>4</v>
      </c>
      <c r="AM14" s="18" t="n">
        <v>4</v>
      </c>
      <c r="AN14" s="18" t="n">
        <v>2</v>
      </c>
      <c r="AO14" s="18" t="n">
        <v>5</v>
      </c>
      <c r="AP14" s="18" t="n">
        <v>4</v>
      </c>
      <c r="AQ14" s="18" t="n">
        <v>3</v>
      </c>
      <c r="AR14" s="18" t="n">
        <v>5</v>
      </c>
      <c r="AS14" s="18" t="n">
        <v>5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Afonso de Sousa Pinto</t>
        </is>
      </c>
      <c r="C15" s="8" t="inlineStr">
        <is>
          <t>46480</t>
        </is>
      </c>
      <c r="D15" t="inlineStr">
        <is>
          <t>Oporto</t>
        </is>
      </c>
      <c r="E15" s="8" t="n">
        <v>12</v>
      </c>
      <c r="F15" s="18" t="n">
        <v>5</v>
      </c>
      <c r="G15" s="18" t="n">
        <v>4</v>
      </c>
      <c r="H15" s="18" t="n">
        <v>5</v>
      </c>
      <c r="I15" s="18" t="n">
        <v>4</v>
      </c>
      <c r="J15" s="18" t="n">
        <v>5</v>
      </c>
      <c r="K15" s="18" t="n">
        <v>4</v>
      </c>
      <c r="L15" s="18" t="n">
        <v>3</v>
      </c>
      <c r="M15" s="18" t="n">
        <v>5</v>
      </c>
      <c r="N15" s="18" t="n">
        <v>5</v>
      </c>
      <c r="O15" s="18" t="n">
        <v>5</v>
      </c>
      <c r="P15" s="18" t="n">
        <v>4</v>
      </c>
      <c r="Q15" s="18" t="n">
        <v>4</v>
      </c>
      <c r="R15" s="18" t="n">
        <v>3</v>
      </c>
      <c r="S15" s="18" t="n">
        <v>5</v>
      </c>
      <c r="T15" s="18" t="n">
        <v>4</v>
      </c>
      <c r="U15" s="18" t="n">
        <v>3</v>
      </c>
      <c r="V15" s="18" t="n">
        <v>5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7</v>
      </c>
      <c r="AC15" s="18" t="n">
        <v>3</v>
      </c>
      <c r="AD15" s="18" t="n">
        <v>4</v>
      </c>
      <c r="AE15" s="18" t="n">
        <v>3</v>
      </c>
      <c r="AF15" s="18" t="n">
        <v>5</v>
      </c>
      <c r="AG15" s="18" t="n">
        <v>4</v>
      </c>
      <c r="AH15" s="18" t="n">
        <v>2</v>
      </c>
      <c r="AI15" s="18" t="n">
        <v>5</v>
      </c>
      <c r="AJ15" s="18" t="n">
        <v>4</v>
      </c>
      <c r="AK15" s="18" t="n">
        <v>5</v>
      </c>
      <c r="AL15" s="18" t="n">
        <v>5</v>
      </c>
      <c r="AM15" s="18" t="n">
        <v>4</v>
      </c>
      <c r="AN15" s="18" t="n">
        <v>3</v>
      </c>
      <c r="AO15" s="18" t="n">
        <v>4</v>
      </c>
      <c r="AP15" s="18" t="n">
        <v>4</v>
      </c>
      <c r="AQ15" s="18" t="n">
        <v>3</v>
      </c>
      <c r="AR15" s="18" t="n">
        <v>5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4</v>
      </c>
      <c r="B16" t="inlineStr">
        <is>
          <t>Tomás Rente</t>
        </is>
      </c>
      <c r="C16" s="8" t="inlineStr">
        <is>
          <t>46311</t>
        </is>
      </c>
      <c r="D16" t="inlineStr">
        <is>
          <t>Miramar</t>
        </is>
      </c>
      <c r="E16" s="8" t="n">
        <v>9.6</v>
      </c>
      <c r="F16" s="18" t="n">
        <v>5</v>
      </c>
      <c r="G16" s="18" t="n">
        <v>8</v>
      </c>
      <c r="H16" s="18" t="n">
        <v>4</v>
      </c>
      <c r="I16" s="18" t="n">
        <v>3</v>
      </c>
      <c r="J16" s="18" t="n">
        <v>7</v>
      </c>
      <c r="K16" s="18" t="n">
        <v>4</v>
      </c>
      <c r="L16" s="18" t="n">
        <v>4</v>
      </c>
      <c r="M16" s="18" t="n">
        <v>7</v>
      </c>
      <c r="N16" s="18" t="n">
        <v>4</v>
      </c>
      <c r="O16" s="18" t="n">
        <v>4</v>
      </c>
      <c r="P16" s="18" t="n">
        <v>4</v>
      </c>
      <c r="Q16" s="18" t="n">
        <v>5</v>
      </c>
      <c r="R16" s="18" t="n">
        <v>3</v>
      </c>
      <c r="S16" s="18" t="n">
        <v>4</v>
      </c>
      <c r="T16" s="18" t="n">
        <v>4</v>
      </c>
      <c r="U16" s="18" t="n">
        <v>3</v>
      </c>
      <c r="V16" s="18" t="n">
        <v>5</v>
      </c>
      <c r="W16" s="18" t="n">
        <v>4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W16" s="8" t="n">
        <v>0</v>
      </c>
      <c r="AX16" s="19">
        <f>AA16+AW16</f>
        <v/>
      </c>
    </row>
    <row r="17">
      <c r="A17" s="8" t="n">
        <v>5</v>
      </c>
      <c r="B17" t="inlineStr">
        <is>
          <t>Valentin Bonnet</t>
        </is>
      </c>
      <c r="C17" s="8" t="inlineStr"/>
      <c r="D17" t="inlineStr">
        <is>
          <t>Internacional</t>
        </is>
      </c>
      <c r="E17" s="8" t="n">
        <v>15.8</v>
      </c>
      <c r="F17" s="18" t="n">
        <v>5</v>
      </c>
      <c r="G17" s="18" t="n">
        <v>4</v>
      </c>
      <c r="H17" s="18" t="n">
        <v>4</v>
      </c>
      <c r="I17" s="18" t="n">
        <v>3</v>
      </c>
      <c r="J17" s="18" t="n">
        <v>5</v>
      </c>
      <c r="K17" s="18" t="n">
        <v>4</v>
      </c>
      <c r="L17" s="18" t="n">
        <v>3</v>
      </c>
      <c r="M17" s="18" t="n">
        <v>7</v>
      </c>
      <c r="N17" s="18" t="n">
        <v>6</v>
      </c>
      <c r="O17" s="18" t="n">
        <v>5</v>
      </c>
      <c r="P17" s="18" t="n">
        <v>5</v>
      </c>
      <c r="Q17" s="18" t="n">
        <v>5</v>
      </c>
      <c r="R17" s="18" t="n">
        <v>2</v>
      </c>
      <c r="S17" s="18" t="n">
        <v>7</v>
      </c>
      <c r="T17" s="18" t="n">
        <v>5</v>
      </c>
      <c r="U17" s="18" t="n">
        <v>3</v>
      </c>
      <c r="V17" s="18" t="n">
        <v>5</v>
      </c>
      <c r="W17" s="18" t="n">
        <v>6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7</v>
      </c>
      <c r="AC17" s="18" t="n">
        <v>4</v>
      </c>
      <c r="AD17" s="18" t="n">
        <v>5</v>
      </c>
      <c r="AE17" s="18" t="n">
        <v>3</v>
      </c>
      <c r="AF17" s="18" t="n">
        <v>6</v>
      </c>
      <c r="AG17" s="18" t="n">
        <v>3</v>
      </c>
      <c r="AH17" s="18" t="n">
        <v>3</v>
      </c>
      <c r="AI17" s="18" t="n">
        <v>7</v>
      </c>
      <c r="AJ17" s="18" t="n">
        <v>4</v>
      </c>
      <c r="AK17" s="18" t="n">
        <v>6</v>
      </c>
      <c r="AL17" s="18" t="n">
        <v>5</v>
      </c>
      <c r="AM17" s="18" t="n">
        <v>4</v>
      </c>
      <c r="AN17" s="18" t="n">
        <v>3</v>
      </c>
      <c r="AO17" s="18" t="n">
        <v>8</v>
      </c>
      <c r="AP17" s="18" t="n">
        <v>4</v>
      </c>
      <c r="AQ17" s="18" t="n">
        <v>4</v>
      </c>
      <c r="AR17" s="18" t="n">
        <v>5</v>
      </c>
      <c r="AS17" s="18" t="n">
        <v>6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6</v>
      </c>
      <c r="B18" t="inlineStr">
        <is>
          <t>Manuel Goulartt Medeiros</t>
        </is>
      </c>
      <c r="C18" s="8" t="inlineStr">
        <is>
          <t>52884</t>
        </is>
      </c>
      <c r="D18" t="inlineStr">
        <is>
          <t>Santo da Serra</t>
        </is>
      </c>
      <c r="E18" s="8" t="n">
        <v>9.9</v>
      </c>
      <c r="F18" s="18" t="n">
        <v>6</v>
      </c>
      <c r="G18" s="18" t="n">
        <v>4</v>
      </c>
      <c r="H18" s="18" t="n">
        <v>4</v>
      </c>
      <c r="I18" s="18" t="n">
        <v>3</v>
      </c>
      <c r="J18" s="18" t="n">
        <v>6</v>
      </c>
      <c r="K18" s="18" t="n">
        <v>4</v>
      </c>
      <c r="L18" s="18" t="n">
        <v>3</v>
      </c>
      <c r="M18" s="18" t="n">
        <v>6</v>
      </c>
      <c r="N18" s="18" t="n">
        <v>6</v>
      </c>
      <c r="O18" s="18" t="n">
        <v>5</v>
      </c>
      <c r="P18" s="18" t="n">
        <v>4</v>
      </c>
      <c r="Q18" s="18" t="n">
        <v>5</v>
      </c>
      <c r="R18" s="18" t="n">
        <v>4</v>
      </c>
      <c r="S18" s="18" t="n">
        <v>6</v>
      </c>
      <c r="T18" s="18" t="n">
        <v>4</v>
      </c>
      <c r="U18" s="18" t="n">
        <v>4</v>
      </c>
      <c r="V18" s="18" t="n">
        <v>5</v>
      </c>
      <c r="W18" s="18" t="n">
        <v>6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8</v>
      </c>
      <c r="AC18" s="18" t="n">
        <v>5</v>
      </c>
      <c r="AD18" s="18" t="n">
        <v>4</v>
      </c>
      <c r="AE18" s="18" t="n">
        <v>3</v>
      </c>
      <c r="AF18" s="18" t="n">
        <v>5</v>
      </c>
      <c r="AG18" s="18" t="n">
        <v>4</v>
      </c>
      <c r="AH18" s="18" t="n">
        <v>3</v>
      </c>
      <c r="AI18" s="18" t="n">
        <v>5</v>
      </c>
      <c r="AJ18" s="18" t="n">
        <v>5</v>
      </c>
      <c r="AK18" s="18" t="n">
        <v>6</v>
      </c>
      <c r="AL18" s="18" t="n">
        <v>4</v>
      </c>
      <c r="AM18" s="18" t="n">
        <v>4</v>
      </c>
      <c r="AN18" s="18" t="n">
        <v>4</v>
      </c>
      <c r="AO18" s="18" t="n">
        <v>6</v>
      </c>
      <c r="AP18" s="18" t="n">
        <v>4</v>
      </c>
      <c r="AQ18" s="18" t="n">
        <v>4</v>
      </c>
      <c r="AR18" s="18" t="n">
        <v>5</v>
      </c>
      <c r="AS18" s="18" t="n">
        <v>6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7</v>
      </c>
      <c r="B19" t="inlineStr">
        <is>
          <t>Marc Costa</t>
        </is>
      </c>
      <c r="C19" s="8" t="inlineStr">
        <is>
          <t>46308</t>
        </is>
      </c>
      <c r="D19" t="inlineStr">
        <is>
          <t>Citynorte</t>
        </is>
      </c>
      <c r="E19" s="8" t="n">
        <v>12.3</v>
      </c>
      <c r="F19" s="18" t="n">
        <v>5</v>
      </c>
      <c r="G19" s="18" t="n">
        <v>5</v>
      </c>
      <c r="H19" s="18" t="n">
        <v>4</v>
      </c>
      <c r="I19" s="18" t="n">
        <v>3</v>
      </c>
      <c r="J19" s="18" t="n">
        <v>5</v>
      </c>
      <c r="K19" s="18" t="n">
        <v>6</v>
      </c>
      <c r="L19" s="18" t="n">
        <v>3</v>
      </c>
      <c r="M19" s="18" t="n">
        <v>8</v>
      </c>
      <c r="N19" s="18" t="n">
        <v>5</v>
      </c>
      <c r="O19" s="18" t="n">
        <v>7</v>
      </c>
      <c r="P19" s="18" t="n">
        <v>7</v>
      </c>
      <c r="Q19" s="18" t="n">
        <v>4</v>
      </c>
      <c r="R19" s="18" t="n">
        <v>3</v>
      </c>
      <c r="S19" s="18" t="n">
        <v>8</v>
      </c>
      <c r="T19" s="18" t="n">
        <v>8</v>
      </c>
      <c r="U19" s="18" t="n">
        <v>4</v>
      </c>
      <c r="V19" s="18" t="n">
        <v>9</v>
      </c>
      <c r="W19" s="18" t="n">
        <v>5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6</v>
      </c>
      <c r="AC19" s="18" t="n">
        <v>7</v>
      </c>
      <c r="AD19" s="18" t="n">
        <v>4</v>
      </c>
      <c r="AE19" s="18" t="n">
        <v>3</v>
      </c>
      <c r="AF19" s="18" t="n">
        <v>5</v>
      </c>
      <c r="AG19" s="18" t="n">
        <v>4</v>
      </c>
      <c r="AH19" s="18" t="n">
        <v>3</v>
      </c>
      <c r="AI19" s="18" t="n">
        <v>7</v>
      </c>
      <c r="AJ19" s="18" t="n">
        <v>5</v>
      </c>
      <c r="AK19" s="18" t="n">
        <v>7</v>
      </c>
      <c r="AL19" s="18" t="n">
        <v>5</v>
      </c>
      <c r="AM19" s="18" t="n">
        <v>4</v>
      </c>
      <c r="AN19" s="18" t="n">
        <v>3</v>
      </c>
      <c r="AO19" s="18" t="n">
        <v>5</v>
      </c>
      <c r="AP19" s="18" t="n">
        <v>4</v>
      </c>
      <c r="AQ19" s="18" t="n">
        <v>2</v>
      </c>
      <c r="AR19" s="18" t="n">
        <v>7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</sheetData>
  <mergeCells count="1">
    <mergeCell ref="A1:H1"/>
  </mergeCells>
  <conditionalFormatting sqref="F12:F19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19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19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19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19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19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19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19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19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19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19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19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19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19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19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19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19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19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19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19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19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19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19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19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19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19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19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19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19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19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19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19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19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19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19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19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Race to Dunas</t>
        </is>
      </c>
    </row>
    <row r="2">
      <c r="A2" s="10" t="inlineStr">
        <is>
          <t>Data:</t>
        </is>
      </c>
      <c r="B2" t="inlineStr">
        <is>
          <t>2025-09-12</t>
        </is>
      </c>
    </row>
    <row r="3">
      <c r="A3" s="10" t="inlineStr">
        <is>
          <t>Campo:</t>
        </is>
      </c>
      <c r="B3" t="inlineStr">
        <is>
          <t>Comporta — Torre Golf</t>
        </is>
      </c>
    </row>
    <row r="4">
      <c r="A4" s="10" t="inlineStr">
        <is>
          <t>ccode/tcode:</t>
        </is>
      </c>
      <c r="B4" t="inlineStr">
        <is>
          <t>192/10013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https://scoring.datagolf.pt/pt/Classifications.aspx?ccode=192&amp;tcode=10013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Nota:</t>
        </is>
      </c>
      <c r="B7" s="12" t="inlineStr">
        <is>
          <t>NÃO é a Grande Final — torneio regular ×1.0</t>
        </is>
      </c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5</v>
      </c>
      <c r="H10" s="15" t="n">
        <v>4</v>
      </c>
      <c r="I10" s="15" t="n">
        <v>4</v>
      </c>
      <c r="J10" s="15" t="n">
        <v>3</v>
      </c>
      <c r="K10" s="15" t="n">
        <v>4</v>
      </c>
      <c r="L10" s="15" t="n">
        <v>3</v>
      </c>
      <c r="M10" s="15" t="n">
        <v>4</v>
      </c>
      <c r="N10" s="15" t="n">
        <v>5</v>
      </c>
      <c r="O10" s="15" t="n">
        <v>4</v>
      </c>
      <c r="P10" s="15" t="n">
        <v>5</v>
      </c>
      <c r="Q10" s="15" t="n">
        <v>4</v>
      </c>
      <c r="R10" s="15" t="n">
        <v>3</v>
      </c>
      <c r="S10" s="15" t="n">
        <v>4</v>
      </c>
      <c r="T10" s="15" t="n">
        <v>5</v>
      </c>
      <c r="U10" s="15" t="n">
        <v>4</v>
      </c>
      <c r="V10" s="15" t="n">
        <v>3</v>
      </c>
      <c r="W10" s="15" t="n">
        <v>4</v>
      </c>
      <c r="Y10" s="16">
        <f>SUM(F10:W10)</f>
        <v/>
      </c>
      <c r="AB10" s="15" t="n">
        <v>4</v>
      </c>
      <c r="AC10" s="15" t="n">
        <v>5</v>
      </c>
      <c r="AD10" s="15" t="n">
        <v>4</v>
      </c>
      <c r="AE10" s="15" t="n">
        <v>4</v>
      </c>
      <c r="AF10" s="15" t="n">
        <v>3</v>
      </c>
      <c r="AG10" s="15" t="n">
        <v>4</v>
      </c>
      <c r="AH10" s="15" t="n">
        <v>3</v>
      </c>
      <c r="AI10" s="15" t="n">
        <v>4</v>
      </c>
      <c r="AJ10" s="15" t="n">
        <v>5</v>
      </c>
      <c r="AK10" s="15" t="n">
        <v>4</v>
      </c>
      <c r="AL10" s="15" t="n">
        <v>5</v>
      </c>
      <c r="AM10" s="15" t="n">
        <v>4</v>
      </c>
      <c r="AN10" s="15" t="n">
        <v>3</v>
      </c>
      <c r="AO10" s="15" t="n">
        <v>4</v>
      </c>
      <c r="AP10" s="15" t="n">
        <v>5</v>
      </c>
      <c r="AQ10" s="15" t="n">
        <v>4</v>
      </c>
      <c r="AR10" s="15" t="n">
        <v>3</v>
      </c>
      <c r="AS10" s="15" t="n">
        <v>4</v>
      </c>
      <c r="AU10" s="16">
        <f>SUM(AB10:AS10)</f>
        <v/>
      </c>
    </row>
    <row r="11">
      <c r="A11" s="14" t="inlineStr">
        <is>
          <t>—SI—</t>
        </is>
      </c>
      <c r="F11" s="17" t="n">
        <v>13</v>
      </c>
      <c r="G11" s="17" t="n">
        <v>9</v>
      </c>
      <c r="H11" s="17" t="n">
        <v>5</v>
      </c>
      <c r="I11" s="17" t="n">
        <v>15</v>
      </c>
      <c r="J11" s="17" t="n">
        <v>17</v>
      </c>
      <c r="K11" s="17" t="n">
        <v>1</v>
      </c>
      <c r="L11" s="17" t="n">
        <v>11</v>
      </c>
      <c r="M11" s="17" t="n">
        <v>3</v>
      </c>
      <c r="N11" s="17" t="n">
        <v>7</v>
      </c>
      <c r="O11" s="17" t="n">
        <v>16</v>
      </c>
      <c r="P11" s="17" t="n">
        <v>8</v>
      </c>
      <c r="Q11" s="17" t="n">
        <v>12</v>
      </c>
      <c r="R11" s="17" t="n">
        <v>18</v>
      </c>
      <c r="S11" s="17" t="n">
        <v>4</v>
      </c>
      <c r="T11" s="17" t="n">
        <v>14</v>
      </c>
      <c r="U11" s="17" t="n">
        <v>10</v>
      </c>
      <c r="V11" s="17" t="n">
        <v>6</v>
      </c>
      <c r="W11" s="17" t="n">
        <v>2</v>
      </c>
      <c r="AB11" s="17" t="n">
        <v>13</v>
      </c>
      <c r="AC11" s="17" t="n">
        <v>9</v>
      </c>
      <c r="AD11" s="17" t="n">
        <v>5</v>
      </c>
      <c r="AE11" s="17" t="n">
        <v>15</v>
      </c>
      <c r="AF11" s="17" t="n">
        <v>17</v>
      </c>
      <c r="AG11" s="17" t="n">
        <v>1</v>
      </c>
      <c r="AH11" s="17" t="n">
        <v>11</v>
      </c>
      <c r="AI11" s="17" t="n">
        <v>3</v>
      </c>
      <c r="AJ11" s="17" t="n">
        <v>7</v>
      </c>
      <c r="AK11" s="17" t="n">
        <v>16</v>
      </c>
      <c r="AL11" s="17" t="n">
        <v>8</v>
      </c>
      <c r="AM11" s="17" t="n">
        <v>12</v>
      </c>
      <c r="AN11" s="17" t="n">
        <v>18</v>
      </c>
      <c r="AO11" s="17" t="n">
        <v>4</v>
      </c>
      <c r="AP11" s="17" t="n">
        <v>14</v>
      </c>
      <c r="AQ11" s="17" t="n">
        <v>10</v>
      </c>
      <c r="AR11" s="17" t="n">
        <v>6</v>
      </c>
      <c r="AS11" s="17" t="n">
        <v>2</v>
      </c>
    </row>
    <row r="12">
      <c r="A12" s="8" t="n">
        <v>1</v>
      </c>
      <c r="B12" t="inlineStr">
        <is>
          <t>João Setúbal</t>
        </is>
      </c>
      <c r="C12" s="8" t="inlineStr">
        <is>
          <t>43732</t>
        </is>
      </c>
      <c r="D12" t="inlineStr">
        <is>
          <t>Vilamoura, C. G</t>
        </is>
      </c>
      <c r="E12" s="8" t="n">
        <v>2.7</v>
      </c>
      <c r="F12" s="18" t="n">
        <v>4</v>
      </c>
      <c r="G12" s="18" t="n">
        <v>5</v>
      </c>
      <c r="H12" s="18" t="n">
        <v>5</v>
      </c>
      <c r="I12" s="18" t="n">
        <v>4</v>
      </c>
      <c r="J12" s="18" t="n">
        <v>4</v>
      </c>
      <c r="K12" s="18" t="n">
        <v>4</v>
      </c>
      <c r="L12" s="18" t="n">
        <v>4</v>
      </c>
      <c r="M12" s="18" t="n">
        <v>3</v>
      </c>
      <c r="N12" s="18" t="n">
        <v>4</v>
      </c>
      <c r="O12" s="18" t="n">
        <v>5</v>
      </c>
      <c r="P12" s="18" t="n">
        <v>5</v>
      </c>
      <c r="Q12" s="18" t="n">
        <v>4</v>
      </c>
      <c r="R12" s="18" t="n">
        <v>2</v>
      </c>
      <c r="S12" s="18" t="n">
        <v>4</v>
      </c>
      <c r="T12" s="18" t="n">
        <v>4</v>
      </c>
      <c r="U12" s="18" t="n">
        <v>3</v>
      </c>
      <c r="V12" s="18" t="n">
        <v>3</v>
      </c>
      <c r="W12" s="18" t="n">
        <v>4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5</v>
      </c>
      <c r="AC12" s="18" t="n">
        <v>7</v>
      </c>
      <c r="AD12" s="18" t="n">
        <v>4</v>
      </c>
      <c r="AE12" s="18" t="n">
        <v>4</v>
      </c>
      <c r="AF12" s="18" t="n">
        <v>3</v>
      </c>
      <c r="AG12" s="18" t="n">
        <v>5</v>
      </c>
      <c r="AH12" s="18" t="n">
        <v>4</v>
      </c>
      <c r="AI12" s="18" t="n">
        <v>4</v>
      </c>
      <c r="AJ12" s="18" t="n">
        <v>7</v>
      </c>
      <c r="AK12" s="18" t="n">
        <v>3</v>
      </c>
      <c r="AL12" s="18" t="n">
        <v>5</v>
      </c>
      <c r="AM12" s="18" t="n">
        <v>3</v>
      </c>
      <c r="AN12" s="18" t="n">
        <v>3</v>
      </c>
      <c r="AO12" s="18" t="n">
        <v>4</v>
      </c>
      <c r="AP12" s="18" t="n">
        <v>5</v>
      </c>
      <c r="AQ12" s="18" t="n">
        <v>5</v>
      </c>
      <c r="AR12" s="18" t="n">
        <v>4</v>
      </c>
      <c r="AS12" s="18" t="n">
        <v>4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Angelina Gao</t>
        </is>
      </c>
      <c r="C13" s="8" t="inlineStr">
        <is>
          <t>51523</t>
        </is>
      </c>
      <c r="D13" t="inlineStr">
        <is>
          <t>Quinta do Peru</t>
        </is>
      </c>
      <c r="E13" s="8" t="n">
        <v>5.5</v>
      </c>
      <c r="F13" s="18" t="n">
        <v>3</v>
      </c>
      <c r="G13" s="18" t="n">
        <v>4</v>
      </c>
      <c r="H13" s="18" t="n">
        <v>4</v>
      </c>
      <c r="I13" s="18" t="n">
        <v>4</v>
      </c>
      <c r="J13" s="18" t="n">
        <v>2</v>
      </c>
      <c r="K13" s="18" t="n">
        <v>5</v>
      </c>
      <c r="L13" s="18" t="n">
        <v>5</v>
      </c>
      <c r="M13" s="18" t="n">
        <v>4</v>
      </c>
      <c r="N13" s="18" t="n">
        <v>5</v>
      </c>
      <c r="O13" s="18" t="n">
        <v>4</v>
      </c>
      <c r="P13" s="18" t="n">
        <v>5</v>
      </c>
      <c r="Q13" s="18" t="n">
        <v>4</v>
      </c>
      <c r="R13" s="18" t="n">
        <v>3</v>
      </c>
      <c r="S13" s="18" t="n">
        <v>5</v>
      </c>
      <c r="T13" s="18" t="n">
        <v>5</v>
      </c>
      <c r="U13" s="18" t="n">
        <v>4</v>
      </c>
      <c r="V13" s="18" t="n">
        <v>3</v>
      </c>
      <c r="W13" s="18" t="n">
        <v>4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5</v>
      </c>
      <c r="AC13" s="18" t="n">
        <v>5</v>
      </c>
      <c r="AD13" s="18" t="n">
        <v>4</v>
      </c>
      <c r="AE13" s="18" t="n">
        <v>4</v>
      </c>
      <c r="AF13" s="18" t="n">
        <v>3</v>
      </c>
      <c r="AG13" s="18" t="n">
        <v>5</v>
      </c>
      <c r="AH13" s="18" t="n">
        <v>3</v>
      </c>
      <c r="AI13" s="18" t="n">
        <v>4</v>
      </c>
      <c r="AJ13" s="18" t="n">
        <v>4</v>
      </c>
      <c r="AK13" s="18" t="n">
        <v>4</v>
      </c>
      <c r="AL13" s="18" t="n">
        <v>4</v>
      </c>
      <c r="AM13" s="18" t="n">
        <v>5</v>
      </c>
      <c r="AN13" s="18" t="n">
        <v>3</v>
      </c>
      <c r="AO13" s="18" t="n">
        <v>4</v>
      </c>
      <c r="AP13" s="18" t="n">
        <v>5</v>
      </c>
      <c r="AQ13" s="18" t="n">
        <v>4</v>
      </c>
      <c r="AR13" s="18" t="n">
        <v>3</v>
      </c>
      <c r="AS13" s="18" t="n">
        <v>4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Ricardo Castro Ferreira</t>
        </is>
      </c>
      <c r="C14" s="8" t="inlineStr">
        <is>
          <t>49085</t>
        </is>
      </c>
      <c r="D14" t="inlineStr">
        <is>
          <t>Estoril</t>
        </is>
      </c>
      <c r="E14" s="8" t="n">
        <v>8.1</v>
      </c>
      <c r="F14" s="18" t="n">
        <v>4</v>
      </c>
      <c r="G14" s="18" t="n">
        <v>4</v>
      </c>
      <c r="H14" s="18" t="n">
        <v>4</v>
      </c>
      <c r="I14" s="18" t="n">
        <v>4</v>
      </c>
      <c r="J14" s="18" t="n">
        <v>3</v>
      </c>
      <c r="K14" s="18" t="n">
        <v>4</v>
      </c>
      <c r="L14" s="18" t="n">
        <v>4</v>
      </c>
      <c r="M14" s="18" t="n">
        <v>4</v>
      </c>
      <c r="N14" s="18" t="n">
        <v>5</v>
      </c>
      <c r="O14" s="18" t="n">
        <v>5</v>
      </c>
      <c r="P14" s="18" t="n">
        <v>5</v>
      </c>
      <c r="Q14" s="18" t="n">
        <v>4</v>
      </c>
      <c r="R14" s="18" t="n">
        <v>3</v>
      </c>
      <c r="S14" s="18" t="n">
        <v>4</v>
      </c>
      <c r="T14" s="18" t="n">
        <v>4</v>
      </c>
      <c r="U14" s="18" t="n">
        <v>5</v>
      </c>
      <c r="V14" s="18" t="n">
        <v>3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4</v>
      </c>
      <c r="AC14" s="18" t="n">
        <v>7</v>
      </c>
      <c r="AD14" s="18" t="n">
        <v>4</v>
      </c>
      <c r="AE14" s="18" t="n">
        <v>4</v>
      </c>
      <c r="AF14" s="18" t="n">
        <v>2</v>
      </c>
      <c r="AG14" s="18" t="n">
        <v>4</v>
      </c>
      <c r="AH14" s="18" t="n">
        <v>4</v>
      </c>
      <c r="AI14" s="18" t="n">
        <v>4</v>
      </c>
      <c r="AJ14" s="18" t="n">
        <v>6</v>
      </c>
      <c r="AK14" s="18" t="n">
        <v>4</v>
      </c>
      <c r="AL14" s="18" t="n">
        <v>6</v>
      </c>
      <c r="AM14" s="18" t="n">
        <v>4</v>
      </c>
      <c r="AN14" s="18" t="n">
        <v>3</v>
      </c>
      <c r="AO14" s="18" t="n">
        <v>5</v>
      </c>
      <c r="AP14" s="18" t="n">
        <v>6</v>
      </c>
      <c r="AQ14" s="18" t="n">
        <v>4</v>
      </c>
      <c r="AR14" s="18" t="n">
        <v>4</v>
      </c>
      <c r="AS14" s="18" t="n">
        <v>5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Nuno Palmares Jr.</t>
        </is>
      </c>
      <c r="C15" s="8" t="inlineStr">
        <is>
          <t>49124</t>
        </is>
      </c>
      <c r="D15" t="inlineStr">
        <is>
          <t>Estoril</t>
        </is>
      </c>
      <c r="E15" s="8" t="n">
        <v>6.2</v>
      </c>
      <c r="F15" s="18" t="n">
        <v>4</v>
      </c>
      <c r="G15" s="18" t="n">
        <v>5</v>
      </c>
      <c r="H15" s="18" t="n">
        <v>4</v>
      </c>
      <c r="I15" s="18" t="n">
        <v>4</v>
      </c>
      <c r="J15" s="18" t="n">
        <v>3</v>
      </c>
      <c r="K15" s="18" t="n">
        <v>5</v>
      </c>
      <c r="L15" s="18" t="n">
        <v>3</v>
      </c>
      <c r="M15" s="18" t="n">
        <v>5</v>
      </c>
      <c r="N15" s="18" t="n">
        <v>6</v>
      </c>
      <c r="O15" s="18" t="n">
        <v>4</v>
      </c>
      <c r="P15" s="18" t="n">
        <v>5</v>
      </c>
      <c r="Q15" s="18" t="n">
        <v>4</v>
      </c>
      <c r="R15" s="18" t="n">
        <v>3</v>
      </c>
      <c r="S15" s="18" t="n">
        <v>4</v>
      </c>
      <c r="T15" s="18" t="n">
        <v>5</v>
      </c>
      <c r="U15" s="18" t="n">
        <v>3</v>
      </c>
      <c r="V15" s="18" t="n">
        <v>3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5</v>
      </c>
      <c r="AC15" s="18" t="n">
        <v>5</v>
      </c>
      <c r="AD15" s="18" t="n">
        <v>4</v>
      </c>
      <c r="AE15" s="18" t="n">
        <v>4</v>
      </c>
      <c r="AF15" s="18" t="n">
        <v>3</v>
      </c>
      <c r="AG15" s="18" t="n">
        <v>4</v>
      </c>
      <c r="AH15" s="18" t="n">
        <v>3</v>
      </c>
      <c r="AI15" s="18" t="n">
        <v>3</v>
      </c>
      <c r="AJ15" s="18" t="n">
        <v>6</v>
      </c>
      <c r="AK15" s="18" t="n">
        <v>4</v>
      </c>
      <c r="AL15" s="18" t="n">
        <v>5</v>
      </c>
      <c r="AM15" s="18" t="n">
        <v>4</v>
      </c>
      <c r="AN15" s="18" t="n">
        <v>3</v>
      </c>
      <c r="AO15" s="18" t="n">
        <v>5</v>
      </c>
      <c r="AP15" s="18" t="n">
        <v>6</v>
      </c>
      <c r="AQ15" s="18" t="n">
        <v>3</v>
      </c>
      <c r="AR15" s="18" t="n">
        <v>4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Rodrigo Sousa Correia</t>
        </is>
      </c>
      <c r="C16" s="8" t="inlineStr">
        <is>
          <t>44934</t>
        </is>
      </c>
      <c r="D16" t="inlineStr">
        <is>
          <t>Vilamoura, C. G</t>
        </is>
      </c>
      <c r="E16" s="8" t="n">
        <v>2.9</v>
      </c>
      <c r="F16" s="18" t="n">
        <v>5</v>
      </c>
      <c r="G16" s="18" t="n">
        <v>4</v>
      </c>
      <c r="H16" s="18" t="n">
        <v>7</v>
      </c>
      <c r="I16" s="18" t="n">
        <v>3</v>
      </c>
      <c r="J16" s="18" t="n">
        <v>4</v>
      </c>
      <c r="K16" s="18" t="n">
        <v>4</v>
      </c>
      <c r="L16" s="18" t="n">
        <v>4</v>
      </c>
      <c r="M16" s="18" t="n">
        <v>4</v>
      </c>
      <c r="N16" s="18" t="n">
        <v>6</v>
      </c>
      <c r="O16" s="18" t="n">
        <v>4</v>
      </c>
      <c r="P16" s="18" t="n">
        <v>5</v>
      </c>
      <c r="Q16" s="18" t="n">
        <v>4</v>
      </c>
      <c r="R16" s="18" t="n">
        <v>4</v>
      </c>
      <c r="S16" s="18" t="n">
        <v>3</v>
      </c>
      <c r="T16" s="18" t="n">
        <v>4</v>
      </c>
      <c r="U16" s="18" t="n">
        <v>4</v>
      </c>
      <c r="V16" s="18" t="n">
        <v>4</v>
      </c>
      <c r="W16" s="18" t="n">
        <v>4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5</v>
      </c>
      <c r="AC16" s="18" t="n">
        <v>5</v>
      </c>
      <c r="AD16" s="18" t="n">
        <v>4</v>
      </c>
      <c r="AE16" s="18" t="n">
        <v>4</v>
      </c>
      <c r="AF16" s="18" t="n">
        <v>4</v>
      </c>
      <c r="AG16" s="18" t="n">
        <v>4</v>
      </c>
      <c r="AH16" s="18" t="n">
        <v>4</v>
      </c>
      <c r="AI16" s="18" t="n">
        <v>5</v>
      </c>
      <c r="AJ16" s="18" t="n">
        <v>5</v>
      </c>
      <c r="AK16" s="18" t="n">
        <v>4</v>
      </c>
      <c r="AL16" s="18" t="n">
        <v>5</v>
      </c>
      <c r="AM16" s="18" t="n">
        <v>5</v>
      </c>
      <c r="AN16" s="18" t="n">
        <v>3</v>
      </c>
      <c r="AO16" s="18" t="n">
        <v>4</v>
      </c>
      <c r="AP16" s="18" t="n">
        <v>5</v>
      </c>
      <c r="AQ16" s="18" t="n">
        <v>4</v>
      </c>
      <c r="AR16" s="18" t="n">
        <v>3</v>
      </c>
      <c r="AS16" s="18" t="n">
        <v>3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Filipe Pinheiro</t>
        </is>
      </c>
      <c r="C17" s="8" t="inlineStr">
        <is>
          <t>46591</t>
        </is>
      </c>
      <c r="D17" t="inlineStr">
        <is>
          <t>Belas</t>
        </is>
      </c>
      <c r="E17" s="8" t="n">
        <v>3.2</v>
      </c>
      <c r="F17" s="18" t="n">
        <v>4</v>
      </c>
      <c r="G17" s="18" t="n">
        <v>5</v>
      </c>
      <c r="H17" s="18" t="n">
        <v>6</v>
      </c>
      <c r="I17" s="18" t="n">
        <v>4</v>
      </c>
      <c r="J17" s="18" t="n">
        <v>3</v>
      </c>
      <c r="K17" s="18" t="n">
        <v>5</v>
      </c>
      <c r="L17" s="18" t="n">
        <v>4</v>
      </c>
      <c r="M17" s="18" t="n">
        <v>4</v>
      </c>
      <c r="N17" s="18" t="n">
        <v>5</v>
      </c>
      <c r="O17" s="18" t="n">
        <v>4</v>
      </c>
      <c r="P17" s="18" t="n">
        <v>6</v>
      </c>
      <c r="Q17" s="18" t="n">
        <v>4</v>
      </c>
      <c r="R17" s="18" t="n">
        <v>3</v>
      </c>
      <c r="S17" s="18" t="n">
        <v>4</v>
      </c>
      <c r="T17" s="18" t="n">
        <v>4</v>
      </c>
      <c r="U17" s="18" t="n">
        <v>5</v>
      </c>
      <c r="V17" s="18" t="n">
        <v>3</v>
      </c>
      <c r="W17" s="18" t="n">
        <v>4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5</v>
      </c>
      <c r="AC17" s="18" t="n">
        <v>5</v>
      </c>
      <c r="AD17" s="18" t="n">
        <v>5</v>
      </c>
      <c r="AE17" s="18" t="n">
        <v>6</v>
      </c>
      <c r="AF17" s="18" t="n">
        <v>4</v>
      </c>
      <c r="AG17" s="18" t="n">
        <v>5</v>
      </c>
      <c r="AH17" s="18" t="n">
        <v>3</v>
      </c>
      <c r="AI17" s="18" t="n">
        <v>5</v>
      </c>
      <c r="AJ17" s="18" t="n">
        <v>5</v>
      </c>
      <c r="AK17" s="18" t="n">
        <v>4</v>
      </c>
      <c r="AL17" s="18" t="n">
        <v>5</v>
      </c>
      <c r="AM17" s="18" t="n">
        <v>5</v>
      </c>
      <c r="AN17" s="18" t="n">
        <v>3</v>
      </c>
      <c r="AO17" s="18" t="n">
        <v>4</v>
      </c>
      <c r="AP17" s="18" t="n">
        <v>4</v>
      </c>
      <c r="AQ17" s="18" t="n">
        <v>4</v>
      </c>
      <c r="AR17" s="18" t="n">
        <v>3</v>
      </c>
      <c r="AS17" s="18" t="n">
        <v>4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João Maria Ivo De Carvalho</t>
        </is>
      </c>
      <c r="C18" s="8" t="inlineStr">
        <is>
          <t>38334</t>
        </is>
      </c>
      <c r="D18" t="inlineStr">
        <is>
          <t>Vilamoura, C. G</t>
        </is>
      </c>
      <c r="E18" s="8" t="n">
        <v>-1.2</v>
      </c>
      <c r="F18" s="18" t="n">
        <v>4</v>
      </c>
      <c r="G18" s="18" t="n">
        <v>5</v>
      </c>
      <c r="H18" s="18" t="n">
        <v>4</v>
      </c>
      <c r="I18" s="18" t="n">
        <v>3</v>
      </c>
      <c r="J18" s="18" t="n">
        <v>4</v>
      </c>
      <c r="K18" s="18" t="n">
        <v>5</v>
      </c>
      <c r="L18" s="18" t="n">
        <v>4</v>
      </c>
      <c r="M18" s="18" t="n">
        <v>4</v>
      </c>
      <c r="N18" s="18" t="n">
        <v>5</v>
      </c>
      <c r="O18" s="18" t="n">
        <v>5</v>
      </c>
      <c r="P18" s="18" t="n">
        <v>5</v>
      </c>
      <c r="Q18" s="18" t="n">
        <v>3</v>
      </c>
      <c r="R18" s="18" t="n">
        <v>4</v>
      </c>
      <c r="S18" s="18" t="n">
        <v>5</v>
      </c>
      <c r="T18" s="18" t="n">
        <v>5</v>
      </c>
      <c r="U18" s="18" t="n">
        <v>4</v>
      </c>
      <c r="V18" s="18" t="n">
        <v>3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5</v>
      </c>
      <c r="AC18" s="18" t="n">
        <v>4</v>
      </c>
      <c r="AD18" s="18" t="n">
        <v>5</v>
      </c>
      <c r="AE18" s="18" t="n">
        <v>3</v>
      </c>
      <c r="AF18" s="18" t="n">
        <v>3</v>
      </c>
      <c r="AG18" s="18" t="n">
        <v>5</v>
      </c>
      <c r="AH18" s="18" t="n">
        <v>2</v>
      </c>
      <c r="AI18" s="18" t="n">
        <v>5</v>
      </c>
      <c r="AJ18" s="18" t="n">
        <v>5</v>
      </c>
      <c r="AK18" s="18" t="n">
        <v>5</v>
      </c>
      <c r="AL18" s="18" t="n">
        <v>5</v>
      </c>
      <c r="AM18" s="18" t="n">
        <v>5</v>
      </c>
      <c r="AN18" s="18" t="n">
        <v>3</v>
      </c>
      <c r="AO18" s="18" t="n">
        <v>5</v>
      </c>
      <c r="AP18" s="18" t="n">
        <v>4</v>
      </c>
      <c r="AQ18" s="18" t="n">
        <v>3</v>
      </c>
      <c r="AR18" s="18" t="n">
        <v>3</v>
      </c>
      <c r="AS18" s="18" t="n">
        <v>5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Rodrigo Faria Constantino</t>
        </is>
      </c>
      <c r="C19" s="8" t="inlineStr">
        <is>
          <t>45278</t>
        </is>
      </c>
      <c r="D19" t="inlineStr">
        <is>
          <t>Belas</t>
        </is>
      </c>
      <c r="E19" s="8" t="n">
        <v>3.8</v>
      </c>
      <c r="F19" s="18" t="n">
        <v>7</v>
      </c>
      <c r="G19" s="18" t="n">
        <v>5</v>
      </c>
      <c r="H19" s="18" t="n">
        <v>4</v>
      </c>
      <c r="I19" s="18" t="n">
        <v>4</v>
      </c>
      <c r="J19" s="18" t="n">
        <v>4</v>
      </c>
      <c r="K19" s="18" t="n">
        <v>4</v>
      </c>
      <c r="L19" s="18" t="n">
        <v>2</v>
      </c>
      <c r="M19" s="18" t="n">
        <v>4</v>
      </c>
      <c r="N19" s="18" t="n">
        <v>4</v>
      </c>
      <c r="O19" s="18" t="n">
        <v>4</v>
      </c>
      <c r="P19" s="18" t="n">
        <v>5</v>
      </c>
      <c r="Q19" s="18" t="n">
        <v>4</v>
      </c>
      <c r="R19" s="18" t="n">
        <v>4</v>
      </c>
      <c r="S19" s="18" t="n">
        <v>3</v>
      </c>
      <c r="T19" s="18" t="n">
        <v>5</v>
      </c>
      <c r="U19" s="18" t="n">
        <v>4</v>
      </c>
      <c r="V19" s="18" t="n">
        <v>5</v>
      </c>
      <c r="W19" s="18" t="n">
        <v>5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4</v>
      </c>
      <c r="AC19" s="18" t="n">
        <v>5</v>
      </c>
      <c r="AD19" s="18" t="n">
        <v>4</v>
      </c>
      <c r="AE19" s="18" t="n">
        <v>4</v>
      </c>
      <c r="AF19" s="18" t="n">
        <v>6</v>
      </c>
      <c r="AG19" s="18" t="n">
        <v>6</v>
      </c>
      <c r="AH19" s="18" t="n">
        <v>4</v>
      </c>
      <c r="AI19" s="18" t="n">
        <v>5</v>
      </c>
      <c r="AJ19" s="18" t="n">
        <v>5</v>
      </c>
      <c r="AK19" s="18" t="n">
        <v>5</v>
      </c>
      <c r="AL19" s="18" t="n">
        <v>4</v>
      </c>
      <c r="AM19" s="18" t="n">
        <v>4</v>
      </c>
      <c r="AN19" s="18" t="n">
        <v>4</v>
      </c>
      <c r="AO19" s="18" t="n">
        <v>4</v>
      </c>
      <c r="AP19" s="18" t="n">
        <v>5</v>
      </c>
      <c r="AQ19" s="18" t="n">
        <v>6</v>
      </c>
      <c r="AR19" s="18" t="n">
        <v>3</v>
      </c>
      <c r="AS19" s="18" t="n">
        <v>4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Clara Trindade</t>
        </is>
      </c>
      <c r="C20" s="8" t="inlineStr">
        <is>
          <t>45812</t>
        </is>
      </c>
      <c r="D20" t="inlineStr">
        <is>
          <t>Belas</t>
        </is>
      </c>
      <c r="E20" s="8" t="n">
        <v>9.6</v>
      </c>
      <c r="F20" s="18" t="n">
        <v>5</v>
      </c>
      <c r="G20" s="18" t="n">
        <v>6</v>
      </c>
      <c r="H20" s="18" t="n">
        <v>4</v>
      </c>
      <c r="I20" s="18" t="n">
        <v>4</v>
      </c>
      <c r="J20" s="18" t="n">
        <v>4</v>
      </c>
      <c r="K20" s="18" t="n">
        <v>5</v>
      </c>
      <c r="L20" s="18" t="n">
        <v>3</v>
      </c>
      <c r="M20" s="18" t="n">
        <v>4</v>
      </c>
      <c r="N20" s="18" t="n">
        <v>6</v>
      </c>
      <c r="O20" s="18" t="n">
        <v>3</v>
      </c>
      <c r="P20" s="18" t="n">
        <v>5</v>
      </c>
      <c r="Q20" s="18" t="n">
        <v>5</v>
      </c>
      <c r="R20" s="18" t="n">
        <v>5</v>
      </c>
      <c r="S20" s="18" t="n">
        <v>4</v>
      </c>
      <c r="T20" s="18" t="n">
        <v>5</v>
      </c>
      <c r="U20" s="18" t="n">
        <v>3</v>
      </c>
      <c r="V20" s="18" t="n">
        <v>3</v>
      </c>
      <c r="W20" s="18" t="n">
        <v>4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5</v>
      </c>
      <c r="AC20" s="18" t="n">
        <v>6</v>
      </c>
      <c r="AD20" s="18" t="n">
        <v>4</v>
      </c>
      <c r="AE20" s="18" t="n">
        <v>4</v>
      </c>
      <c r="AF20" s="18" t="n">
        <v>3</v>
      </c>
      <c r="AG20" s="18" t="n">
        <v>5</v>
      </c>
      <c r="AH20" s="18" t="n">
        <v>8</v>
      </c>
      <c r="AI20" s="18" t="n">
        <v>4</v>
      </c>
      <c r="AJ20" s="18" t="n">
        <v>7</v>
      </c>
      <c r="AK20" s="18" t="n">
        <v>4</v>
      </c>
      <c r="AL20" s="18" t="n">
        <v>5</v>
      </c>
      <c r="AM20" s="18" t="n">
        <v>3</v>
      </c>
      <c r="AN20" s="18" t="n">
        <v>6</v>
      </c>
      <c r="AO20" s="18" t="n">
        <v>5</v>
      </c>
      <c r="AP20" s="18" t="n">
        <v>5</v>
      </c>
      <c r="AQ20" s="18" t="n">
        <v>4</v>
      </c>
      <c r="AR20" s="18" t="n">
        <v>4</v>
      </c>
      <c r="AS20" s="18" t="n">
        <v>5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Guo Ziyang</t>
        </is>
      </c>
      <c r="C21" s="8" t="inlineStr">
        <is>
          <t>57904</t>
        </is>
      </c>
      <c r="D21" t="inlineStr">
        <is>
          <t>Estoril</t>
        </is>
      </c>
      <c r="E21" s="8" t="n">
        <v>11.6</v>
      </c>
      <c r="F21" s="18" t="n">
        <v>4</v>
      </c>
      <c r="G21" s="18" t="n">
        <v>7</v>
      </c>
      <c r="H21" s="18" t="n">
        <v>4</v>
      </c>
      <c r="I21" s="18" t="n">
        <v>4</v>
      </c>
      <c r="J21" s="18" t="n">
        <v>3</v>
      </c>
      <c r="K21" s="18" t="n">
        <v>5</v>
      </c>
      <c r="L21" s="18" t="n">
        <v>4</v>
      </c>
      <c r="M21" s="18" t="n">
        <v>4</v>
      </c>
      <c r="N21" s="18" t="n">
        <v>7</v>
      </c>
      <c r="O21" s="18" t="n">
        <v>4</v>
      </c>
      <c r="P21" s="18" t="n">
        <v>5</v>
      </c>
      <c r="Q21" s="18" t="n">
        <v>4</v>
      </c>
      <c r="R21" s="18" t="n">
        <v>3</v>
      </c>
      <c r="S21" s="18" t="n">
        <v>5</v>
      </c>
      <c r="T21" s="18" t="n">
        <v>5</v>
      </c>
      <c r="U21" s="18" t="n">
        <v>4</v>
      </c>
      <c r="V21" s="18" t="n">
        <v>3</v>
      </c>
      <c r="W21" s="18" t="n">
        <v>4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B21" s="18" t="n">
        <v>5</v>
      </c>
      <c r="AC21" s="18" t="n">
        <v>5</v>
      </c>
      <c r="AD21" s="18" t="n">
        <v>4</v>
      </c>
      <c r="AE21" s="18" t="n">
        <v>5</v>
      </c>
      <c r="AF21" s="18" t="n">
        <v>4</v>
      </c>
      <c r="AG21" s="18" t="n">
        <v>4</v>
      </c>
      <c r="AH21" s="18" t="n">
        <v>3</v>
      </c>
      <c r="AI21" s="18" t="n">
        <v>7</v>
      </c>
      <c r="AJ21" s="18" t="n">
        <v>5</v>
      </c>
      <c r="AK21" s="18" t="n">
        <v>3</v>
      </c>
      <c r="AL21" s="18" t="n">
        <v>4</v>
      </c>
      <c r="AM21" s="18" t="n">
        <v>5</v>
      </c>
      <c r="AN21" s="18" t="n">
        <v>3</v>
      </c>
      <c r="AO21" s="18" t="n">
        <v>4</v>
      </c>
      <c r="AP21" s="18" t="n">
        <v>4</v>
      </c>
      <c r="AQ21" s="18" t="n">
        <v>4</v>
      </c>
      <c r="AR21" s="18" t="n">
        <v>3</v>
      </c>
      <c r="AS21" s="18" t="n">
        <v>4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MAX(0,25-AV21)*1.0</f>
        <v/>
      </c>
      <c r="AX21" s="19">
        <f>AA21+AW21</f>
        <v/>
      </c>
    </row>
    <row r="22">
      <c r="A22" s="8" t="n">
        <v>11</v>
      </c>
      <c r="B22" t="inlineStr">
        <is>
          <t>Pedro Costa Alemão</t>
        </is>
      </c>
      <c r="C22" s="8" t="inlineStr">
        <is>
          <t>46706</t>
        </is>
      </c>
      <c r="D22" t="inlineStr">
        <is>
          <t>Estoril</t>
        </is>
      </c>
      <c r="E22" s="8" t="n">
        <v>3.7</v>
      </c>
      <c r="F22" s="18" t="n">
        <v>4</v>
      </c>
      <c r="G22" s="18" t="n">
        <v>5</v>
      </c>
      <c r="H22" s="18" t="n">
        <v>5</v>
      </c>
      <c r="I22" s="18" t="n">
        <v>4</v>
      </c>
      <c r="J22" s="18" t="n">
        <v>3</v>
      </c>
      <c r="K22" s="18" t="n">
        <v>4</v>
      </c>
      <c r="L22" s="18" t="n">
        <v>4</v>
      </c>
      <c r="M22" s="18" t="n">
        <v>5</v>
      </c>
      <c r="N22" s="18" t="n">
        <v>5</v>
      </c>
      <c r="O22" s="18" t="n">
        <v>6</v>
      </c>
      <c r="P22" s="18" t="n">
        <v>6</v>
      </c>
      <c r="Q22" s="18" t="n">
        <v>6</v>
      </c>
      <c r="R22" s="18" t="n">
        <v>2</v>
      </c>
      <c r="S22" s="18" t="n">
        <v>5</v>
      </c>
      <c r="T22" s="18" t="n">
        <v>5</v>
      </c>
      <c r="U22" s="18" t="n">
        <v>4</v>
      </c>
      <c r="V22" s="18" t="n">
        <v>4</v>
      </c>
      <c r="W22" s="18" t="n">
        <v>4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4</v>
      </c>
      <c r="AC22" s="18" t="n">
        <v>5</v>
      </c>
      <c r="AD22" s="18" t="n">
        <v>3</v>
      </c>
      <c r="AE22" s="18" t="n">
        <v>3</v>
      </c>
      <c r="AF22" s="18" t="n">
        <v>3</v>
      </c>
      <c r="AG22" s="18" t="n">
        <v>6</v>
      </c>
      <c r="AH22" s="18" t="n">
        <v>3</v>
      </c>
      <c r="AI22" s="18" t="n">
        <v>4</v>
      </c>
      <c r="AJ22" s="18" t="n">
        <v>5</v>
      </c>
      <c r="AK22" s="18" t="n">
        <v>3</v>
      </c>
      <c r="AL22" s="18" t="n">
        <v>5</v>
      </c>
      <c r="AM22" s="18" t="n">
        <v>4</v>
      </c>
      <c r="AN22" s="18" t="n">
        <v>3</v>
      </c>
      <c r="AO22" s="18" t="n">
        <v>5</v>
      </c>
      <c r="AP22" s="18" t="n">
        <v>5</v>
      </c>
      <c r="AQ22" s="18" t="n">
        <v>5</v>
      </c>
      <c r="AR22" s="18" t="n">
        <v>3</v>
      </c>
      <c r="AS22" s="18" t="n">
        <v>5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João Rocha</t>
        </is>
      </c>
      <c r="C23" s="8" t="inlineStr">
        <is>
          <t>48297</t>
        </is>
      </c>
      <c r="D23" t="inlineStr">
        <is>
          <t>Estoril</t>
        </is>
      </c>
      <c r="E23" s="8" t="n">
        <v>6.3</v>
      </c>
      <c r="F23" s="18" t="n">
        <v>5</v>
      </c>
      <c r="G23" s="18" t="n">
        <v>6</v>
      </c>
      <c r="H23" s="18" t="n">
        <v>5</v>
      </c>
      <c r="I23" s="18" t="n">
        <v>3</v>
      </c>
      <c r="J23" s="18" t="n">
        <v>2</v>
      </c>
      <c r="K23" s="18" t="n">
        <v>3</v>
      </c>
      <c r="L23" s="18" t="n">
        <v>4</v>
      </c>
      <c r="M23" s="18" t="n">
        <v>5</v>
      </c>
      <c r="N23" s="18" t="n">
        <v>5</v>
      </c>
      <c r="O23" s="18" t="n">
        <v>6</v>
      </c>
      <c r="P23" s="18" t="n">
        <v>5</v>
      </c>
      <c r="Q23" s="18" t="n">
        <v>6</v>
      </c>
      <c r="R23" s="18" t="n">
        <v>4</v>
      </c>
      <c r="S23" s="18" t="n">
        <v>5</v>
      </c>
      <c r="T23" s="18" t="n">
        <v>5</v>
      </c>
      <c r="U23" s="18" t="n">
        <v>4</v>
      </c>
      <c r="V23" s="18" t="n">
        <v>3</v>
      </c>
      <c r="W23" s="18" t="n">
        <v>5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4</v>
      </c>
      <c r="AC23" s="18" t="n">
        <v>5</v>
      </c>
      <c r="AD23" s="18" t="n">
        <v>5</v>
      </c>
      <c r="AE23" s="18" t="n">
        <v>4</v>
      </c>
      <c r="AF23" s="18" t="n">
        <v>5</v>
      </c>
      <c r="AG23" s="18" t="n">
        <v>6</v>
      </c>
      <c r="AH23" s="18" t="n">
        <v>3</v>
      </c>
      <c r="AI23" s="18" t="n">
        <v>5</v>
      </c>
      <c r="AJ23" s="18" t="n">
        <v>5</v>
      </c>
      <c r="AK23" s="18" t="n">
        <v>4</v>
      </c>
      <c r="AL23" s="18" t="n">
        <v>4</v>
      </c>
      <c r="AM23" s="18" t="n">
        <v>4</v>
      </c>
      <c r="AN23" s="18" t="n">
        <v>3</v>
      </c>
      <c r="AO23" s="18" t="n">
        <v>5</v>
      </c>
      <c r="AP23" s="18" t="n">
        <v>5</v>
      </c>
      <c r="AQ23" s="18" t="n">
        <v>4</v>
      </c>
      <c r="AR23" s="18" t="n">
        <v>3</v>
      </c>
      <c r="AS23" s="18" t="n">
        <v>4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Francisco Carvalho</t>
        </is>
      </c>
      <c r="C24" s="8" t="inlineStr">
        <is>
          <t>52856</t>
        </is>
      </c>
      <c r="D24" t="inlineStr">
        <is>
          <t>Vale Pisão</t>
        </is>
      </c>
      <c r="E24" s="8" t="n">
        <v>10.3</v>
      </c>
      <c r="F24" s="18" t="n">
        <v>4</v>
      </c>
      <c r="G24" s="18" t="n">
        <v>5</v>
      </c>
      <c r="H24" s="18" t="n">
        <v>5</v>
      </c>
      <c r="I24" s="18" t="n">
        <v>4</v>
      </c>
      <c r="J24" s="18" t="n">
        <v>3</v>
      </c>
      <c r="K24" s="18" t="n">
        <v>6</v>
      </c>
      <c r="L24" s="18" t="n">
        <v>3</v>
      </c>
      <c r="M24" s="18" t="n">
        <v>4</v>
      </c>
      <c r="N24" s="18" t="n">
        <v>7</v>
      </c>
      <c r="O24" s="18" t="n">
        <v>4</v>
      </c>
      <c r="P24" s="18" t="n">
        <v>5</v>
      </c>
      <c r="Q24" s="18" t="n">
        <v>4</v>
      </c>
      <c r="R24" s="18" t="n">
        <v>3</v>
      </c>
      <c r="S24" s="18" t="n">
        <v>5</v>
      </c>
      <c r="T24" s="18" t="n">
        <v>5</v>
      </c>
      <c r="U24" s="18" t="n">
        <v>6</v>
      </c>
      <c r="V24" s="18" t="n">
        <v>4</v>
      </c>
      <c r="W24" s="18" t="n">
        <v>5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4</v>
      </c>
      <c r="AC24" s="18" t="n">
        <v>5</v>
      </c>
      <c r="AD24" s="18" t="n">
        <v>4</v>
      </c>
      <c r="AE24" s="18" t="n">
        <v>4</v>
      </c>
      <c r="AF24" s="18" t="n">
        <v>3</v>
      </c>
      <c r="AG24" s="18" t="n">
        <v>4</v>
      </c>
      <c r="AH24" s="18" t="n">
        <v>3</v>
      </c>
      <c r="AI24" s="18" t="n">
        <v>5</v>
      </c>
      <c r="AJ24" s="18" t="n">
        <v>7</v>
      </c>
      <c r="AK24" s="18" t="n">
        <v>5</v>
      </c>
      <c r="AL24" s="18" t="n">
        <v>5</v>
      </c>
      <c r="AM24" s="18" t="n">
        <v>5</v>
      </c>
      <c r="AN24" s="18" t="n">
        <v>3</v>
      </c>
      <c r="AO24" s="18" t="n">
        <v>5</v>
      </c>
      <c r="AP24" s="18" t="n">
        <v>6</v>
      </c>
      <c r="AQ24" s="18" t="n">
        <v>6</v>
      </c>
      <c r="AR24" s="18" t="n">
        <v>4</v>
      </c>
      <c r="AS24" s="18" t="n">
        <v>5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Salvador Ivo De Carvalho</t>
        </is>
      </c>
      <c r="C25" s="8" t="inlineStr">
        <is>
          <t>43968</t>
        </is>
      </c>
      <c r="D25" t="inlineStr">
        <is>
          <t>Vilamoura, C. G</t>
        </is>
      </c>
      <c r="E25" s="8" t="n">
        <v>8.199999999999999</v>
      </c>
      <c r="F25" s="18" t="n">
        <v>5</v>
      </c>
      <c r="G25" s="18" t="n">
        <v>5</v>
      </c>
      <c r="H25" s="18" t="n">
        <v>4</v>
      </c>
      <c r="I25" s="18" t="n">
        <v>4</v>
      </c>
      <c r="J25" s="18" t="n">
        <v>4</v>
      </c>
      <c r="K25" s="18" t="n">
        <v>5</v>
      </c>
      <c r="L25" s="18" t="n">
        <v>3</v>
      </c>
      <c r="M25" s="18" t="n">
        <v>5</v>
      </c>
      <c r="N25" s="18" t="n">
        <v>5</v>
      </c>
      <c r="O25" s="18" t="n">
        <v>4</v>
      </c>
      <c r="P25" s="18" t="n">
        <v>6</v>
      </c>
      <c r="Q25" s="18" t="n">
        <v>4</v>
      </c>
      <c r="R25" s="18" t="n">
        <v>3</v>
      </c>
      <c r="S25" s="18" t="n">
        <v>7</v>
      </c>
      <c r="T25" s="18" t="n">
        <v>5</v>
      </c>
      <c r="U25" s="18" t="n">
        <v>6</v>
      </c>
      <c r="V25" s="18" t="n">
        <v>3</v>
      </c>
      <c r="W25" s="18" t="n">
        <v>4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5</v>
      </c>
      <c r="AC25" s="18" t="n">
        <v>5</v>
      </c>
      <c r="AD25" s="18" t="n">
        <v>6</v>
      </c>
      <c r="AE25" s="18" t="n">
        <v>4</v>
      </c>
      <c r="AF25" s="18" t="n">
        <v>3</v>
      </c>
      <c r="AG25" s="18" t="n">
        <v>4</v>
      </c>
      <c r="AH25" s="18" t="n">
        <v>3</v>
      </c>
      <c r="AI25" s="18" t="n">
        <v>6</v>
      </c>
      <c r="AJ25" s="18" t="n">
        <v>6</v>
      </c>
      <c r="AK25" s="18" t="n">
        <v>5</v>
      </c>
      <c r="AL25" s="18" t="n">
        <v>6</v>
      </c>
      <c r="AM25" s="18" t="n">
        <v>4</v>
      </c>
      <c r="AN25" s="18" t="n">
        <v>4</v>
      </c>
      <c r="AO25" s="18" t="n">
        <v>6</v>
      </c>
      <c r="AP25" s="18" t="n">
        <v>6</v>
      </c>
      <c r="AQ25" s="18" t="n">
        <v>4</v>
      </c>
      <c r="AR25" s="18" t="n">
        <v>4</v>
      </c>
      <c r="AS25" s="18" t="n">
        <v>5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Rafael Gonçales Benesi</t>
        </is>
      </c>
      <c r="C26" s="8" t="inlineStr">
        <is>
          <t>54774</t>
        </is>
      </c>
      <c r="D26" t="inlineStr">
        <is>
          <t>Estoril</t>
        </is>
      </c>
      <c r="E26" s="8" t="n">
        <v>5.8</v>
      </c>
      <c r="F26" s="18" t="n">
        <v>5</v>
      </c>
      <c r="G26" s="18" t="n">
        <v>5</v>
      </c>
      <c r="H26" s="18" t="n">
        <v>6</v>
      </c>
      <c r="I26" s="18" t="n">
        <v>4</v>
      </c>
      <c r="J26" s="18" t="n">
        <v>4</v>
      </c>
      <c r="K26" s="18" t="n">
        <v>6</v>
      </c>
      <c r="L26" s="18" t="n">
        <v>4</v>
      </c>
      <c r="M26" s="18" t="n">
        <v>4</v>
      </c>
      <c r="N26" s="18" t="n">
        <v>5</v>
      </c>
      <c r="O26" s="18" t="n">
        <v>6</v>
      </c>
      <c r="P26" s="18" t="n">
        <v>6</v>
      </c>
      <c r="Q26" s="18" t="n">
        <v>4</v>
      </c>
      <c r="R26" s="18" t="n">
        <v>3</v>
      </c>
      <c r="S26" s="18" t="n">
        <v>5</v>
      </c>
      <c r="T26" s="18" t="n">
        <v>5</v>
      </c>
      <c r="U26" s="18" t="n">
        <v>5</v>
      </c>
      <c r="V26" s="18" t="n">
        <v>3</v>
      </c>
      <c r="W26" s="18" t="n">
        <v>4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4</v>
      </c>
      <c r="AC26" s="18" t="n">
        <v>5</v>
      </c>
      <c r="AD26" s="18" t="n">
        <v>3</v>
      </c>
      <c r="AE26" s="18" t="n">
        <v>4</v>
      </c>
      <c r="AF26" s="18" t="n">
        <v>4</v>
      </c>
      <c r="AG26" s="18" t="n">
        <v>4</v>
      </c>
      <c r="AH26" s="18" t="n">
        <v>5</v>
      </c>
      <c r="AI26" s="18" t="n">
        <v>4</v>
      </c>
      <c r="AJ26" s="18" t="n">
        <v>4</v>
      </c>
      <c r="AK26" s="18" t="n">
        <v>4</v>
      </c>
      <c r="AL26" s="18" t="n">
        <v>5</v>
      </c>
      <c r="AM26" s="18" t="n">
        <v>4</v>
      </c>
      <c r="AN26" s="18" t="n">
        <v>3</v>
      </c>
      <c r="AO26" s="18" t="n">
        <v>7</v>
      </c>
      <c r="AP26" s="18" t="n">
        <v>4</v>
      </c>
      <c r="AQ26" s="18" t="n">
        <v>6</v>
      </c>
      <c r="AR26" s="18" t="n">
        <v>4</v>
      </c>
      <c r="AS26" s="18" t="n">
        <v>5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n">
        <v>16</v>
      </c>
      <c r="B27" t="inlineStr">
        <is>
          <t>Manuel Goulartt Medeiros</t>
        </is>
      </c>
      <c r="C27" s="8" t="inlineStr">
        <is>
          <t>52884</t>
        </is>
      </c>
      <c r="D27" t="inlineStr">
        <is>
          <t>Santo da Serra</t>
        </is>
      </c>
      <c r="E27" s="8" t="n">
        <v>9.6</v>
      </c>
      <c r="F27" s="18" t="n">
        <v>4</v>
      </c>
      <c r="G27" s="18" t="n">
        <v>6</v>
      </c>
      <c r="H27" s="18" t="n">
        <v>5</v>
      </c>
      <c r="I27" s="18" t="n">
        <v>3</v>
      </c>
      <c r="J27" s="18" t="n">
        <v>4</v>
      </c>
      <c r="K27" s="18" t="n">
        <v>5</v>
      </c>
      <c r="L27" s="18" t="n">
        <v>3</v>
      </c>
      <c r="M27" s="18" t="n">
        <v>6</v>
      </c>
      <c r="N27" s="18" t="n">
        <v>6</v>
      </c>
      <c r="O27" s="18" t="n">
        <v>5</v>
      </c>
      <c r="P27" s="18" t="n">
        <v>5</v>
      </c>
      <c r="Q27" s="18" t="n">
        <v>5</v>
      </c>
      <c r="R27" s="18" t="n">
        <v>4</v>
      </c>
      <c r="S27" s="18" t="n">
        <v>6</v>
      </c>
      <c r="T27" s="18" t="n">
        <v>4</v>
      </c>
      <c r="U27" s="18" t="n">
        <v>5</v>
      </c>
      <c r="V27" s="18" t="n">
        <v>3</v>
      </c>
      <c r="W27" s="18" t="n">
        <v>5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MAX(0,25-Z27)*1.0</f>
        <v/>
      </c>
      <c r="AB27" s="18" t="n">
        <v>3</v>
      </c>
      <c r="AC27" s="18" t="n">
        <v>7</v>
      </c>
      <c r="AD27" s="18" t="n">
        <v>4</v>
      </c>
      <c r="AE27" s="18" t="n">
        <v>6</v>
      </c>
      <c r="AF27" s="18" t="n">
        <v>4</v>
      </c>
      <c r="AG27" s="18" t="n">
        <v>5</v>
      </c>
      <c r="AH27" s="18" t="n">
        <v>3</v>
      </c>
      <c r="AI27" s="18" t="n">
        <v>3</v>
      </c>
      <c r="AJ27" s="18" t="n">
        <v>5</v>
      </c>
      <c r="AK27" s="18" t="n">
        <v>4</v>
      </c>
      <c r="AL27" s="18" t="n">
        <v>5</v>
      </c>
      <c r="AM27" s="18" t="n">
        <v>6</v>
      </c>
      <c r="AN27" s="18" t="n">
        <v>3</v>
      </c>
      <c r="AO27" s="18" t="n">
        <v>5</v>
      </c>
      <c r="AP27" s="18" t="n">
        <v>5</v>
      </c>
      <c r="AQ27" s="18" t="n">
        <v>5</v>
      </c>
      <c r="AR27" s="18" t="n">
        <v>3</v>
      </c>
      <c r="AS27" s="18" t="n">
        <v>4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MAX(0,25-AV27)*1.0</f>
        <v/>
      </c>
      <c r="AX27" s="19">
        <f>AA27+AW27</f>
        <v/>
      </c>
    </row>
    <row r="28">
      <c r="A28" s="8" t="n">
        <v>17</v>
      </c>
      <c r="B28" t="inlineStr">
        <is>
          <t>Diogo Sequeira</t>
        </is>
      </c>
      <c r="C28" s="8" t="inlineStr">
        <is>
          <t>56654</t>
        </is>
      </c>
      <c r="D28" t="inlineStr">
        <is>
          <t>Quinta do Peru</t>
        </is>
      </c>
      <c r="E28" s="8" t="n">
        <v>6.4</v>
      </c>
      <c r="F28" s="18" t="n">
        <v>5</v>
      </c>
      <c r="G28" s="18" t="n">
        <v>6</v>
      </c>
      <c r="H28" s="18" t="n">
        <v>4</v>
      </c>
      <c r="I28" s="18" t="n">
        <v>5</v>
      </c>
      <c r="J28" s="18" t="n">
        <v>4</v>
      </c>
      <c r="K28" s="18" t="n">
        <v>5</v>
      </c>
      <c r="L28" s="18" t="n">
        <v>3</v>
      </c>
      <c r="M28" s="18" t="n">
        <v>5</v>
      </c>
      <c r="N28" s="18" t="n">
        <v>5</v>
      </c>
      <c r="O28" s="18" t="n">
        <v>4</v>
      </c>
      <c r="P28" s="18" t="n">
        <v>5</v>
      </c>
      <c r="Q28" s="18" t="n">
        <v>4</v>
      </c>
      <c r="R28" s="18" t="n">
        <v>3</v>
      </c>
      <c r="S28" s="18" t="n">
        <v>5</v>
      </c>
      <c r="T28" s="18" t="n">
        <v>5</v>
      </c>
      <c r="U28" s="18" t="n">
        <v>6</v>
      </c>
      <c r="V28" s="18" t="n">
        <v>4</v>
      </c>
      <c r="W28" s="18" t="n">
        <v>6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MAX(0,25-Z28)*1.0</f>
        <v/>
      </c>
      <c r="AB28" s="18" t="n">
        <v>6</v>
      </c>
      <c r="AC28" s="18" t="n">
        <v>5</v>
      </c>
      <c r="AD28" s="18" t="n">
        <v>5</v>
      </c>
      <c r="AE28" s="18" t="n">
        <v>4</v>
      </c>
      <c r="AF28" s="18" t="n">
        <v>3</v>
      </c>
      <c r="AG28" s="18" t="n">
        <v>5</v>
      </c>
      <c r="AH28" s="18" t="n">
        <v>3</v>
      </c>
      <c r="AI28" s="18" t="n">
        <v>5</v>
      </c>
      <c r="AJ28" s="18" t="n">
        <v>6</v>
      </c>
      <c r="AK28" s="18" t="n">
        <v>6</v>
      </c>
      <c r="AL28" s="18" t="n">
        <v>5</v>
      </c>
      <c r="AM28" s="18" t="n">
        <v>3</v>
      </c>
      <c r="AN28" s="18" t="n">
        <v>3</v>
      </c>
      <c r="AO28" s="18" t="n">
        <v>5</v>
      </c>
      <c r="AP28" s="18" t="n">
        <v>5</v>
      </c>
      <c r="AQ28" s="18" t="n">
        <v>4</v>
      </c>
      <c r="AR28" s="18" t="n">
        <v>4</v>
      </c>
      <c r="AS28" s="18" t="n">
        <v>6</v>
      </c>
      <c r="AT28" s="8">
        <f>SUM(AB28:AS28)</f>
        <v/>
      </c>
      <c r="AU28" s="8">
        <f>AU10</f>
        <v/>
      </c>
      <c r="AV28" s="8">
        <f>AT28-AU28</f>
        <v/>
      </c>
      <c r="AW28" s="8">
        <f>MAX(0,25-AV28)*1.0</f>
        <v/>
      </c>
      <c r="AX28" s="19">
        <f>AA28+AW28</f>
        <v/>
      </c>
    </row>
    <row r="29">
      <c r="A29" s="8" t="n">
        <v>18</v>
      </c>
      <c r="B29" t="inlineStr">
        <is>
          <t>William Gao</t>
        </is>
      </c>
      <c r="C29" s="8" t="inlineStr">
        <is>
          <t>51524</t>
        </is>
      </c>
      <c r="D29" t="inlineStr">
        <is>
          <t>Quinta do Peru</t>
        </is>
      </c>
      <c r="E29" s="8" t="n">
        <v>9.5</v>
      </c>
      <c r="F29" s="18" t="n">
        <v>4</v>
      </c>
      <c r="G29" s="18" t="n">
        <v>6</v>
      </c>
      <c r="H29" s="18" t="n">
        <v>6</v>
      </c>
      <c r="I29" s="18" t="n">
        <v>6</v>
      </c>
      <c r="J29" s="18" t="n">
        <v>3</v>
      </c>
      <c r="K29" s="18" t="n">
        <v>6</v>
      </c>
      <c r="L29" s="18" t="n">
        <v>2</v>
      </c>
      <c r="M29" s="18" t="n">
        <v>4</v>
      </c>
      <c r="N29" s="18" t="n">
        <v>6</v>
      </c>
      <c r="O29" s="18" t="n">
        <v>4</v>
      </c>
      <c r="P29" s="18" t="n">
        <v>6</v>
      </c>
      <c r="Q29" s="18" t="n">
        <v>7</v>
      </c>
      <c r="R29" s="18" t="n">
        <v>3</v>
      </c>
      <c r="S29" s="18" t="n">
        <v>4</v>
      </c>
      <c r="T29" s="18" t="n">
        <v>5</v>
      </c>
      <c r="U29" s="18" t="n">
        <v>4</v>
      </c>
      <c r="V29" s="18" t="n">
        <v>4</v>
      </c>
      <c r="W29" s="18" t="n">
        <v>6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MAX(0,25-Z29)*1.0</f>
        <v/>
      </c>
      <c r="AB29" s="18" t="n">
        <v>5</v>
      </c>
      <c r="AC29" s="18" t="n">
        <v>5</v>
      </c>
      <c r="AD29" s="18" t="n">
        <v>4</v>
      </c>
      <c r="AE29" s="18" t="n">
        <v>4</v>
      </c>
      <c r="AF29" s="18" t="n">
        <v>4</v>
      </c>
      <c r="AG29" s="18" t="n">
        <v>6</v>
      </c>
      <c r="AH29" s="18" t="n">
        <v>2</v>
      </c>
      <c r="AI29" s="18" t="n">
        <v>5</v>
      </c>
      <c r="AJ29" s="18" t="n">
        <v>5</v>
      </c>
      <c r="AK29" s="18" t="n">
        <v>5</v>
      </c>
      <c r="AL29" s="18" t="n">
        <v>6</v>
      </c>
      <c r="AM29" s="18" t="n">
        <v>4</v>
      </c>
      <c r="AN29" s="18" t="n">
        <v>3</v>
      </c>
      <c r="AO29" s="18" t="n">
        <v>5</v>
      </c>
      <c r="AP29" s="18" t="n">
        <v>6</v>
      </c>
      <c r="AQ29" s="18" t="n">
        <v>5</v>
      </c>
      <c r="AR29" s="18" t="n">
        <v>3</v>
      </c>
      <c r="AS29" s="18" t="n">
        <v>7</v>
      </c>
      <c r="AT29" s="8">
        <f>SUM(AB29:AS29)</f>
        <v/>
      </c>
      <c r="AU29" s="8">
        <f>AU10</f>
        <v/>
      </c>
      <c r="AV29" s="8">
        <f>AT29-AU29</f>
        <v/>
      </c>
      <c r="AW29" s="8">
        <f>MAX(0,25-AV29)*1.0</f>
        <v/>
      </c>
      <c r="AX29" s="19">
        <f>AA29+AW29</f>
        <v/>
      </c>
    </row>
    <row r="30">
      <c r="A30" s="8" t="n">
        <v>19</v>
      </c>
      <c r="B30" t="inlineStr">
        <is>
          <t>Luís Pinheiro Jr.</t>
        </is>
      </c>
      <c r="C30" s="8" t="inlineStr">
        <is>
          <t>46590</t>
        </is>
      </c>
      <c r="D30" t="inlineStr">
        <is>
          <t>Belas</t>
        </is>
      </c>
      <c r="E30" s="8" t="n">
        <v>19.3</v>
      </c>
      <c r="F30" s="18" t="n">
        <v>5</v>
      </c>
      <c r="G30" s="18" t="n">
        <v>6</v>
      </c>
      <c r="H30" s="18" t="n">
        <v>6</v>
      </c>
      <c r="I30" s="18" t="n">
        <v>7</v>
      </c>
      <c r="J30" s="18" t="n">
        <v>4</v>
      </c>
      <c r="K30" s="18" t="n">
        <v>6</v>
      </c>
      <c r="L30" s="18" t="n">
        <v>4</v>
      </c>
      <c r="M30" s="18" t="n">
        <v>6</v>
      </c>
      <c r="N30" s="18" t="n">
        <v>6</v>
      </c>
      <c r="O30" s="18" t="n">
        <v>15</v>
      </c>
      <c r="P30" s="18" t="n">
        <v>6</v>
      </c>
      <c r="Q30" s="18" t="n">
        <v>8</v>
      </c>
      <c r="R30" s="18" t="n">
        <v>3</v>
      </c>
      <c r="S30" s="18" t="n">
        <v>5</v>
      </c>
      <c r="T30" s="18" t="n">
        <v>5</v>
      </c>
      <c r="U30" s="18" t="n">
        <v>4</v>
      </c>
      <c r="V30" s="18" t="n">
        <v>2</v>
      </c>
      <c r="W30" s="18" t="n">
        <v>6</v>
      </c>
      <c r="X30" s="8">
        <f>SUM(F30:W30)</f>
        <v/>
      </c>
      <c r="Y30" s="8">
        <f>Y10</f>
        <v/>
      </c>
      <c r="Z30" s="8">
        <f>X30-Y30</f>
        <v/>
      </c>
      <c r="AA30" s="8">
        <f>MAX(0,25-Z30)*1.0</f>
        <v/>
      </c>
      <c r="AB30" s="18" t="n">
        <v>5</v>
      </c>
      <c r="AC30" s="18" t="n">
        <v>6</v>
      </c>
      <c r="AD30" s="18" t="n">
        <v>3</v>
      </c>
      <c r="AE30" s="18" t="n">
        <v>5</v>
      </c>
      <c r="AF30" s="18" t="n">
        <v>5</v>
      </c>
      <c r="AG30" s="18" t="n">
        <v>5</v>
      </c>
      <c r="AH30" s="18" t="n">
        <v>4</v>
      </c>
      <c r="AI30" s="18" t="n">
        <v>5</v>
      </c>
      <c r="AJ30" s="18" t="n">
        <v>6</v>
      </c>
      <c r="AK30" s="18" t="n">
        <v>4</v>
      </c>
      <c r="AL30" s="18" t="n">
        <v>7</v>
      </c>
      <c r="AM30" s="18" t="n">
        <v>6</v>
      </c>
      <c r="AN30" s="18" t="n">
        <v>5</v>
      </c>
      <c r="AO30" s="18" t="n">
        <v>4</v>
      </c>
      <c r="AP30" s="18" t="n">
        <v>6</v>
      </c>
      <c r="AQ30" s="18" t="n">
        <v>4</v>
      </c>
      <c r="AR30" s="18" t="n">
        <v>3</v>
      </c>
      <c r="AS30" s="18" t="n">
        <v>5</v>
      </c>
      <c r="AT30" s="8">
        <f>SUM(AB30:AS30)</f>
        <v/>
      </c>
      <c r="AU30" s="8">
        <f>AU10</f>
        <v/>
      </c>
      <c r="AV30" s="8">
        <f>AT30-AU30</f>
        <v/>
      </c>
      <c r="AW30" s="8">
        <f>MAX(0,25-AV30)*1.0</f>
        <v/>
      </c>
      <c r="AX30" s="19">
        <f>AA30+AW30</f>
        <v/>
      </c>
    </row>
    <row r="31">
      <c r="A31" s="8" t="inlineStr">
        <is>
          <t>NS</t>
        </is>
      </c>
      <c r="B31" t="inlineStr">
        <is>
          <t>David Filip</t>
        </is>
      </c>
      <c r="C31" s="8" t="inlineStr"/>
      <c r="D31" t="inlineStr">
        <is>
          <t>Lisbon SC</t>
        </is>
      </c>
      <c r="E31" s="8" t="n">
        <v>10.7</v>
      </c>
      <c r="AA31" s="8" t="n">
        <v>0</v>
      </c>
      <c r="AW31" s="8" t="n">
        <v>0</v>
      </c>
      <c r="AX31" s="19">
        <f>AA31+AW31</f>
        <v/>
      </c>
    </row>
  </sheetData>
  <mergeCells count="1">
    <mergeCell ref="A1:H1"/>
  </mergeCells>
  <conditionalFormatting sqref="F12:F31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31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31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31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31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31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31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31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31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31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31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31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31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31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31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31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31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31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31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31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31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31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31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31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31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31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31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31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31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31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31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31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31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31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31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31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Tour Troia</t>
        </is>
      </c>
    </row>
    <row r="2">
      <c r="A2" s="10" t="inlineStr">
        <is>
          <t>Data:</t>
        </is>
      </c>
      <c r="B2" t="inlineStr">
        <is>
          <t>2025-10-24</t>
        </is>
      </c>
    </row>
    <row r="3">
      <c r="A3" s="10" t="inlineStr">
        <is>
          <t>Campo:</t>
        </is>
      </c>
      <c r="B3" t="inlineStr">
        <is>
          <t>Troia Golf</t>
        </is>
      </c>
    </row>
    <row r="4">
      <c r="A4" s="10" t="inlineStr">
        <is>
          <t>ccode/tcode:</t>
        </is>
      </c>
      <c r="B4" t="inlineStr">
        <is>
          <t>017/10189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https://scoring.datagolf.pt/pt/Classifications.aspx?ccode=017&amp;tcode=10189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5</v>
      </c>
      <c r="G10" s="15" t="n">
        <v>3</v>
      </c>
      <c r="H10" s="15" t="n">
        <v>4</v>
      </c>
      <c r="I10" s="15" t="n">
        <v>3</v>
      </c>
      <c r="J10" s="15" t="n">
        <v>4</v>
      </c>
      <c r="K10" s="15" t="n">
        <v>4</v>
      </c>
      <c r="L10" s="15" t="n">
        <v>5</v>
      </c>
      <c r="M10" s="15" t="n">
        <v>4</v>
      </c>
      <c r="N10" s="15" t="n">
        <v>4</v>
      </c>
      <c r="O10" s="15" t="n">
        <v>4</v>
      </c>
      <c r="P10" s="15" t="n">
        <v>3</v>
      </c>
      <c r="Q10" s="15" t="n">
        <v>4</v>
      </c>
      <c r="R10" s="15" t="n">
        <v>4</v>
      </c>
      <c r="S10" s="15" t="n">
        <v>5</v>
      </c>
      <c r="T10" s="15" t="n">
        <v>4</v>
      </c>
      <c r="U10" s="15" t="n">
        <v>4</v>
      </c>
      <c r="V10" s="15" t="n">
        <v>3</v>
      </c>
      <c r="W10" s="15" t="n">
        <v>5</v>
      </c>
      <c r="Y10" s="16">
        <f>SUM(F10:W10)</f>
        <v/>
      </c>
      <c r="AB10" s="15" t="n">
        <v>5</v>
      </c>
      <c r="AC10" s="15" t="n">
        <v>3</v>
      </c>
      <c r="AD10" s="15" t="n">
        <v>4</v>
      </c>
      <c r="AE10" s="15" t="n">
        <v>3</v>
      </c>
      <c r="AF10" s="15" t="n">
        <v>4</v>
      </c>
      <c r="AG10" s="15" t="n">
        <v>4</v>
      </c>
      <c r="AH10" s="15" t="n">
        <v>5</v>
      </c>
      <c r="AI10" s="15" t="n">
        <v>4</v>
      </c>
      <c r="AJ10" s="15" t="n">
        <v>4</v>
      </c>
      <c r="AK10" s="15" t="n">
        <v>4</v>
      </c>
      <c r="AL10" s="15" t="n">
        <v>3</v>
      </c>
      <c r="AM10" s="15" t="n">
        <v>4</v>
      </c>
      <c r="AN10" s="15" t="n">
        <v>4</v>
      </c>
      <c r="AO10" s="15" t="n">
        <v>5</v>
      </c>
      <c r="AP10" s="15" t="n">
        <v>4</v>
      </c>
      <c r="AQ10" s="15" t="n">
        <v>4</v>
      </c>
      <c r="AR10" s="15" t="n">
        <v>3</v>
      </c>
      <c r="AS10" s="15" t="n">
        <v>5</v>
      </c>
      <c r="AU10" s="16">
        <f>SUM(AB10:AS10)</f>
        <v/>
      </c>
    </row>
    <row r="11">
      <c r="A11" s="14" t="inlineStr">
        <is>
          <t>—SI—</t>
        </is>
      </c>
      <c r="F11" s="17" t="n">
        <v>9</v>
      </c>
      <c r="G11" s="17" t="n">
        <v>13</v>
      </c>
      <c r="H11" s="17" t="n">
        <v>7</v>
      </c>
      <c r="I11" s="17" t="n">
        <v>15</v>
      </c>
      <c r="J11" s="17" t="n">
        <v>3</v>
      </c>
      <c r="K11" s="17" t="n">
        <v>1</v>
      </c>
      <c r="L11" s="17" t="n">
        <v>11</v>
      </c>
      <c r="M11" s="17" t="n">
        <v>17</v>
      </c>
      <c r="N11" s="17" t="n">
        <v>5</v>
      </c>
      <c r="O11" s="17" t="n">
        <v>12</v>
      </c>
      <c r="P11" s="17" t="n">
        <v>18</v>
      </c>
      <c r="Q11" s="17" t="n">
        <v>6</v>
      </c>
      <c r="R11" s="17" t="n">
        <v>14</v>
      </c>
      <c r="S11" s="17" t="n">
        <v>4</v>
      </c>
      <c r="T11" s="17" t="n">
        <v>2</v>
      </c>
      <c r="U11" s="17" t="n">
        <v>10</v>
      </c>
      <c r="V11" s="17" t="n">
        <v>16</v>
      </c>
      <c r="W11" s="17" t="n">
        <v>8</v>
      </c>
      <c r="AB11" s="17" t="n">
        <v>9</v>
      </c>
      <c r="AC11" s="17" t="n">
        <v>13</v>
      </c>
      <c r="AD11" s="17" t="n">
        <v>7</v>
      </c>
      <c r="AE11" s="17" t="n">
        <v>15</v>
      </c>
      <c r="AF11" s="17" t="n">
        <v>3</v>
      </c>
      <c r="AG11" s="17" t="n">
        <v>1</v>
      </c>
      <c r="AH11" s="17" t="n">
        <v>11</v>
      </c>
      <c r="AI11" s="17" t="n">
        <v>17</v>
      </c>
      <c r="AJ11" s="17" t="n">
        <v>5</v>
      </c>
      <c r="AK11" s="17" t="n">
        <v>12</v>
      </c>
      <c r="AL11" s="17" t="n">
        <v>18</v>
      </c>
      <c r="AM11" s="17" t="n">
        <v>6</v>
      </c>
      <c r="AN11" s="17" t="n">
        <v>14</v>
      </c>
      <c r="AO11" s="17" t="n">
        <v>4</v>
      </c>
      <c r="AP11" s="17" t="n">
        <v>2</v>
      </c>
      <c r="AQ11" s="17" t="n">
        <v>10</v>
      </c>
      <c r="AR11" s="17" t="n">
        <v>16</v>
      </c>
      <c r="AS11" s="17" t="n">
        <v>8</v>
      </c>
    </row>
    <row r="12">
      <c r="A12" s="8" t="n">
        <v>1</v>
      </c>
      <c r="B12" t="inlineStr">
        <is>
          <t>João Setúbal</t>
        </is>
      </c>
      <c r="C12" s="8" t="inlineStr">
        <is>
          <t>43732</t>
        </is>
      </c>
      <c r="D12" t="inlineStr">
        <is>
          <t>Vilamoura, C. G</t>
        </is>
      </c>
      <c r="E12" s="8" t="n">
        <v>1.8</v>
      </c>
      <c r="F12" s="18" t="n">
        <v>4</v>
      </c>
      <c r="G12" s="18" t="n">
        <v>4</v>
      </c>
      <c r="H12" s="18" t="n">
        <v>3</v>
      </c>
      <c r="I12" s="18" t="n">
        <v>3</v>
      </c>
      <c r="J12" s="18" t="n">
        <v>3</v>
      </c>
      <c r="K12" s="18" t="n">
        <v>4</v>
      </c>
      <c r="L12" s="18" t="n">
        <v>3</v>
      </c>
      <c r="M12" s="18" t="n">
        <v>3</v>
      </c>
      <c r="N12" s="18" t="n">
        <v>3</v>
      </c>
      <c r="O12" s="18" t="n">
        <v>7</v>
      </c>
      <c r="P12" s="18" t="n">
        <v>3</v>
      </c>
      <c r="Q12" s="18" t="n">
        <v>4</v>
      </c>
      <c r="R12" s="18" t="n">
        <v>5</v>
      </c>
      <c r="S12" s="18" t="n">
        <v>7</v>
      </c>
      <c r="T12" s="18" t="n">
        <v>4</v>
      </c>
      <c r="U12" s="18" t="n">
        <v>5</v>
      </c>
      <c r="V12" s="18" t="n">
        <v>3</v>
      </c>
      <c r="W12" s="18" t="n">
        <v>5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5</v>
      </c>
      <c r="AC12" s="18" t="n">
        <v>3</v>
      </c>
      <c r="AD12" s="18" t="n">
        <v>4</v>
      </c>
      <c r="AE12" s="18" t="n">
        <v>3</v>
      </c>
      <c r="AF12" s="18" t="n">
        <v>4</v>
      </c>
      <c r="AG12" s="18" t="n">
        <v>5</v>
      </c>
      <c r="AH12" s="18" t="n">
        <v>5</v>
      </c>
      <c r="AI12" s="18" t="n">
        <v>4</v>
      </c>
      <c r="AJ12" s="18" t="n">
        <v>5</v>
      </c>
      <c r="AK12" s="18" t="n">
        <v>4</v>
      </c>
      <c r="AL12" s="18" t="n">
        <v>4</v>
      </c>
      <c r="AM12" s="18" t="n">
        <v>4</v>
      </c>
      <c r="AN12" s="18" t="n">
        <v>4</v>
      </c>
      <c r="AO12" s="18" t="n">
        <v>6</v>
      </c>
      <c r="AP12" s="18" t="n">
        <v>5</v>
      </c>
      <c r="AQ12" s="18" t="n">
        <v>4</v>
      </c>
      <c r="AR12" s="18" t="n">
        <v>3</v>
      </c>
      <c r="AS12" s="18" t="n">
        <v>6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Santiago Dias</t>
        </is>
      </c>
      <c r="C13" s="8" t="inlineStr">
        <is>
          <t>42908</t>
        </is>
      </c>
      <c r="D13" t="inlineStr">
        <is>
          <t>Oporto</t>
        </is>
      </c>
      <c r="E13" s="8" t="n">
        <v>0.1</v>
      </c>
      <c r="F13" s="18" t="n">
        <v>5</v>
      </c>
      <c r="G13" s="18" t="n">
        <v>4</v>
      </c>
      <c r="H13" s="18" t="n">
        <v>4</v>
      </c>
      <c r="I13" s="18" t="n">
        <v>3</v>
      </c>
      <c r="J13" s="18" t="n">
        <v>5</v>
      </c>
      <c r="K13" s="18" t="n">
        <v>5</v>
      </c>
      <c r="L13" s="18" t="n">
        <v>5</v>
      </c>
      <c r="M13" s="18" t="n">
        <v>3</v>
      </c>
      <c r="N13" s="18" t="n">
        <v>4</v>
      </c>
      <c r="O13" s="18" t="n">
        <v>4</v>
      </c>
      <c r="P13" s="18" t="n">
        <v>3</v>
      </c>
      <c r="Q13" s="18" t="n">
        <v>4</v>
      </c>
      <c r="R13" s="18" t="n">
        <v>4</v>
      </c>
      <c r="S13" s="18" t="n">
        <v>4</v>
      </c>
      <c r="T13" s="18" t="n">
        <v>4</v>
      </c>
      <c r="U13" s="18" t="n">
        <v>5</v>
      </c>
      <c r="V13" s="18" t="n">
        <v>3</v>
      </c>
      <c r="W13" s="18" t="n">
        <v>4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6</v>
      </c>
      <c r="AC13" s="18" t="n">
        <v>4</v>
      </c>
      <c r="AD13" s="18" t="n">
        <v>3</v>
      </c>
      <c r="AE13" s="18" t="n">
        <v>4</v>
      </c>
      <c r="AF13" s="18" t="n">
        <v>5</v>
      </c>
      <c r="AG13" s="18" t="n">
        <v>4</v>
      </c>
      <c r="AH13" s="18" t="n">
        <v>5</v>
      </c>
      <c r="AI13" s="18" t="n">
        <v>5</v>
      </c>
      <c r="AJ13" s="18" t="n">
        <v>4</v>
      </c>
      <c r="AK13" s="18" t="n">
        <v>6</v>
      </c>
      <c r="AL13" s="18" t="n">
        <v>4</v>
      </c>
      <c r="AM13" s="18" t="n">
        <v>5</v>
      </c>
      <c r="AN13" s="18" t="n">
        <v>4</v>
      </c>
      <c r="AO13" s="18" t="n">
        <v>7</v>
      </c>
      <c r="AP13" s="18" t="n">
        <v>4</v>
      </c>
      <c r="AQ13" s="18" t="n">
        <v>4</v>
      </c>
      <c r="AR13" s="18" t="n">
        <v>3</v>
      </c>
      <c r="AS13" s="18" t="n">
        <v>5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André Castro Mendes</t>
        </is>
      </c>
      <c r="C14" s="8" t="inlineStr">
        <is>
          <t>55056</t>
        </is>
      </c>
      <c r="D14" t="inlineStr">
        <is>
          <t>Oitavos</t>
        </is>
      </c>
      <c r="E14" s="8" t="n">
        <v>4.8</v>
      </c>
      <c r="F14" s="18" t="n">
        <v>5</v>
      </c>
      <c r="G14" s="18" t="n">
        <v>3</v>
      </c>
      <c r="H14" s="18" t="n">
        <v>4</v>
      </c>
      <c r="I14" s="18" t="n">
        <v>4</v>
      </c>
      <c r="J14" s="18" t="n">
        <v>4</v>
      </c>
      <c r="K14" s="18" t="n">
        <v>5</v>
      </c>
      <c r="L14" s="18" t="n">
        <v>6</v>
      </c>
      <c r="M14" s="18" t="n">
        <v>4</v>
      </c>
      <c r="N14" s="18" t="n">
        <v>3</v>
      </c>
      <c r="O14" s="18" t="n">
        <v>3</v>
      </c>
      <c r="P14" s="18" t="n">
        <v>4</v>
      </c>
      <c r="Q14" s="18" t="n">
        <v>4</v>
      </c>
      <c r="R14" s="18" t="n">
        <v>4</v>
      </c>
      <c r="S14" s="18" t="n">
        <v>5</v>
      </c>
      <c r="T14" s="18" t="n">
        <v>5</v>
      </c>
      <c r="U14" s="18" t="n">
        <v>4</v>
      </c>
      <c r="V14" s="18" t="n">
        <v>3</v>
      </c>
      <c r="W14" s="18" t="n">
        <v>5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6</v>
      </c>
      <c r="AC14" s="18" t="n">
        <v>3</v>
      </c>
      <c r="AD14" s="18" t="n">
        <v>4</v>
      </c>
      <c r="AE14" s="18" t="n">
        <v>5</v>
      </c>
      <c r="AF14" s="18" t="n">
        <v>4</v>
      </c>
      <c r="AG14" s="18" t="n">
        <v>5</v>
      </c>
      <c r="AH14" s="18" t="n">
        <v>5</v>
      </c>
      <c r="AI14" s="18" t="n">
        <v>4</v>
      </c>
      <c r="AJ14" s="18" t="n">
        <v>4</v>
      </c>
      <c r="AK14" s="18" t="n">
        <v>7</v>
      </c>
      <c r="AL14" s="18" t="n">
        <v>2</v>
      </c>
      <c r="AM14" s="18" t="n">
        <v>5</v>
      </c>
      <c r="AN14" s="18" t="n">
        <v>3</v>
      </c>
      <c r="AO14" s="18" t="n">
        <v>7</v>
      </c>
      <c r="AP14" s="18" t="n">
        <v>4</v>
      </c>
      <c r="AQ14" s="18" t="n">
        <v>6</v>
      </c>
      <c r="AR14" s="18" t="n">
        <v>3</v>
      </c>
      <c r="AS14" s="18" t="n">
        <v>7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Nuno Palmares Jr.</t>
        </is>
      </c>
      <c r="C15" s="8" t="inlineStr">
        <is>
          <t>49124</t>
        </is>
      </c>
      <c r="D15" t="inlineStr">
        <is>
          <t>Estoril</t>
        </is>
      </c>
      <c r="E15" s="8" t="n">
        <v>5</v>
      </c>
      <c r="F15" s="18" t="n">
        <v>5</v>
      </c>
      <c r="G15" s="18" t="n">
        <v>3</v>
      </c>
      <c r="H15" s="18" t="n">
        <v>4</v>
      </c>
      <c r="I15" s="18" t="n">
        <v>2</v>
      </c>
      <c r="J15" s="18" t="n">
        <v>4</v>
      </c>
      <c r="K15" s="18" t="n">
        <v>6</v>
      </c>
      <c r="L15" s="18" t="n">
        <v>5</v>
      </c>
      <c r="M15" s="18" t="n">
        <v>5</v>
      </c>
      <c r="N15" s="18" t="n">
        <v>4</v>
      </c>
      <c r="O15" s="18" t="n">
        <v>4</v>
      </c>
      <c r="P15" s="18" t="n">
        <v>3</v>
      </c>
      <c r="Q15" s="18" t="n">
        <v>3</v>
      </c>
      <c r="R15" s="18" t="n">
        <v>4</v>
      </c>
      <c r="S15" s="18" t="n">
        <v>7</v>
      </c>
      <c r="T15" s="18" t="n">
        <v>4</v>
      </c>
      <c r="U15" s="18" t="n">
        <v>4</v>
      </c>
      <c r="V15" s="18" t="n">
        <v>5</v>
      </c>
      <c r="W15" s="18" t="n">
        <v>6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5</v>
      </c>
      <c r="AC15" s="18" t="n">
        <v>3</v>
      </c>
      <c r="AD15" s="18" t="n">
        <v>4</v>
      </c>
      <c r="AE15" s="18" t="n">
        <v>3</v>
      </c>
      <c r="AF15" s="18" t="n">
        <v>5</v>
      </c>
      <c r="AG15" s="18" t="n">
        <v>5</v>
      </c>
      <c r="AH15" s="18" t="n">
        <v>5</v>
      </c>
      <c r="AI15" s="18" t="n">
        <v>6</v>
      </c>
      <c r="AJ15" s="18" t="n">
        <v>4</v>
      </c>
      <c r="AK15" s="18" t="n">
        <v>4</v>
      </c>
      <c r="AL15" s="18" t="n">
        <v>3</v>
      </c>
      <c r="AM15" s="18" t="n">
        <v>4</v>
      </c>
      <c r="AN15" s="18" t="n">
        <v>4</v>
      </c>
      <c r="AO15" s="18" t="n">
        <v>5</v>
      </c>
      <c r="AP15" s="18" t="n">
        <v>5</v>
      </c>
      <c r="AQ15" s="18" t="n">
        <v>5</v>
      </c>
      <c r="AR15" s="18" t="n">
        <v>3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Rodrigo Sousa Correia</t>
        </is>
      </c>
      <c r="C16" s="8" t="inlineStr">
        <is>
          <t>44934</t>
        </is>
      </c>
      <c r="D16" t="inlineStr">
        <is>
          <t>Vilamoura, C. G</t>
        </is>
      </c>
      <c r="E16" s="8" t="n">
        <v>2.5</v>
      </c>
      <c r="F16" s="18" t="n">
        <v>4</v>
      </c>
      <c r="G16" s="18" t="n">
        <v>3</v>
      </c>
      <c r="H16" s="18" t="n">
        <v>5</v>
      </c>
      <c r="I16" s="18" t="n">
        <v>3</v>
      </c>
      <c r="J16" s="18" t="n">
        <v>4</v>
      </c>
      <c r="K16" s="18" t="n">
        <v>5</v>
      </c>
      <c r="L16" s="18" t="n">
        <v>4</v>
      </c>
      <c r="M16" s="18" t="n">
        <v>3</v>
      </c>
      <c r="N16" s="18" t="n">
        <v>4</v>
      </c>
      <c r="O16" s="18" t="n">
        <v>5</v>
      </c>
      <c r="P16" s="18" t="n">
        <v>4</v>
      </c>
      <c r="Q16" s="18" t="n">
        <v>5</v>
      </c>
      <c r="R16" s="18" t="n">
        <v>4</v>
      </c>
      <c r="S16" s="18" t="n">
        <v>5</v>
      </c>
      <c r="T16" s="18" t="n">
        <v>7</v>
      </c>
      <c r="U16" s="18" t="n">
        <v>5</v>
      </c>
      <c r="V16" s="18" t="n">
        <v>3</v>
      </c>
      <c r="W16" s="18" t="n">
        <v>5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4</v>
      </c>
      <c r="AC16" s="18" t="n">
        <v>3</v>
      </c>
      <c r="AD16" s="18" t="n">
        <v>4</v>
      </c>
      <c r="AE16" s="18" t="n">
        <v>3</v>
      </c>
      <c r="AF16" s="18" t="n">
        <v>4</v>
      </c>
      <c r="AG16" s="18" t="n">
        <v>5</v>
      </c>
      <c r="AH16" s="18" t="n">
        <v>4</v>
      </c>
      <c r="AI16" s="18" t="n">
        <v>4</v>
      </c>
      <c r="AJ16" s="18" t="n">
        <v>5</v>
      </c>
      <c r="AK16" s="18" t="n">
        <v>4</v>
      </c>
      <c r="AL16" s="18" t="n">
        <v>4</v>
      </c>
      <c r="AM16" s="18" t="n">
        <v>5</v>
      </c>
      <c r="AN16" s="18" t="n">
        <v>5</v>
      </c>
      <c r="AO16" s="18" t="n">
        <v>4</v>
      </c>
      <c r="AP16" s="18" t="n">
        <v>5</v>
      </c>
      <c r="AQ16" s="18" t="n">
        <v>3</v>
      </c>
      <c r="AR16" s="18" t="n">
        <v>3</v>
      </c>
      <c r="AS16" s="18" t="n">
        <v>4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Clara Trindade</t>
        </is>
      </c>
      <c r="C17" s="8" t="inlineStr">
        <is>
          <t>45812</t>
        </is>
      </c>
      <c r="D17" t="inlineStr">
        <is>
          <t>Belas</t>
        </is>
      </c>
      <c r="E17" s="8" t="n">
        <v>8.4</v>
      </c>
      <c r="F17" s="18" t="n">
        <v>7</v>
      </c>
      <c r="G17" s="18" t="n">
        <v>3</v>
      </c>
      <c r="H17" s="18" t="n">
        <v>4</v>
      </c>
      <c r="I17" s="18" t="n">
        <v>4</v>
      </c>
      <c r="J17" s="18" t="n">
        <v>5</v>
      </c>
      <c r="K17" s="18" t="n">
        <v>5</v>
      </c>
      <c r="L17" s="18" t="n">
        <v>6</v>
      </c>
      <c r="M17" s="18" t="n">
        <v>4</v>
      </c>
      <c r="N17" s="18" t="n">
        <v>3</v>
      </c>
      <c r="O17" s="18" t="n">
        <v>5</v>
      </c>
      <c r="P17" s="18" t="n">
        <v>4</v>
      </c>
      <c r="Q17" s="18" t="n">
        <v>5</v>
      </c>
      <c r="R17" s="18" t="n">
        <v>3</v>
      </c>
      <c r="S17" s="18" t="n">
        <v>4</v>
      </c>
      <c r="T17" s="18" t="n">
        <v>4</v>
      </c>
      <c r="U17" s="18" t="n">
        <v>5</v>
      </c>
      <c r="V17" s="18" t="n">
        <v>3</v>
      </c>
      <c r="W17" s="18" t="n">
        <v>5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7</v>
      </c>
      <c r="AC17" s="18" t="n">
        <v>4</v>
      </c>
      <c r="AD17" s="18" t="n">
        <v>5</v>
      </c>
      <c r="AE17" s="18" t="n">
        <v>4</v>
      </c>
      <c r="AF17" s="18" t="n">
        <v>5</v>
      </c>
      <c r="AG17" s="18" t="n">
        <v>7</v>
      </c>
      <c r="AH17" s="18" t="n">
        <v>5</v>
      </c>
      <c r="AI17" s="18" t="n">
        <v>4</v>
      </c>
      <c r="AJ17" s="18" t="n">
        <v>4</v>
      </c>
      <c r="AK17" s="18" t="n">
        <v>5</v>
      </c>
      <c r="AL17" s="18" t="n">
        <v>3</v>
      </c>
      <c r="AM17" s="18" t="n">
        <v>6</v>
      </c>
      <c r="AN17" s="18" t="n">
        <v>5</v>
      </c>
      <c r="AO17" s="18" t="n">
        <v>6</v>
      </c>
      <c r="AP17" s="18" t="n">
        <v>6</v>
      </c>
      <c r="AQ17" s="18" t="n">
        <v>6</v>
      </c>
      <c r="AR17" s="18" t="n">
        <v>3</v>
      </c>
      <c r="AS17" s="18" t="n">
        <v>6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Guo Ziyang</t>
        </is>
      </c>
      <c r="C18" s="8" t="inlineStr">
        <is>
          <t>57904</t>
        </is>
      </c>
      <c r="D18" t="inlineStr">
        <is>
          <t>Estoril</t>
        </is>
      </c>
      <c r="E18" s="8" t="n">
        <v>10.9</v>
      </c>
      <c r="F18" s="18" t="n">
        <v>5</v>
      </c>
      <c r="G18" s="18" t="n">
        <v>3</v>
      </c>
      <c r="H18" s="18" t="n">
        <v>4</v>
      </c>
      <c r="I18" s="18" t="n">
        <v>2</v>
      </c>
      <c r="J18" s="18" t="n">
        <v>4</v>
      </c>
      <c r="K18" s="18" t="n">
        <v>5</v>
      </c>
      <c r="L18" s="18" t="n">
        <v>6</v>
      </c>
      <c r="M18" s="18" t="n">
        <v>5</v>
      </c>
      <c r="N18" s="18" t="n">
        <v>4</v>
      </c>
      <c r="O18" s="18" t="n">
        <v>4</v>
      </c>
      <c r="P18" s="18" t="n">
        <v>4</v>
      </c>
      <c r="Q18" s="18" t="n">
        <v>4</v>
      </c>
      <c r="R18" s="18" t="n">
        <v>6</v>
      </c>
      <c r="S18" s="18" t="n">
        <v>5</v>
      </c>
      <c r="T18" s="18" t="n">
        <v>4</v>
      </c>
      <c r="U18" s="18" t="n">
        <v>5</v>
      </c>
      <c r="V18" s="18" t="n">
        <v>4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7</v>
      </c>
      <c r="AC18" s="18" t="n">
        <v>3</v>
      </c>
      <c r="AD18" s="18" t="n">
        <v>5</v>
      </c>
      <c r="AE18" s="18" t="n">
        <v>7</v>
      </c>
      <c r="AF18" s="18" t="n">
        <v>5</v>
      </c>
      <c r="AG18" s="18" t="n">
        <v>4</v>
      </c>
      <c r="AH18" s="18" t="n">
        <v>5</v>
      </c>
      <c r="AI18" s="18" t="n">
        <v>4</v>
      </c>
      <c r="AJ18" s="18" t="n">
        <v>5</v>
      </c>
      <c r="AK18" s="18" t="n">
        <v>4</v>
      </c>
      <c r="AL18" s="18" t="n">
        <v>6</v>
      </c>
      <c r="AM18" s="18" t="n">
        <v>4</v>
      </c>
      <c r="AN18" s="18" t="n">
        <v>5</v>
      </c>
      <c r="AO18" s="18" t="n">
        <v>5</v>
      </c>
      <c r="AP18" s="18" t="n">
        <v>5</v>
      </c>
      <c r="AQ18" s="18" t="n">
        <v>6</v>
      </c>
      <c r="AR18" s="18" t="n">
        <v>4</v>
      </c>
      <c r="AS18" s="18" t="n">
        <v>5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João Rocha</t>
        </is>
      </c>
      <c r="C19" s="8" t="inlineStr">
        <is>
          <t>48297</t>
        </is>
      </c>
      <c r="D19" t="inlineStr">
        <is>
          <t>Estoril</t>
        </is>
      </c>
      <c r="E19" s="8" t="n">
        <v>4.3</v>
      </c>
      <c r="F19" s="18" t="n">
        <v>6</v>
      </c>
      <c r="G19" s="18" t="n">
        <v>3</v>
      </c>
      <c r="H19" s="18" t="n">
        <v>4</v>
      </c>
      <c r="I19" s="18" t="n">
        <v>4</v>
      </c>
      <c r="J19" s="18" t="n">
        <v>3</v>
      </c>
      <c r="K19" s="18" t="n">
        <v>5</v>
      </c>
      <c r="L19" s="18" t="n">
        <v>5</v>
      </c>
      <c r="M19" s="18" t="n">
        <v>5</v>
      </c>
      <c r="N19" s="18" t="n">
        <v>4</v>
      </c>
      <c r="O19" s="18" t="n">
        <v>4</v>
      </c>
      <c r="P19" s="18" t="n">
        <v>4</v>
      </c>
      <c r="Q19" s="18" t="n">
        <v>4</v>
      </c>
      <c r="R19" s="18" t="n">
        <v>4</v>
      </c>
      <c r="S19" s="18" t="n">
        <v>6</v>
      </c>
      <c r="T19" s="18" t="n">
        <v>4</v>
      </c>
      <c r="U19" s="18" t="n">
        <v>4</v>
      </c>
      <c r="V19" s="18" t="n">
        <v>4</v>
      </c>
      <c r="W19" s="18" t="n">
        <v>6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7</v>
      </c>
      <c r="AC19" s="18" t="n">
        <v>4</v>
      </c>
      <c r="AD19" s="18" t="n">
        <v>4</v>
      </c>
      <c r="AE19" s="18" t="n">
        <v>3</v>
      </c>
      <c r="AF19" s="18" t="n">
        <v>5</v>
      </c>
      <c r="AG19" s="18" t="n">
        <v>4</v>
      </c>
      <c r="AH19" s="18" t="n">
        <v>5</v>
      </c>
      <c r="AI19" s="18" t="n">
        <v>5</v>
      </c>
      <c r="AJ19" s="18" t="n">
        <v>5</v>
      </c>
      <c r="AK19" s="18" t="n">
        <v>5</v>
      </c>
      <c r="AL19" s="18" t="n">
        <v>2</v>
      </c>
      <c r="AM19" s="18" t="n">
        <v>5</v>
      </c>
      <c r="AN19" s="18" t="n">
        <v>4</v>
      </c>
      <c r="AO19" s="18" t="n">
        <v>7</v>
      </c>
      <c r="AP19" s="18" t="n">
        <v>5</v>
      </c>
      <c r="AQ19" s="18" t="n">
        <v>4</v>
      </c>
      <c r="AR19" s="18" t="n">
        <v>3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Manuel Goulartt Medeiros</t>
        </is>
      </c>
      <c r="C20" s="8" t="inlineStr">
        <is>
          <t>52884</t>
        </is>
      </c>
      <c r="D20" t="inlineStr">
        <is>
          <t>Santo da Serra</t>
        </is>
      </c>
      <c r="E20" s="8" t="n">
        <v>9.6</v>
      </c>
      <c r="F20" s="18" t="n">
        <v>5</v>
      </c>
      <c r="G20" s="18" t="n">
        <v>4</v>
      </c>
      <c r="H20" s="18" t="n">
        <v>5</v>
      </c>
      <c r="I20" s="18" t="n">
        <v>3</v>
      </c>
      <c r="J20" s="18" t="n">
        <v>5</v>
      </c>
      <c r="K20" s="18" t="n">
        <v>5</v>
      </c>
      <c r="L20" s="18" t="n">
        <v>5</v>
      </c>
      <c r="M20" s="18" t="n">
        <v>5</v>
      </c>
      <c r="N20" s="18" t="n">
        <v>4</v>
      </c>
      <c r="O20" s="18" t="n">
        <v>4</v>
      </c>
      <c r="P20" s="18" t="n">
        <v>4</v>
      </c>
      <c r="Q20" s="18" t="n">
        <v>4</v>
      </c>
      <c r="R20" s="18" t="n">
        <v>5</v>
      </c>
      <c r="S20" s="18" t="n">
        <v>5</v>
      </c>
      <c r="T20" s="18" t="n">
        <v>5</v>
      </c>
      <c r="U20" s="18" t="n">
        <v>5</v>
      </c>
      <c r="V20" s="18" t="n">
        <v>4</v>
      </c>
      <c r="W20" s="18" t="n">
        <v>6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8</v>
      </c>
      <c r="AC20" s="18" t="n">
        <v>3</v>
      </c>
      <c r="AD20" s="18" t="n">
        <v>4</v>
      </c>
      <c r="AE20" s="18" t="n">
        <v>3</v>
      </c>
      <c r="AF20" s="18" t="n">
        <v>4</v>
      </c>
      <c r="AG20" s="18" t="n">
        <v>5</v>
      </c>
      <c r="AH20" s="18" t="n">
        <v>6</v>
      </c>
      <c r="AI20" s="18" t="n">
        <v>4</v>
      </c>
      <c r="AJ20" s="18" t="n">
        <v>5</v>
      </c>
      <c r="AK20" s="18" t="n">
        <v>4</v>
      </c>
      <c r="AL20" s="18" t="n">
        <v>3</v>
      </c>
      <c r="AM20" s="18" t="n">
        <v>5</v>
      </c>
      <c r="AN20" s="18" t="n">
        <v>5</v>
      </c>
      <c r="AO20" s="18" t="n">
        <v>6</v>
      </c>
      <c r="AP20" s="18" t="n">
        <v>7</v>
      </c>
      <c r="AQ20" s="18" t="n">
        <v>4</v>
      </c>
      <c r="AR20" s="18" t="n">
        <v>3</v>
      </c>
      <c r="AS20" s="18" t="n">
        <v>5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Rodrigo Faria Constantino</t>
        </is>
      </c>
      <c r="C21" s="8" t="inlineStr">
        <is>
          <t>45278</t>
        </is>
      </c>
      <c r="D21" t="inlineStr">
        <is>
          <t>Belas</t>
        </is>
      </c>
      <c r="E21" s="8" t="n">
        <v>2</v>
      </c>
      <c r="F21" s="18" t="n">
        <v>6</v>
      </c>
      <c r="G21" s="18" t="n">
        <v>4</v>
      </c>
      <c r="H21" s="18" t="n">
        <v>4</v>
      </c>
      <c r="I21" s="18" t="n">
        <v>3</v>
      </c>
      <c r="J21" s="18" t="n">
        <v>6</v>
      </c>
      <c r="K21" s="18" t="n">
        <v>6</v>
      </c>
      <c r="L21" s="18" t="n">
        <v>5</v>
      </c>
      <c r="M21" s="18" t="n">
        <v>4</v>
      </c>
      <c r="N21" s="18" t="n">
        <v>5</v>
      </c>
      <c r="O21" s="18" t="n">
        <v>6</v>
      </c>
      <c r="P21" s="18" t="n">
        <v>2</v>
      </c>
      <c r="Q21" s="18" t="n">
        <v>4</v>
      </c>
      <c r="R21" s="18" t="n">
        <v>5</v>
      </c>
      <c r="S21" s="18" t="n">
        <v>6</v>
      </c>
      <c r="T21" s="18" t="n">
        <v>5</v>
      </c>
      <c r="U21" s="18" t="n">
        <v>5</v>
      </c>
      <c r="V21" s="18" t="n">
        <v>4</v>
      </c>
      <c r="W21" s="18" t="n">
        <v>4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B21" s="18" t="n">
        <v>8</v>
      </c>
      <c r="AC21" s="18" t="n">
        <v>3</v>
      </c>
      <c r="AD21" s="18" t="n">
        <v>6</v>
      </c>
      <c r="AE21" s="18" t="n">
        <v>3</v>
      </c>
      <c r="AF21" s="18" t="n">
        <v>4</v>
      </c>
      <c r="AG21" s="18" t="n">
        <v>4</v>
      </c>
      <c r="AH21" s="18" t="n">
        <v>6</v>
      </c>
      <c r="AI21" s="18" t="n">
        <v>3</v>
      </c>
      <c r="AJ21" s="18" t="n">
        <v>5</v>
      </c>
      <c r="AK21" s="18" t="n">
        <v>4</v>
      </c>
      <c r="AL21" s="18" t="n">
        <v>3</v>
      </c>
      <c r="AM21" s="18" t="n">
        <v>4</v>
      </c>
      <c r="AN21" s="18" t="n">
        <v>4</v>
      </c>
      <c r="AO21" s="18" t="n">
        <v>4</v>
      </c>
      <c r="AP21" s="18" t="n">
        <v>5</v>
      </c>
      <c r="AQ21" s="18" t="n">
        <v>4</v>
      </c>
      <c r="AR21" s="18" t="n">
        <v>3</v>
      </c>
      <c r="AS21" s="18" t="n">
        <v>4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MAX(0,25-AV21)*1.0</f>
        <v/>
      </c>
      <c r="AX21" s="19">
        <f>AA21+AW21</f>
        <v/>
      </c>
    </row>
    <row r="22">
      <c r="A22" s="8" t="n">
        <v>11</v>
      </c>
      <c r="B22" t="inlineStr">
        <is>
          <t>Pedro Costa Alemão</t>
        </is>
      </c>
      <c r="C22" s="8" t="inlineStr">
        <is>
          <t>46706</t>
        </is>
      </c>
      <c r="D22" t="inlineStr">
        <is>
          <t>Estoril</t>
        </is>
      </c>
      <c r="E22" s="8" t="n">
        <v>3.2</v>
      </c>
      <c r="F22" s="18" t="n">
        <v>4</v>
      </c>
      <c r="G22" s="18" t="n">
        <v>4</v>
      </c>
      <c r="H22" s="18" t="n">
        <v>4</v>
      </c>
      <c r="I22" s="18" t="n">
        <v>3</v>
      </c>
      <c r="J22" s="18" t="n">
        <v>7</v>
      </c>
      <c r="K22" s="18" t="n">
        <v>4</v>
      </c>
      <c r="L22" s="18" t="n">
        <v>5</v>
      </c>
      <c r="M22" s="18" t="n">
        <v>5</v>
      </c>
      <c r="N22" s="18" t="n">
        <v>4</v>
      </c>
      <c r="O22" s="18" t="n">
        <v>5</v>
      </c>
      <c r="P22" s="18" t="n">
        <v>3</v>
      </c>
      <c r="Q22" s="18" t="n">
        <v>5</v>
      </c>
      <c r="R22" s="18" t="n">
        <v>5</v>
      </c>
      <c r="S22" s="18" t="n">
        <v>6</v>
      </c>
      <c r="T22" s="18" t="n">
        <v>6</v>
      </c>
      <c r="U22" s="18" t="n">
        <v>4</v>
      </c>
      <c r="V22" s="18" t="n">
        <v>5</v>
      </c>
      <c r="W22" s="18" t="n">
        <v>5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4</v>
      </c>
      <c r="AC22" s="18" t="n">
        <v>3</v>
      </c>
      <c r="AD22" s="18" t="n">
        <v>5</v>
      </c>
      <c r="AE22" s="18" t="n">
        <v>4</v>
      </c>
      <c r="AF22" s="18" t="n">
        <v>4</v>
      </c>
      <c r="AG22" s="18" t="n">
        <v>4</v>
      </c>
      <c r="AH22" s="18" t="n">
        <v>5</v>
      </c>
      <c r="AI22" s="18" t="n">
        <v>4</v>
      </c>
      <c r="AJ22" s="18" t="n">
        <v>5</v>
      </c>
      <c r="AK22" s="18" t="n">
        <v>5</v>
      </c>
      <c r="AL22" s="18" t="n">
        <v>3</v>
      </c>
      <c r="AM22" s="18" t="n">
        <v>4</v>
      </c>
      <c r="AN22" s="18" t="n">
        <v>5</v>
      </c>
      <c r="AO22" s="18" t="n">
        <v>6</v>
      </c>
      <c r="AP22" s="18" t="n">
        <v>5</v>
      </c>
      <c r="AQ22" s="18" t="n">
        <v>6</v>
      </c>
      <c r="AR22" s="18" t="n">
        <v>3</v>
      </c>
      <c r="AS22" s="18" t="n">
        <v>6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David Filip Jun.</t>
        </is>
      </c>
      <c r="C23" s="8" t="inlineStr">
        <is>
          <t>51949</t>
        </is>
      </c>
      <c r="D23" t="inlineStr">
        <is>
          <t>Lisbon SC</t>
        </is>
      </c>
      <c r="E23" s="8" t="n">
        <v>9.6</v>
      </c>
      <c r="F23" s="18" t="n">
        <v>5</v>
      </c>
      <c r="G23" s="18" t="n">
        <v>4</v>
      </c>
      <c r="H23" s="18" t="n">
        <v>5</v>
      </c>
      <c r="I23" s="18" t="n">
        <v>4</v>
      </c>
      <c r="J23" s="18" t="n">
        <v>5</v>
      </c>
      <c r="K23" s="18" t="n">
        <v>6</v>
      </c>
      <c r="L23" s="18" t="n">
        <v>7</v>
      </c>
      <c r="M23" s="18" t="n">
        <v>3</v>
      </c>
      <c r="N23" s="18" t="n">
        <v>4</v>
      </c>
      <c r="O23" s="18" t="n">
        <v>5</v>
      </c>
      <c r="P23" s="18" t="n">
        <v>4</v>
      </c>
      <c r="Q23" s="18" t="n">
        <v>4</v>
      </c>
      <c r="R23" s="18" t="n">
        <v>4</v>
      </c>
      <c r="S23" s="18" t="n">
        <v>6</v>
      </c>
      <c r="T23" s="18" t="n">
        <v>4</v>
      </c>
      <c r="U23" s="18" t="n">
        <v>5</v>
      </c>
      <c r="V23" s="18" t="n">
        <v>4</v>
      </c>
      <c r="W23" s="18" t="n">
        <v>6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B23" s="18" t="n">
        <v>5</v>
      </c>
      <c r="AC23" s="18" t="n">
        <v>4</v>
      </c>
      <c r="AD23" s="18" t="n">
        <v>5</v>
      </c>
      <c r="AE23" s="18" t="n">
        <v>3</v>
      </c>
      <c r="AF23" s="18" t="n">
        <v>6</v>
      </c>
      <c r="AG23" s="18" t="n">
        <v>5</v>
      </c>
      <c r="AH23" s="18" t="n">
        <v>6</v>
      </c>
      <c r="AI23" s="18" t="n">
        <v>4</v>
      </c>
      <c r="AJ23" s="18" t="n">
        <v>5</v>
      </c>
      <c r="AK23" s="18" t="n">
        <v>5</v>
      </c>
      <c r="AL23" s="18" t="n">
        <v>3</v>
      </c>
      <c r="AM23" s="18" t="n">
        <v>3</v>
      </c>
      <c r="AN23" s="18" t="n">
        <v>4</v>
      </c>
      <c r="AO23" s="18" t="n">
        <v>5</v>
      </c>
      <c r="AP23" s="18" t="n">
        <v>5</v>
      </c>
      <c r="AQ23" s="18" t="n">
        <v>4</v>
      </c>
      <c r="AR23" s="18" t="n">
        <v>2</v>
      </c>
      <c r="AS23" s="18" t="n">
        <v>6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MAX(0,25-AV23)*1.0</f>
        <v/>
      </c>
      <c r="AX23" s="19">
        <f>AA23+AW23</f>
        <v/>
      </c>
    </row>
    <row r="24">
      <c r="A24" s="8" t="n">
        <v>13</v>
      </c>
      <c r="B24" t="inlineStr">
        <is>
          <t>Salvador Ivo de Carvalho</t>
        </is>
      </c>
      <c r="C24" s="8" t="inlineStr">
        <is>
          <t>43968</t>
        </is>
      </c>
      <c r="D24" t="inlineStr">
        <is>
          <t>Vilamoura, C. G</t>
        </is>
      </c>
      <c r="E24" s="8" t="n">
        <v>9.199999999999999</v>
      </c>
      <c r="F24" s="18" t="n">
        <v>7</v>
      </c>
      <c r="G24" s="18" t="n">
        <v>3</v>
      </c>
      <c r="H24" s="18" t="n">
        <v>4</v>
      </c>
      <c r="I24" s="18" t="n">
        <v>6</v>
      </c>
      <c r="J24" s="18" t="n">
        <v>5</v>
      </c>
      <c r="K24" s="18" t="n">
        <v>5</v>
      </c>
      <c r="L24" s="18" t="n">
        <v>5</v>
      </c>
      <c r="M24" s="18" t="n">
        <v>4</v>
      </c>
      <c r="N24" s="18" t="n">
        <v>4</v>
      </c>
      <c r="O24" s="18" t="n">
        <v>4</v>
      </c>
      <c r="P24" s="18" t="n">
        <v>3</v>
      </c>
      <c r="Q24" s="18" t="n">
        <v>5</v>
      </c>
      <c r="R24" s="18" t="n">
        <v>5</v>
      </c>
      <c r="S24" s="18" t="n">
        <v>7</v>
      </c>
      <c r="T24" s="18" t="n">
        <v>5</v>
      </c>
      <c r="U24" s="18" t="n">
        <v>5</v>
      </c>
      <c r="V24" s="18" t="n">
        <v>4</v>
      </c>
      <c r="W24" s="18" t="n">
        <v>5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4</v>
      </c>
      <c r="AC24" s="18" t="n">
        <v>4</v>
      </c>
      <c r="AD24" s="18" t="n">
        <v>4</v>
      </c>
      <c r="AE24" s="18" t="n">
        <v>3</v>
      </c>
      <c r="AF24" s="18" t="n">
        <v>4</v>
      </c>
      <c r="AG24" s="18" t="n">
        <v>4</v>
      </c>
      <c r="AH24" s="18" t="n">
        <v>6</v>
      </c>
      <c r="AI24" s="18" t="n">
        <v>4</v>
      </c>
      <c r="AJ24" s="18" t="n">
        <v>4</v>
      </c>
      <c r="AK24" s="18" t="n">
        <v>4</v>
      </c>
      <c r="AL24" s="18" t="n">
        <v>4</v>
      </c>
      <c r="AM24" s="18" t="n">
        <v>5</v>
      </c>
      <c r="AN24" s="18" t="n">
        <v>4</v>
      </c>
      <c r="AO24" s="18" t="n">
        <v>5</v>
      </c>
      <c r="AP24" s="18" t="n">
        <v>5</v>
      </c>
      <c r="AQ24" s="18" t="n">
        <v>6</v>
      </c>
      <c r="AR24" s="18" t="n">
        <v>3</v>
      </c>
      <c r="AS24" s="18" t="n">
        <v>5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Ricardo Castro Ferreira</t>
        </is>
      </c>
      <c r="C25" s="8" t="inlineStr">
        <is>
          <t>49085</t>
        </is>
      </c>
      <c r="D25" t="inlineStr">
        <is>
          <t>Estoril</t>
        </is>
      </c>
      <c r="E25" s="8" t="n">
        <v>7.5</v>
      </c>
      <c r="F25" s="18" t="n">
        <v>6</v>
      </c>
      <c r="G25" s="18" t="n">
        <v>3</v>
      </c>
      <c r="H25" s="18" t="n">
        <v>5</v>
      </c>
      <c r="I25" s="18" t="n">
        <v>3</v>
      </c>
      <c r="J25" s="18" t="n">
        <v>9</v>
      </c>
      <c r="K25" s="18" t="n">
        <v>5</v>
      </c>
      <c r="L25" s="18" t="n">
        <v>5</v>
      </c>
      <c r="M25" s="18" t="n">
        <v>4</v>
      </c>
      <c r="N25" s="18" t="n">
        <v>5</v>
      </c>
      <c r="O25" s="18" t="n">
        <v>5</v>
      </c>
      <c r="P25" s="18" t="n">
        <v>3</v>
      </c>
      <c r="Q25" s="18" t="n">
        <v>4</v>
      </c>
      <c r="R25" s="18" t="n">
        <v>4</v>
      </c>
      <c r="S25" s="18" t="n">
        <v>5</v>
      </c>
      <c r="T25" s="18" t="n">
        <v>5</v>
      </c>
      <c r="U25" s="18" t="n">
        <v>5</v>
      </c>
      <c r="V25" s="18" t="n">
        <v>4</v>
      </c>
      <c r="W25" s="18" t="n">
        <v>6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6</v>
      </c>
      <c r="AC25" s="18" t="n">
        <v>3</v>
      </c>
      <c r="AD25" s="18" t="n">
        <v>4</v>
      </c>
      <c r="AE25" s="18" t="n">
        <v>3</v>
      </c>
      <c r="AF25" s="18" t="n">
        <v>5</v>
      </c>
      <c r="AG25" s="18" t="n">
        <v>6</v>
      </c>
      <c r="AH25" s="18" t="n">
        <v>5</v>
      </c>
      <c r="AI25" s="18" t="n">
        <v>3</v>
      </c>
      <c r="AJ25" s="18" t="n">
        <v>4</v>
      </c>
      <c r="AK25" s="18" t="n">
        <v>5</v>
      </c>
      <c r="AL25" s="18" t="n">
        <v>3</v>
      </c>
      <c r="AM25" s="18" t="n">
        <v>4</v>
      </c>
      <c r="AN25" s="18" t="n">
        <v>6</v>
      </c>
      <c r="AO25" s="18" t="n">
        <v>6</v>
      </c>
      <c r="AP25" s="18" t="n">
        <v>5</v>
      </c>
      <c r="AQ25" s="18" t="n">
        <v>3</v>
      </c>
      <c r="AR25" s="18" t="n">
        <v>3</v>
      </c>
      <c r="AS25" s="18" t="n">
        <v>6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Martim Sousa de Morais</t>
        </is>
      </c>
      <c r="C26" s="8" t="inlineStr">
        <is>
          <t>41609</t>
        </is>
      </c>
      <c r="D26" t="inlineStr">
        <is>
          <t>Belas</t>
        </is>
      </c>
      <c r="E26" s="8" t="n">
        <v>5.3</v>
      </c>
      <c r="F26" s="18" t="n">
        <v>5</v>
      </c>
      <c r="G26" s="18" t="n">
        <v>4</v>
      </c>
      <c r="H26" s="18" t="n">
        <v>5</v>
      </c>
      <c r="I26" s="18" t="n">
        <v>4</v>
      </c>
      <c r="J26" s="18" t="n">
        <v>7</v>
      </c>
      <c r="K26" s="18" t="n">
        <v>4</v>
      </c>
      <c r="L26" s="18" t="n">
        <v>6</v>
      </c>
      <c r="M26" s="18" t="n">
        <v>4</v>
      </c>
      <c r="N26" s="18" t="n">
        <v>4</v>
      </c>
      <c r="O26" s="18" t="n">
        <v>4</v>
      </c>
      <c r="P26" s="18" t="n">
        <v>3</v>
      </c>
      <c r="Q26" s="18" t="n">
        <v>4</v>
      </c>
      <c r="R26" s="18" t="n">
        <v>7</v>
      </c>
      <c r="S26" s="18" t="n">
        <v>5</v>
      </c>
      <c r="T26" s="18" t="n">
        <v>5</v>
      </c>
      <c r="U26" s="18" t="n">
        <v>5</v>
      </c>
      <c r="V26" s="18" t="n">
        <v>6</v>
      </c>
      <c r="W26" s="18" t="n">
        <v>5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6</v>
      </c>
      <c r="AC26" s="18" t="n">
        <v>3</v>
      </c>
      <c r="AD26" s="18" t="n">
        <v>5</v>
      </c>
      <c r="AE26" s="18" t="n">
        <v>3</v>
      </c>
      <c r="AF26" s="18" t="n">
        <v>4</v>
      </c>
      <c r="AG26" s="18" t="n">
        <v>5</v>
      </c>
      <c r="AH26" s="18" t="n">
        <v>4</v>
      </c>
      <c r="AI26" s="18" t="n">
        <v>5</v>
      </c>
      <c r="AJ26" s="18" t="n">
        <v>5</v>
      </c>
      <c r="AK26" s="18" t="n">
        <v>4</v>
      </c>
      <c r="AL26" s="18" t="n">
        <v>3</v>
      </c>
      <c r="AM26" s="18" t="n">
        <v>5</v>
      </c>
      <c r="AN26" s="18" t="n">
        <v>5</v>
      </c>
      <c r="AO26" s="18" t="n">
        <v>5</v>
      </c>
      <c r="AP26" s="18" t="n">
        <v>4</v>
      </c>
      <c r="AQ26" s="18" t="n">
        <v>5</v>
      </c>
      <c r="AR26" s="18" t="n">
        <v>3</v>
      </c>
      <c r="AS26" s="18" t="n">
        <v>5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n">
        <v>16</v>
      </c>
      <c r="B27" t="inlineStr">
        <is>
          <t>Rafael Gonçales Benesi</t>
        </is>
      </c>
      <c r="C27" s="8" t="inlineStr">
        <is>
          <t>54774</t>
        </is>
      </c>
      <c r="D27" t="inlineStr">
        <is>
          <t>Estoril</t>
        </is>
      </c>
      <c r="E27" s="8" t="n">
        <v>5.8</v>
      </c>
      <c r="F27" s="18" t="n">
        <v>6</v>
      </c>
      <c r="G27" s="18" t="n">
        <v>3</v>
      </c>
      <c r="H27" s="18" t="n">
        <v>5</v>
      </c>
      <c r="I27" s="18" t="n">
        <v>3</v>
      </c>
      <c r="J27" s="18" t="n">
        <v>7</v>
      </c>
      <c r="K27" s="18" t="n">
        <v>6</v>
      </c>
      <c r="L27" s="18" t="n">
        <v>6</v>
      </c>
      <c r="M27" s="18" t="n">
        <v>7</v>
      </c>
      <c r="N27" s="18" t="n">
        <v>4</v>
      </c>
      <c r="O27" s="18" t="n">
        <v>4</v>
      </c>
      <c r="P27" s="18" t="n">
        <v>2</v>
      </c>
      <c r="Q27" s="18" t="n">
        <v>4</v>
      </c>
      <c r="R27" s="18" t="n">
        <v>5</v>
      </c>
      <c r="S27" s="18" t="n">
        <v>5</v>
      </c>
      <c r="T27" s="18" t="n">
        <v>7</v>
      </c>
      <c r="U27" s="18" t="n">
        <v>6</v>
      </c>
      <c r="V27" s="18" t="n">
        <v>2</v>
      </c>
      <c r="W27" s="18" t="n">
        <v>6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MAX(0,25-Z27)*1.0</f>
        <v/>
      </c>
      <c r="AB27" s="18" t="n">
        <v>4</v>
      </c>
      <c r="AC27" s="18" t="n">
        <v>3</v>
      </c>
      <c r="AD27" s="18" t="n">
        <v>4</v>
      </c>
      <c r="AE27" s="18" t="n">
        <v>4</v>
      </c>
      <c r="AF27" s="18" t="n">
        <v>7</v>
      </c>
      <c r="AG27" s="18" t="n">
        <v>5</v>
      </c>
      <c r="AH27" s="18" t="n">
        <v>5</v>
      </c>
      <c r="AI27" s="18" t="n">
        <v>3</v>
      </c>
      <c r="AJ27" s="18" t="n">
        <v>3</v>
      </c>
      <c r="AK27" s="18" t="n">
        <v>4</v>
      </c>
      <c r="AL27" s="18" t="n">
        <v>3</v>
      </c>
      <c r="AM27" s="18" t="n">
        <v>5</v>
      </c>
      <c r="AN27" s="18" t="n">
        <v>5</v>
      </c>
      <c r="AO27" s="18" t="n">
        <v>6</v>
      </c>
      <c r="AP27" s="18" t="n">
        <v>5</v>
      </c>
      <c r="AQ27" s="18" t="n">
        <v>4</v>
      </c>
      <c r="AR27" s="18" t="n">
        <v>4</v>
      </c>
      <c r="AS27" s="18" t="n">
        <v>6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MAX(0,25-AV27)*1.0</f>
        <v/>
      </c>
      <c r="AX27" s="19">
        <f>AA27+AW27</f>
        <v/>
      </c>
    </row>
    <row r="28">
      <c r="A28" s="8" t="n">
        <v>17</v>
      </c>
      <c r="B28" t="inlineStr">
        <is>
          <t>Angelina Gao</t>
        </is>
      </c>
      <c r="C28" s="8" t="inlineStr">
        <is>
          <t>51523</t>
        </is>
      </c>
      <c r="D28" t="inlineStr">
        <is>
          <t>Quinta do Peru</t>
        </is>
      </c>
      <c r="E28" s="8" t="n">
        <v>3.5</v>
      </c>
      <c r="F28" s="18" t="n">
        <v>6</v>
      </c>
      <c r="G28" s="18" t="n">
        <v>3</v>
      </c>
      <c r="H28" s="18" t="n">
        <v>6</v>
      </c>
      <c r="I28" s="18" t="n">
        <v>5</v>
      </c>
      <c r="J28" s="18" t="n">
        <v>5</v>
      </c>
      <c r="K28" s="18" t="n">
        <v>6</v>
      </c>
      <c r="L28" s="18" t="n">
        <v>6</v>
      </c>
      <c r="M28" s="18" t="n">
        <v>5</v>
      </c>
      <c r="N28" s="18" t="n">
        <v>5</v>
      </c>
      <c r="O28" s="18" t="n">
        <v>4</v>
      </c>
      <c r="P28" s="18" t="n">
        <v>4</v>
      </c>
      <c r="Q28" s="18" t="n">
        <v>5</v>
      </c>
      <c r="R28" s="18" t="n">
        <v>4</v>
      </c>
      <c r="S28" s="18" t="n">
        <v>6</v>
      </c>
      <c r="T28" s="18" t="n">
        <v>4</v>
      </c>
      <c r="U28" s="18" t="n">
        <v>4</v>
      </c>
      <c r="V28" s="18" t="n">
        <v>3</v>
      </c>
      <c r="W28" s="18" t="n">
        <v>7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MAX(0,25-Z28)*1.0</f>
        <v/>
      </c>
      <c r="AB28" s="18" t="n">
        <v>5</v>
      </c>
      <c r="AC28" s="18" t="n">
        <v>4</v>
      </c>
      <c r="AD28" s="18" t="n">
        <v>4</v>
      </c>
      <c r="AE28" s="18" t="n">
        <v>5</v>
      </c>
      <c r="AF28" s="18" t="n">
        <v>5</v>
      </c>
      <c r="AG28" s="18" t="n">
        <v>5</v>
      </c>
      <c r="AH28" s="18" t="n">
        <v>5</v>
      </c>
      <c r="AI28" s="18" t="n">
        <v>4</v>
      </c>
      <c r="AJ28" s="18" t="n">
        <v>4</v>
      </c>
      <c r="AK28" s="18" t="n">
        <v>5</v>
      </c>
      <c r="AL28" s="18" t="n">
        <v>3</v>
      </c>
      <c r="AM28" s="18" t="n">
        <v>4</v>
      </c>
      <c r="AN28" s="18" t="n">
        <v>5</v>
      </c>
      <c r="AO28" s="18" t="n">
        <v>4</v>
      </c>
      <c r="AP28" s="18" t="n">
        <v>4</v>
      </c>
      <c r="AQ28" s="18" t="n">
        <v>5</v>
      </c>
      <c r="AR28" s="18" t="n">
        <v>3</v>
      </c>
      <c r="AS28" s="18" t="n">
        <v>6</v>
      </c>
      <c r="AT28" s="8">
        <f>SUM(AB28:AS28)</f>
        <v/>
      </c>
      <c r="AU28" s="8">
        <f>AU10</f>
        <v/>
      </c>
      <c r="AV28" s="8">
        <f>AT28-AU28</f>
        <v/>
      </c>
      <c r="AW28" s="8">
        <f>MAX(0,25-AV28)*1.0</f>
        <v/>
      </c>
      <c r="AX28" s="19">
        <f>AA28+AW28</f>
        <v/>
      </c>
    </row>
    <row r="29">
      <c r="A29" s="8" t="n">
        <v>18</v>
      </c>
      <c r="B29" t="inlineStr">
        <is>
          <t>Madalena Figueiredo</t>
        </is>
      </c>
      <c r="C29" s="8" t="inlineStr">
        <is>
          <t>52011</t>
        </is>
      </c>
      <c r="D29" t="inlineStr">
        <is>
          <t>Belas</t>
        </is>
      </c>
      <c r="E29" s="8" t="n">
        <v>11.4</v>
      </c>
      <c r="F29" s="18" t="n">
        <v>7</v>
      </c>
      <c r="G29" s="18" t="n">
        <v>3</v>
      </c>
      <c r="H29" s="18" t="n">
        <v>4</v>
      </c>
      <c r="I29" s="18" t="n">
        <v>8</v>
      </c>
      <c r="J29" s="18" t="n">
        <v>6</v>
      </c>
      <c r="K29" s="18" t="n">
        <v>5</v>
      </c>
      <c r="L29" s="18" t="n">
        <v>5</v>
      </c>
      <c r="M29" s="18" t="n">
        <v>4</v>
      </c>
      <c r="N29" s="18" t="n">
        <v>4</v>
      </c>
      <c r="O29" s="18" t="n">
        <v>6</v>
      </c>
      <c r="P29" s="18" t="n">
        <v>3</v>
      </c>
      <c r="Q29" s="18" t="n">
        <v>4</v>
      </c>
      <c r="R29" s="18" t="n">
        <v>3</v>
      </c>
      <c r="S29" s="18" t="n">
        <v>6</v>
      </c>
      <c r="T29" s="18" t="n">
        <v>5</v>
      </c>
      <c r="U29" s="18" t="n">
        <v>5</v>
      </c>
      <c r="V29" s="18" t="n">
        <v>3</v>
      </c>
      <c r="W29" s="18" t="n">
        <v>8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MAX(0,25-Z29)*1.0</f>
        <v/>
      </c>
      <c r="AB29" s="18" t="n">
        <v>5</v>
      </c>
      <c r="AC29" s="18" t="n">
        <v>3</v>
      </c>
      <c r="AD29" s="18" t="n">
        <v>5</v>
      </c>
      <c r="AE29" s="18" t="n">
        <v>4</v>
      </c>
      <c r="AF29" s="18" t="n">
        <v>5</v>
      </c>
      <c r="AG29" s="18" t="n">
        <v>5</v>
      </c>
      <c r="AH29" s="18" t="n">
        <v>5</v>
      </c>
      <c r="AI29" s="18" t="n">
        <v>4</v>
      </c>
      <c r="AJ29" s="18" t="n">
        <v>4</v>
      </c>
      <c r="AK29" s="18" t="n">
        <v>5</v>
      </c>
      <c r="AL29" s="18" t="n">
        <v>3</v>
      </c>
      <c r="AM29" s="18" t="n">
        <v>4</v>
      </c>
      <c r="AN29" s="18" t="n">
        <v>5</v>
      </c>
      <c r="AO29" s="18" t="n">
        <v>5</v>
      </c>
      <c r="AP29" s="18" t="n">
        <v>7</v>
      </c>
      <c r="AQ29" s="18" t="n">
        <v>5</v>
      </c>
      <c r="AR29" s="18" t="n">
        <v>3</v>
      </c>
      <c r="AS29" s="18" t="n">
        <v>7</v>
      </c>
      <c r="AT29" s="8">
        <f>SUM(AB29:AS29)</f>
        <v/>
      </c>
      <c r="AU29" s="8">
        <f>AU10</f>
        <v/>
      </c>
      <c r="AV29" s="8">
        <f>AT29-AU29</f>
        <v/>
      </c>
      <c r="AW29" s="8">
        <f>MAX(0,25-AV29)*1.0</f>
        <v/>
      </c>
      <c r="AX29" s="19">
        <f>AA29+AW29</f>
        <v/>
      </c>
    </row>
    <row r="30">
      <c r="A30" s="8" t="n">
        <v>19</v>
      </c>
      <c r="B30" t="inlineStr">
        <is>
          <t>Tomás Lima Pinto</t>
        </is>
      </c>
      <c r="C30" s="8" t="inlineStr">
        <is>
          <t>46037</t>
        </is>
      </c>
      <c r="D30" t="inlineStr">
        <is>
          <t>Vilamoura, C. G</t>
        </is>
      </c>
      <c r="E30" s="8" t="n">
        <v>11.2</v>
      </c>
      <c r="F30" s="18" t="n">
        <v>6</v>
      </c>
      <c r="G30" s="18" t="n">
        <v>3</v>
      </c>
      <c r="H30" s="18" t="n">
        <v>5</v>
      </c>
      <c r="I30" s="18" t="n">
        <v>4</v>
      </c>
      <c r="J30" s="18" t="n">
        <v>5</v>
      </c>
      <c r="K30" s="18" t="n">
        <v>6</v>
      </c>
      <c r="L30" s="18" t="n">
        <v>6</v>
      </c>
      <c r="M30" s="18" t="n">
        <v>5</v>
      </c>
      <c r="N30" s="18" t="n">
        <v>5</v>
      </c>
      <c r="O30" s="18" t="n">
        <v>4</v>
      </c>
      <c r="P30" s="18" t="n">
        <v>3</v>
      </c>
      <c r="Q30" s="18" t="n">
        <v>7</v>
      </c>
      <c r="R30" s="18" t="n">
        <v>4</v>
      </c>
      <c r="S30" s="18" t="n">
        <v>6</v>
      </c>
      <c r="T30" s="18" t="n">
        <v>6</v>
      </c>
      <c r="U30" s="18" t="n">
        <v>5</v>
      </c>
      <c r="V30" s="18" t="n">
        <v>4</v>
      </c>
      <c r="W30" s="18" t="n">
        <v>5</v>
      </c>
      <c r="X30" s="8">
        <f>SUM(F30:W30)</f>
        <v/>
      </c>
      <c r="Y30" s="8">
        <f>Y10</f>
        <v/>
      </c>
      <c r="Z30" s="8">
        <f>X30-Y30</f>
        <v/>
      </c>
      <c r="AA30" s="8">
        <f>MAX(0,25-Z30)*1.0</f>
        <v/>
      </c>
      <c r="AB30" s="18" t="n">
        <v>5</v>
      </c>
      <c r="AC30" s="18" t="n">
        <v>3</v>
      </c>
      <c r="AD30" s="18" t="n">
        <v>5</v>
      </c>
      <c r="AE30" s="18" t="n">
        <v>4</v>
      </c>
      <c r="AF30" s="18" t="n">
        <v>6</v>
      </c>
      <c r="AG30" s="18" t="n">
        <v>5</v>
      </c>
      <c r="AH30" s="18" t="n">
        <v>5</v>
      </c>
      <c r="AI30" s="18" t="n">
        <v>5</v>
      </c>
      <c r="AJ30" s="18" t="n">
        <v>4</v>
      </c>
      <c r="AK30" s="18" t="n">
        <v>4</v>
      </c>
      <c r="AL30" s="18" t="n">
        <v>3</v>
      </c>
      <c r="AM30" s="18" t="n">
        <v>5</v>
      </c>
      <c r="AN30" s="18" t="n">
        <v>5</v>
      </c>
      <c r="AO30" s="18" t="n">
        <v>7</v>
      </c>
      <c r="AP30" s="18" t="n">
        <v>5</v>
      </c>
      <c r="AQ30" s="18" t="n">
        <v>5</v>
      </c>
      <c r="AR30" s="18" t="n">
        <v>4</v>
      </c>
      <c r="AS30" s="18" t="n">
        <v>7</v>
      </c>
      <c r="AT30" s="8">
        <f>SUM(AB30:AS30)</f>
        <v/>
      </c>
      <c r="AU30" s="8">
        <f>AU10</f>
        <v/>
      </c>
      <c r="AV30" s="8">
        <f>AT30-AU30</f>
        <v/>
      </c>
      <c r="AW30" s="8">
        <f>MAX(0,25-AV30)*1.0</f>
        <v/>
      </c>
      <c r="AX30" s="19">
        <f>AA30+AW30</f>
        <v/>
      </c>
    </row>
    <row r="31">
      <c r="A31" s="8" t="n">
        <v>20</v>
      </c>
      <c r="B31" t="inlineStr">
        <is>
          <t>Diogo Sequeira</t>
        </is>
      </c>
      <c r="C31" s="8" t="inlineStr">
        <is>
          <t>56654</t>
        </is>
      </c>
      <c r="D31" t="inlineStr">
        <is>
          <t>Quinta do Peru</t>
        </is>
      </c>
      <c r="E31" s="8" t="n">
        <v>6.6</v>
      </c>
      <c r="F31" s="18" t="n">
        <v>7</v>
      </c>
      <c r="G31" s="18" t="n">
        <v>4</v>
      </c>
      <c r="H31" s="18" t="n">
        <v>7</v>
      </c>
      <c r="I31" s="18" t="n">
        <v>3</v>
      </c>
      <c r="J31" s="18" t="n">
        <v>6</v>
      </c>
      <c r="K31" s="18" t="n">
        <v>5</v>
      </c>
      <c r="L31" s="18" t="n">
        <v>8</v>
      </c>
      <c r="M31" s="18" t="n">
        <v>4</v>
      </c>
      <c r="N31" s="18" t="n">
        <v>6</v>
      </c>
      <c r="O31" s="18" t="n">
        <v>5</v>
      </c>
      <c r="P31" s="18" t="n">
        <v>4</v>
      </c>
      <c r="Q31" s="18" t="n">
        <v>5</v>
      </c>
      <c r="R31" s="18" t="n">
        <v>4</v>
      </c>
      <c r="S31" s="18" t="n">
        <v>7</v>
      </c>
      <c r="T31" s="18" t="n">
        <v>5</v>
      </c>
      <c r="U31" s="18" t="n">
        <v>5</v>
      </c>
      <c r="V31" s="18" t="n">
        <v>4</v>
      </c>
      <c r="W31" s="18" t="n">
        <v>5</v>
      </c>
      <c r="X31" s="8">
        <f>SUM(F31:W31)</f>
        <v/>
      </c>
      <c r="Y31" s="8">
        <f>Y10</f>
        <v/>
      </c>
      <c r="Z31" s="8">
        <f>X31-Y31</f>
        <v/>
      </c>
      <c r="AA31" s="8">
        <f>MAX(0,25-Z31)*1.0</f>
        <v/>
      </c>
      <c r="AB31" s="18" t="n">
        <v>7</v>
      </c>
      <c r="AC31" s="18" t="n">
        <v>3</v>
      </c>
      <c r="AD31" s="18" t="n">
        <v>4</v>
      </c>
      <c r="AE31" s="18" t="n">
        <v>3</v>
      </c>
      <c r="AF31" s="18" t="n">
        <v>4</v>
      </c>
      <c r="AG31" s="18" t="n">
        <v>7</v>
      </c>
      <c r="AH31" s="18" t="n">
        <v>6</v>
      </c>
      <c r="AI31" s="18" t="n">
        <v>4</v>
      </c>
      <c r="AJ31" s="18" t="n">
        <v>5</v>
      </c>
      <c r="AK31" s="18" t="n">
        <v>4</v>
      </c>
      <c r="AL31" s="18" t="n">
        <v>2</v>
      </c>
      <c r="AM31" s="18" t="n">
        <v>4</v>
      </c>
      <c r="AN31" s="18" t="n">
        <v>4</v>
      </c>
      <c r="AO31" s="18" t="n">
        <v>5</v>
      </c>
      <c r="AP31" s="18" t="n">
        <v>4</v>
      </c>
      <c r="AQ31" s="18" t="n">
        <v>5</v>
      </c>
      <c r="AR31" s="18" t="n">
        <v>4</v>
      </c>
      <c r="AS31" s="18" t="n">
        <v>6</v>
      </c>
      <c r="AT31" s="8">
        <f>SUM(AB31:AS31)</f>
        <v/>
      </c>
      <c r="AU31" s="8">
        <f>AU10</f>
        <v/>
      </c>
      <c r="AV31" s="8">
        <f>AT31-AU31</f>
        <v/>
      </c>
      <c r="AW31" s="8">
        <f>MAX(0,25-AV31)*1.0</f>
        <v/>
      </c>
      <c r="AX31" s="19">
        <f>AA31+AW31</f>
        <v/>
      </c>
    </row>
    <row r="32">
      <c r="A32" s="8" t="n">
        <v>21</v>
      </c>
      <c r="B32" t="inlineStr">
        <is>
          <t>Ryan Dantas</t>
        </is>
      </c>
      <c r="C32" s="8" t="inlineStr">
        <is>
          <t>45439</t>
        </is>
      </c>
      <c r="D32" t="inlineStr">
        <is>
          <t>Belas</t>
        </is>
      </c>
      <c r="E32" s="8" t="n">
        <v>6.8</v>
      </c>
      <c r="F32" s="18" t="n">
        <v>4</v>
      </c>
      <c r="G32" s="18" t="n">
        <v>4</v>
      </c>
      <c r="H32" s="18" t="n">
        <v>5</v>
      </c>
      <c r="I32" s="18" t="n">
        <v>3</v>
      </c>
      <c r="J32" s="18" t="n">
        <v>5</v>
      </c>
      <c r="K32" s="18" t="n">
        <v>6</v>
      </c>
      <c r="L32" s="18" t="n">
        <v>10</v>
      </c>
      <c r="M32" s="18" t="n">
        <v>4</v>
      </c>
      <c r="N32" s="18" t="n">
        <v>7</v>
      </c>
      <c r="O32" s="18" t="n">
        <v>6</v>
      </c>
      <c r="P32" s="18" t="n">
        <v>3</v>
      </c>
      <c r="Q32" s="18" t="n">
        <v>4</v>
      </c>
      <c r="R32" s="18" t="n">
        <v>6</v>
      </c>
      <c r="S32" s="18" t="n">
        <v>4</v>
      </c>
      <c r="T32" s="18" t="n">
        <v>5</v>
      </c>
      <c r="U32" s="18" t="n">
        <v>6</v>
      </c>
      <c r="V32" s="18" t="n">
        <v>5</v>
      </c>
      <c r="W32" s="18" t="n">
        <v>8</v>
      </c>
      <c r="X32" s="8">
        <f>SUM(F32:W32)</f>
        <v/>
      </c>
      <c r="Y32" s="8">
        <f>Y10</f>
        <v/>
      </c>
      <c r="Z32" s="8">
        <f>X32-Y32</f>
        <v/>
      </c>
      <c r="AA32" s="8">
        <f>MAX(0,25-Z32)*1.0</f>
        <v/>
      </c>
      <c r="AB32" s="18" t="n">
        <v>5</v>
      </c>
      <c r="AC32" s="18" t="n">
        <v>2</v>
      </c>
      <c r="AD32" s="18" t="n">
        <v>4</v>
      </c>
      <c r="AE32" s="18" t="n">
        <v>3</v>
      </c>
      <c r="AF32" s="18" t="n">
        <v>4</v>
      </c>
      <c r="AG32" s="18" t="n">
        <v>7</v>
      </c>
      <c r="AH32" s="18" t="n">
        <v>5</v>
      </c>
      <c r="AI32" s="18" t="n">
        <v>5</v>
      </c>
      <c r="AJ32" s="18" t="n">
        <v>4</v>
      </c>
      <c r="AK32" s="18" t="n">
        <v>4</v>
      </c>
      <c r="AL32" s="18" t="n">
        <v>3</v>
      </c>
      <c r="AM32" s="18" t="n">
        <v>5</v>
      </c>
      <c r="AN32" s="18" t="n">
        <v>4</v>
      </c>
      <c r="AO32" s="18" t="n">
        <v>6</v>
      </c>
      <c r="AP32" s="18" t="n">
        <v>4</v>
      </c>
      <c r="AQ32" s="18" t="n">
        <v>4</v>
      </c>
      <c r="AR32" s="18" t="n">
        <v>3</v>
      </c>
      <c r="AS32" s="18" t="n">
        <v>8</v>
      </c>
      <c r="AT32" s="8">
        <f>SUM(AB32:AS32)</f>
        <v/>
      </c>
      <c r="AU32" s="8">
        <f>AU10</f>
        <v/>
      </c>
      <c r="AV32" s="8">
        <f>AT32-AU32</f>
        <v/>
      </c>
      <c r="AW32" s="8">
        <f>MAX(0,25-AV32)*1.0</f>
        <v/>
      </c>
      <c r="AX32" s="19">
        <f>AA32+AW32</f>
        <v/>
      </c>
    </row>
    <row r="33">
      <c r="A33" s="8" t="n">
        <v>22</v>
      </c>
      <c r="B33" t="inlineStr">
        <is>
          <t>William Gao</t>
        </is>
      </c>
      <c r="C33" s="8" t="inlineStr">
        <is>
          <t>51524</t>
        </is>
      </c>
      <c r="D33" t="inlineStr">
        <is>
          <t>Quinta do Peru</t>
        </is>
      </c>
      <c r="E33" s="8" t="n">
        <v>8.800000000000001</v>
      </c>
      <c r="F33" s="18" t="n">
        <v>7</v>
      </c>
      <c r="G33" s="18" t="n">
        <v>4</v>
      </c>
      <c r="H33" s="18" t="n">
        <v>4</v>
      </c>
      <c r="I33" s="18" t="n">
        <v>4</v>
      </c>
      <c r="J33" s="18" t="n">
        <v>6</v>
      </c>
      <c r="K33" s="18" t="n">
        <v>4</v>
      </c>
      <c r="L33" s="18" t="n">
        <v>6</v>
      </c>
      <c r="M33" s="18" t="n">
        <v>6</v>
      </c>
      <c r="N33" s="18" t="n">
        <v>5</v>
      </c>
      <c r="O33" s="18" t="n">
        <v>7</v>
      </c>
      <c r="P33" s="18" t="n">
        <v>4</v>
      </c>
      <c r="Q33" s="18" t="n">
        <v>5</v>
      </c>
      <c r="R33" s="18" t="n">
        <v>6</v>
      </c>
      <c r="S33" s="18" t="n">
        <v>7</v>
      </c>
      <c r="T33" s="18" t="n">
        <v>7</v>
      </c>
      <c r="U33" s="18" t="n">
        <v>5</v>
      </c>
      <c r="V33" s="18" t="n">
        <v>4</v>
      </c>
      <c r="W33" s="18" t="n">
        <v>5</v>
      </c>
      <c r="X33" s="8">
        <f>SUM(F33:W33)</f>
        <v/>
      </c>
      <c r="Y33" s="8">
        <f>Y10</f>
        <v/>
      </c>
      <c r="Z33" s="8">
        <f>X33-Y33</f>
        <v/>
      </c>
      <c r="AA33" s="8">
        <f>MAX(0,25-Z33)*1.0</f>
        <v/>
      </c>
      <c r="AB33" s="18" t="n">
        <v>6</v>
      </c>
      <c r="AC33" s="18" t="n">
        <v>3</v>
      </c>
      <c r="AD33" s="18" t="n">
        <v>5</v>
      </c>
      <c r="AE33" s="18" t="n">
        <v>4</v>
      </c>
      <c r="AF33" s="18" t="n">
        <v>5</v>
      </c>
      <c r="AG33" s="18" t="n">
        <v>6</v>
      </c>
      <c r="AH33" s="18" t="n">
        <v>8</v>
      </c>
      <c r="AI33" s="18" t="n">
        <v>4</v>
      </c>
      <c r="AJ33" s="18" t="n">
        <v>7</v>
      </c>
      <c r="AK33" s="18" t="n">
        <v>4</v>
      </c>
      <c r="AL33" s="18" t="n">
        <v>3</v>
      </c>
      <c r="AM33" s="18" t="n">
        <v>5</v>
      </c>
      <c r="AN33" s="18" t="n">
        <v>6</v>
      </c>
      <c r="AO33" s="18" t="n">
        <v>6</v>
      </c>
      <c r="AP33" s="18" t="n">
        <v>5</v>
      </c>
      <c r="AQ33" s="18" t="n">
        <v>5</v>
      </c>
      <c r="AR33" s="18" t="n">
        <v>4</v>
      </c>
      <c r="AS33" s="18" t="n">
        <v>5</v>
      </c>
      <c r="AT33" s="8">
        <f>SUM(AB33:AS33)</f>
        <v/>
      </c>
      <c r="AU33" s="8">
        <f>AU10</f>
        <v/>
      </c>
      <c r="AV33" s="8">
        <f>AT33-AU33</f>
        <v/>
      </c>
      <c r="AW33" s="8">
        <f>MAX(0,25-AV33)*1.0</f>
        <v/>
      </c>
      <c r="AX33" s="19">
        <f>AA33+AW33</f>
        <v/>
      </c>
    </row>
    <row r="34">
      <c r="A34" s="8" t="n">
        <v>23</v>
      </c>
      <c r="B34" t="inlineStr">
        <is>
          <t>Henrique Cunha</t>
        </is>
      </c>
      <c r="C34" s="8" t="inlineStr">
        <is>
          <t>36844</t>
        </is>
      </c>
      <c r="D34" t="inlineStr">
        <is>
          <t>Santo da Serra</t>
        </is>
      </c>
      <c r="E34" s="8" t="n">
        <v>4.8</v>
      </c>
      <c r="F34" s="18" t="n">
        <v>5</v>
      </c>
      <c r="G34" s="18" t="n">
        <v>5</v>
      </c>
      <c r="H34" s="18" t="n">
        <v>4</v>
      </c>
      <c r="I34" s="18" t="n">
        <v>4</v>
      </c>
      <c r="J34" s="18" t="n">
        <v>4</v>
      </c>
      <c r="K34" s="18" t="n">
        <v>8</v>
      </c>
      <c r="L34" s="18" t="n">
        <v>6</v>
      </c>
      <c r="M34" s="18" t="n">
        <v>4</v>
      </c>
      <c r="N34" s="18" t="n">
        <v>5</v>
      </c>
      <c r="O34" s="18" t="n">
        <v>5</v>
      </c>
      <c r="P34" s="18" t="n">
        <v>4</v>
      </c>
      <c r="Q34" s="18" t="n">
        <v>6</v>
      </c>
      <c r="R34" s="18" t="n">
        <v>5</v>
      </c>
      <c r="S34" s="18" t="n">
        <v>7</v>
      </c>
      <c r="T34" s="18" t="n">
        <v>6</v>
      </c>
      <c r="U34" s="18" t="n">
        <v>6</v>
      </c>
      <c r="V34" s="18" t="n">
        <v>5</v>
      </c>
      <c r="W34" s="18" t="n">
        <v>11</v>
      </c>
      <c r="X34" s="8">
        <f>SUM(F34:W34)</f>
        <v/>
      </c>
      <c r="Y34" s="8">
        <f>Y10</f>
        <v/>
      </c>
      <c r="Z34" s="8">
        <f>X34-Y34</f>
        <v/>
      </c>
      <c r="AA34" s="8">
        <f>MAX(0,25-Z34)*1.0</f>
        <v/>
      </c>
      <c r="AB34" s="18" t="n">
        <v>8</v>
      </c>
      <c r="AC34" s="18" t="n">
        <v>4</v>
      </c>
      <c r="AD34" s="18" t="n">
        <v>6</v>
      </c>
      <c r="AE34" s="18" t="n">
        <v>4</v>
      </c>
      <c r="AF34" s="18" t="n">
        <v>5</v>
      </c>
      <c r="AG34" s="18" t="n">
        <v>4</v>
      </c>
      <c r="AH34" s="18" t="n">
        <v>5</v>
      </c>
      <c r="AI34" s="18" t="n">
        <v>6</v>
      </c>
      <c r="AJ34" s="18" t="n">
        <v>6</v>
      </c>
      <c r="AK34" s="18" t="n">
        <v>5</v>
      </c>
      <c r="AL34" s="18" t="n">
        <v>4</v>
      </c>
      <c r="AM34" s="18" t="n">
        <v>7</v>
      </c>
      <c r="AN34" s="18" t="n">
        <v>7</v>
      </c>
      <c r="AO34" s="18" t="n">
        <v>5</v>
      </c>
      <c r="AP34" s="18" t="n">
        <v>6</v>
      </c>
      <c r="AQ34" s="18" t="n">
        <v>4</v>
      </c>
      <c r="AR34" s="18" t="n">
        <v>4</v>
      </c>
      <c r="AS34" s="18" t="n">
        <v>6</v>
      </c>
      <c r="AT34" s="8">
        <f>SUM(AB34:AS34)</f>
        <v/>
      </c>
      <c r="AU34" s="8">
        <f>AU10</f>
        <v/>
      </c>
      <c r="AV34" s="8">
        <f>AT34-AU34</f>
        <v/>
      </c>
      <c r="AW34" s="8">
        <f>MAX(0,25-AV34)*1.0</f>
        <v/>
      </c>
      <c r="AX34" s="19">
        <f>AA34+AW34</f>
        <v/>
      </c>
    </row>
  </sheetData>
  <mergeCells count="1">
    <mergeCell ref="A1:H1"/>
  </mergeCells>
  <conditionalFormatting sqref="F12:F34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34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34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34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34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34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34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34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34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34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34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34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34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34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34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34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34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34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34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34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34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34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34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34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34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34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34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34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34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34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34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34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34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34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34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34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Masters by Details — Aroeira 2</t>
        </is>
      </c>
    </row>
    <row r="2">
      <c r="A2" s="10" t="inlineStr">
        <is>
          <t>Data:</t>
        </is>
      </c>
      <c r="B2" t="inlineStr">
        <is>
          <t>2025-11-22</t>
        </is>
      </c>
    </row>
    <row r="3">
      <c r="A3" s="10" t="inlineStr">
        <is>
          <t>Campo:</t>
        </is>
      </c>
      <c r="B3" t="inlineStr">
        <is>
          <t>PGA Aroeira No.2</t>
        </is>
      </c>
    </row>
    <row r="4">
      <c r="A4" s="10" t="inlineStr">
        <is>
          <t>ccode/tcode:</t>
        </is>
      </c>
      <c r="B4" t="inlineStr">
        <is>
          <t>029/10523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https://scoring.datagolf.pt/pt/Classifications.aspx?ccode=029&amp;tcode=10523</t>
        </is>
      </c>
    </row>
    <row r="6">
      <c r="A6" s="10" t="inlineStr">
        <is>
          <t>Multiplicador:</t>
        </is>
      </c>
      <c r="B6" t="n">
        <v>1</v>
      </c>
    </row>
    <row r="7">
      <c r="A7" s="10" t="n"/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3</v>
      </c>
      <c r="H10" s="15" t="n">
        <v>4</v>
      </c>
      <c r="I10" s="15" t="n">
        <v>4</v>
      </c>
      <c r="J10" s="15" t="n">
        <v>4</v>
      </c>
      <c r="K10" s="15" t="n">
        <v>5</v>
      </c>
      <c r="L10" s="15" t="n">
        <v>4</v>
      </c>
      <c r="M10" s="15" t="n">
        <v>5</v>
      </c>
      <c r="N10" s="15" t="n">
        <v>4</v>
      </c>
      <c r="O10" s="15" t="n">
        <v>5</v>
      </c>
      <c r="P10" s="15" t="n">
        <v>3</v>
      </c>
      <c r="Q10" s="15" t="n">
        <v>4</v>
      </c>
      <c r="R10" s="15" t="n">
        <v>4</v>
      </c>
      <c r="S10" s="15" t="n">
        <v>3</v>
      </c>
      <c r="T10" s="15" t="n">
        <v>4</v>
      </c>
      <c r="U10" s="15" t="n">
        <v>4</v>
      </c>
      <c r="V10" s="15" t="n">
        <v>5</v>
      </c>
      <c r="W10" s="15" t="n">
        <v>3</v>
      </c>
      <c r="Y10" s="16">
        <f>SUM(F10:W10)</f>
        <v/>
      </c>
      <c r="AB10" s="15" t="n">
        <v>4</v>
      </c>
      <c r="AC10" s="15" t="n">
        <v>3</v>
      </c>
      <c r="AD10" s="15" t="n">
        <v>4</v>
      </c>
      <c r="AE10" s="15" t="n">
        <v>4</v>
      </c>
      <c r="AF10" s="15" t="n">
        <v>4</v>
      </c>
      <c r="AG10" s="15" t="n">
        <v>5</v>
      </c>
      <c r="AH10" s="15" t="n">
        <v>4</v>
      </c>
      <c r="AI10" s="15" t="n">
        <v>5</v>
      </c>
      <c r="AJ10" s="15" t="n">
        <v>4</v>
      </c>
      <c r="AK10" s="15" t="n">
        <v>5</v>
      </c>
      <c r="AL10" s="15" t="n">
        <v>3</v>
      </c>
      <c r="AM10" s="15" t="n">
        <v>4</v>
      </c>
      <c r="AN10" s="15" t="n">
        <v>4</v>
      </c>
      <c r="AO10" s="15" t="n">
        <v>3</v>
      </c>
      <c r="AP10" s="15" t="n">
        <v>4</v>
      </c>
      <c r="AQ10" s="15" t="n">
        <v>4</v>
      </c>
      <c r="AR10" s="15" t="n">
        <v>5</v>
      </c>
      <c r="AS10" s="15" t="n">
        <v>3</v>
      </c>
      <c r="AU10" s="16">
        <f>SUM(AB10:AS10)</f>
        <v/>
      </c>
    </row>
    <row r="11">
      <c r="A11" s="14" t="inlineStr">
        <is>
          <t>—SI—</t>
        </is>
      </c>
      <c r="F11" s="17" t="n">
        <v>16</v>
      </c>
      <c r="G11" s="17" t="n">
        <v>4</v>
      </c>
      <c r="H11" s="17" t="n">
        <v>18</v>
      </c>
      <c r="I11" s="17" t="n">
        <v>8</v>
      </c>
      <c r="J11" s="17" t="n">
        <v>2</v>
      </c>
      <c r="K11" s="17" t="n">
        <v>12</v>
      </c>
      <c r="L11" s="17" t="n">
        <v>11</v>
      </c>
      <c r="M11" s="17" t="n">
        <v>3</v>
      </c>
      <c r="N11" s="17" t="n">
        <v>15</v>
      </c>
      <c r="O11" s="17" t="n">
        <v>1</v>
      </c>
      <c r="P11" s="17" t="n">
        <v>13</v>
      </c>
      <c r="Q11" s="17" t="n">
        <v>7</v>
      </c>
      <c r="R11" s="17" t="n">
        <v>5</v>
      </c>
      <c r="S11" s="17" t="n">
        <v>17</v>
      </c>
      <c r="T11" s="17" t="n">
        <v>9</v>
      </c>
      <c r="U11" s="17" t="n">
        <v>10</v>
      </c>
      <c r="V11" s="17" t="n">
        <v>6</v>
      </c>
      <c r="W11" s="17" t="n">
        <v>14</v>
      </c>
      <c r="AB11" s="17" t="n">
        <v>16</v>
      </c>
      <c r="AC11" s="17" t="n">
        <v>4</v>
      </c>
      <c r="AD11" s="17" t="n">
        <v>18</v>
      </c>
      <c r="AE11" s="17" t="n">
        <v>8</v>
      </c>
      <c r="AF11" s="17" t="n">
        <v>2</v>
      </c>
      <c r="AG11" s="17" t="n">
        <v>12</v>
      </c>
      <c r="AH11" s="17" t="n">
        <v>11</v>
      </c>
      <c r="AI11" s="17" t="n">
        <v>3</v>
      </c>
      <c r="AJ11" s="17" t="n">
        <v>15</v>
      </c>
      <c r="AK11" s="17" t="n">
        <v>1</v>
      </c>
      <c r="AL11" s="17" t="n">
        <v>13</v>
      </c>
      <c r="AM11" s="17" t="n">
        <v>7</v>
      </c>
      <c r="AN11" s="17" t="n">
        <v>5</v>
      </c>
      <c r="AO11" s="17" t="n">
        <v>17</v>
      </c>
      <c r="AP11" s="17" t="n">
        <v>9</v>
      </c>
      <c r="AQ11" s="17" t="n">
        <v>10</v>
      </c>
      <c r="AR11" s="17" t="n">
        <v>6</v>
      </c>
      <c r="AS11" s="17" t="n">
        <v>14</v>
      </c>
    </row>
    <row r="12">
      <c r="A12" s="8" t="n">
        <v>1</v>
      </c>
      <c r="B12" t="inlineStr">
        <is>
          <t>João Maria Ivo de Carvalho</t>
        </is>
      </c>
      <c r="C12" s="8" t="inlineStr">
        <is>
          <t>38334</t>
        </is>
      </c>
      <c r="D12" t="inlineStr">
        <is>
          <t>Vilamoura, C. G</t>
        </is>
      </c>
      <c r="E12" s="8" t="n">
        <v>-1.4</v>
      </c>
      <c r="F12" s="18" t="n">
        <v>4</v>
      </c>
      <c r="G12" s="18" t="n">
        <v>2</v>
      </c>
      <c r="H12" s="18" t="n">
        <v>4</v>
      </c>
      <c r="I12" s="18" t="n">
        <v>4</v>
      </c>
      <c r="J12" s="18" t="n">
        <v>4</v>
      </c>
      <c r="K12" s="18" t="n">
        <v>5</v>
      </c>
      <c r="L12" s="18" t="n">
        <v>4</v>
      </c>
      <c r="M12" s="18" t="n">
        <v>6</v>
      </c>
      <c r="N12" s="18" t="n">
        <v>7</v>
      </c>
      <c r="O12" s="18" t="n">
        <v>6</v>
      </c>
      <c r="P12" s="18" t="n">
        <v>3</v>
      </c>
      <c r="Q12" s="18" t="n">
        <v>4</v>
      </c>
      <c r="R12" s="18" t="n">
        <v>5</v>
      </c>
      <c r="S12" s="18" t="n">
        <v>3</v>
      </c>
      <c r="T12" s="18" t="n">
        <v>4</v>
      </c>
      <c r="U12" s="18" t="n">
        <v>4</v>
      </c>
      <c r="V12" s="18" t="n">
        <v>4</v>
      </c>
      <c r="W12" s="18" t="n">
        <v>3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MAX(0,25-Z12)*1.0</f>
        <v/>
      </c>
      <c r="AB12" s="18" t="n">
        <v>4</v>
      </c>
      <c r="AC12" s="18" t="n">
        <v>3</v>
      </c>
      <c r="AD12" s="18" t="n">
        <v>3</v>
      </c>
      <c r="AE12" s="18" t="n">
        <v>4</v>
      </c>
      <c r="AF12" s="18" t="n">
        <v>4</v>
      </c>
      <c r="AG12" s="18" t="n">
        <v>6</v>
      </c>
      <c r="AH12" s="18" t="n">
        <v>4</v>
      </c>
      <c r="AI12" s="18" t="n">
        <v>5</v>
      </c>
      <c r="AJ12" s="18" t="n">
        <v>4</v>
      </c>
      <c r="AK12" s="18" t="n">
        <v>5</v>
      </c>
      <c r="AL12" s="18" t="n">
        <v>3</v>
      </c>
      <c r="AM12" s="18" t="n">
        <v>4</v>
      </c>
      <c r="AN12" s="18" t="n">
        <v>4</v>
      </c>
      <c r="AO12" s="18" t="n">
        <v>2</v>
      </c>
      <c r="AP12" s="18" t="n">
        <v>4</v>
      </c>
      <c r="AQ12" s="18" t="n">
        <v>4</v>
      </c>
      <c r="AR12" s="18" t="n">
        <v>5</v>
      </c>
      <c r="AS12" s="18" t="n">
        <v>3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MAX(0,25-AV12)*1.0</f>
        <v/>
      </c>
      <c r="AX12" s="19">
        <f>AA12+AW12</f>
        <v/>
      </c>
    </row>
    <row r="13">
      <c r="A13" s="8" t="n">
        <v>2</v>
      </c>
      <c r="B13" t="inlineStr">
        <is>
          <t>Ricardo Castro Ferreira</t>
        </is>
      </c>
      <c r="C13" s="8" t="inlineStr">
        <is>
          <t>49085</t>
        </is>
      </c>
      <c r="D13" t="inlineStr">
        <is>
          <t>Estoril</t>
        </is>
      </c>
      <c r="E13" s="8" t="n">
        <v>7.2</v>
      </c>
      <c r="F13" s="18" t="n">
        <v>4</v>
      </c>
      <c r="G13" s="18" t="n">
        <v>3</v>
      </c>
      <c r="H13" s="18" t="n">
        <v>4</v>
      </c>
      <c r="I13" s="18" t="n">
        <v>5</v>
      </c>
      <c r="J13" s="18" t="n">
        <v>5</v>
      </c>
      <c r="K13" s="18" t="n">
        <v>5</v>
      </c>
      <c r="L13" s="18" t="n">
        <v>4</v>
      </c>
      <c r="M13" s="18" t="n">
        <v>4</v>
      </c>
      <c r="N13" s="18" t="n">
        <v>5</v>
      </c>
      <c r="O13" s="18" t="n">
        <v>6</v>
      </c>
      <c r="P13" s="18" t="n">
        <v>3</v>
      </c>
      <c r="Q13" s="18" t="n">
        <v>4</v>
      </c>
      <c r="R13" s="18" t="n">
        <v>4</v>
      </c>
      <c r="S13" s="18" t="n">
        <v>3</v>
      </c>
      <c r="T13" s="18" t="n">
        <v>7</v>
      </c>
      <c r="U13" s="18" t="n">
        <v>3</v>
      </c>
      <c r="V13" s="18" t="n">
        <v>5</v>
      </c>
      <c r="W13" s="18" t="n">
        <v>2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MAX(0,25-Z13)*1.0</f>
        <v/>
      </c>
      <c r="AB13" s="18" t="n">
        <v>3</v>
      </c>
      <c r="AC13" s="18" t="n">
        <v>3</v>
      </c>
      <c r="AD13" s="18" t="n">
        <v>4</v>
      </c>
      <c r="AE13" s="18" t="n">
        <v>4</v>
      </c>
      <c r="AF13" s="18" t="n">
        <v>5</v>
      </c>
      <c r="AG13" s="18" t="n">
        <v>5</v>
      </c>
      <c r="AH13" s="18" t="n">
        <v>4</v>
      </c>
      <c r="AI13" s="18" t="n">
        <v>6</v>
      </c>
      <c r="AJ13" s="18" t="n">
        <v>5</v>
      </c>
      <c r="AK13" s="18" t="n">
        <v>5</v>
      </c>
      <c r="AL13" s="18" t="n">
        <v>4</v>
      </c>
      <c r="AM13" s="18" t="n">
        <v>4</v>
      </c>
      <c r="AN13" s="18" t="n">
        <v>4</v>
      </c>
      <c r="AO13" s="18" t="n">
        <v>5</v>
      </c>
      <c r="AP13" s="18" t="n">
        <v>5</v>
      </c>
      <c r="AQ13" s="18" t="n">
        <v>5</v>
      </c>
      <c r="AR13" s="18" t="n">
        <v>5</v>
      </c>
      <c r="AS13" s="18" t="n">
        <v>3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MAX(0,25-AV13)*1.0</f>
        <v/>
      </c>
      <c r="AX13" s="19">
        <f>AA13+AW13</f>
        <v/>
      </c>
    </row>
    <row r="14">
      <c r="A14" s="8" t="n">
        <v>3</v>
      </c>
      <c r="B14" t="inlineStr">
        <is>
          <t>Francisca Salgado</t>
        </is>
      </c>
      <c r="C14" s="8" t="inlineStr">
        <is>
          <t>43832</t>
        </is>
      </c>
      <c r="D14" t="inlineStr">
        <is>
          <t>Vale de Janelas</t>
        </is>
      </c>
      <c r="E14" s="8" t="n">
        <v>1.2</v>
      </c>
      <c r="F14" s="18" t="n">
        <v>4</v>
      </c>
      <c r="G14" s="18" t="n">
        <v>3</v>
      </c>
      <c r="H14" s="18" t="n">
        <v>4</v>
      </c>
      <c r="I14" s="18" t="n">
        <v>4</v>
      </c>
      <c r="J14" s="18" t="n">
        <v>5</v>
      </c>
      <c r="K14" s="18" t="n">
        <v>5</v>
      </c>
      <c r="L14" s="18" t="n">
        <v>4</v>
      </c>
      <c r="M14" s="18" t="n">
        <v>7</v>
      </c>
      <c r="N14" s="18" t="n">
        <v>5</v>
      </c>
      <c r="O14" s="18" t="n">
        <v>6</v>
      </c>
      <c r="P14" s="18" t="n">
        <v>3</v>
      </c>
      <c r="Q14" s="18" t="n">
        <v>4</v>
      </c>
      <c r="R14" s="18" t="n">
        <v>4</v>
      </c>
      <c r="S14" s="18" t="n">
        <v>3</v>
      </c>
      <c r="T14" s="18" t="n">
        <v>4</v>
      </c>
      <c r="U14" s="18" t="n">
        <v>4</v>
      </c>
      <c r="V14" s="18" t="n">
        <v>6</v>
      </c>
      <c r="W14" s="18" t="n">
        <v>3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MAX(0,25-Z14)*1.0</f>
        <v/>
      </c>
      <c r="AB14" s="18" t="n">
        <v>5</v>
      </c>
      <c r="AC14" s="18" t="n">
        <v>5</v>
      </c>
      <c r="AD14" s="18" t="n">
        <v>3</v>
      </c>
      <c r="AE14" s="18" t="n">
        <v>4</v>
      </c>
      <c r="AF14" s="18" t="n">
        <v>3</v>
      </c>
      <c r="AG14" s="18" t="n">
        <v>6</v>
      </c>
      <c r="AH14" s="18" t="n">
        <v>4</v>
      </c>
      <c r="AI14" s="18" t="n">
        <v>5</v>
      </c>
      <c r="AJ14" s="18" t="n">
        <v>3</v>
      </c>
      <c r="AK14" s="18" t="n">
        <v>6</v>
      </c>
      <c r="AL14" s="18" t="n">
        <v>3</v>
      </c>
      <c r="AM14" s="18" t="n">
        <v>6</v>
      </c>
      <c r="AN14" s="18" t="n">
        <v>4</v>
      </c>
      <c r="AO14" s="18" t="n">
        <v>3</v>
      </c>
      <c r="AP14" s="18" t="n">
        <v>5</v>
      </c>
      <c r="AQ14" s="18" t="n">
        <v>5</v>
      </c>
      <c r="AR14" s="18" t="n">
        <v>6</v>
      </c>
      <c r="AS14" s="18" t="n">
        <v>3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MAX(0,25-AV14)*1.0</f>
        <v/>
      </c>
      <c r="AX14" s="19">
        <f>AA14+AW14</f>
        <v/>
      </c>
    </row>
    <row r="15">
      <c r="A15" s="8" t="n">
        <v>4</v>
      </c>
      <c r="B15" t="inlineStr">
        <is>
          <t>Francisco Reis</t>
        </is>
      </c>
      <c r="C15" s="8" t="inlineStr">
        <is>
          <t>40534</t>
        </is>
      </c>
      <c r="D15" t="inlineStr">
        <is>
          <t>Vilamoura, C. G</t>
        </is>
      </c>
      <c r="E15" s="8" t="n">
        <v>0.1</v>
      </c>
      <c r="F15" s="18" t="n">
        <v>4</v>
      </c>
      <c r="G15" s="18" t="n">
        <v>4</v>
      </c>
      <c r="H15" s="18" t="n">
        <v>4</v>
      </c>
      <c r="I15" s="18" t="n">
        <v>5</v>
      </c>
      <c r="J15" s="18" t="n">
        <v>5</v>
      </c>
      <c r="K15" s="18" t="n">
        <v>7</v>
      </c>
      <c r="L15" s="18" t="n">
        <v>6</v>
      </c>
      <c r="M15" s="18" t="n">
        <v>4</v>
      </c>
      <c r="N15" s="18" t="n">
        <v>4</v>
      </c>
      <c r="O15" s="18" t="n">
        <v>4</v>
      </c>
      <c r="P15" s="18" t="n">
        <v>3</v>
      </c>
      <c r="Q15" s="18" t="n">
        <v>4</v>
      </c>
      <c r="R15" s="18" t="n">
        <v>5</v>
      </c>
      <c r="S15" s="18" t="n">
        <v>3</v>
      </c>
      <c r="T15" s="18" t="n">
        <v>6</v>
      </c>
      <c r="U15" s="18" t="n">
        <v>4</v>
      </c>
      <c r="V15" s="18" t="n">
        <v>5</v>
      </c>
      <c r="W15" s="18" t="n">
        <v>2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MAX(0,25-Z15)*1.0</f>
        <v/>
      </c>
      <c r="AB15" s="18" t="n">
        <v>4</v>
      </c>
      <c r="AC15" s="18" t="n">
        <v>3</v>
      </c>
      <c r="AD15" s="18" t="n">
        <v>3</v>
      </c>
      <c r="AE15" s="18" t="n">
        <v>4</v>
      </c>
      <c r="AF15" s="18" t="n">
        <v>4</v>
      </c>
      <c r="AG15" s="18" t="n">
        <v>6</v>
      </c>
      <c r="AH15" s="18" t="n">
        <v>4</v>
      </c>
      <c r="AI15" s="18" t="n">
        <v>6</v>
      </c>
      <c r="AJ15" s="18" t="n">
        <v>5</v>
      </c>
      <c r="AK15" s="18" t="n">
        <v>5</v>
      </c>
      <c r="AL15" s="18" t="n">
        <v>3</v>
      </c>
      <c r="AM15" s="18" t="n">
        <v>5</v>
      </c>
      <c r="AN15" s="18" t="n">
        <v>4</v>
      </c>
      <c r="AO15" s="18" t="n">
        <v>5</v>
      </c>
      <c r="AP15" s="18" t="n">
        <v>4</v>
      </c>
      <c r="AQ15" s="18" t="n">
        <v>5</v>
      </c>
      <c r="AR15" s="18" t="n">
        <v>5</v>
      </c>
      <c r="AS15" s="18" t="n">
        <v>5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MAX(0,25-AV15)*1.0</f>
        <v/>
      </c>
      <c r="AX15" s="19">
        <f>AA15+AW15</f>
        <v/>
      </c>
    </row>
    <row r="16">
      <c r="A16" s="8" t="n">
        <v>5</v>
      </c>
      <c r="B16" t="inlineStr">
        <is>
          <t>Rodrigo Faria Constantino</t>
        </is>
      </c>
      <c r="C16" s="8" t="inlineStr">
        <is>
          <t>45278</t>
        </is>
      </c>
      <c r="D16" t="inlineStr">
        <is>
          <t>Belas</t>
        </is>
      </c>
      <c r="E16" s="8" t="n">
        <v>1.4</v>
      </c>
      <c r="F16" s="18" t="n">
        <v>4</v>
      </c>
      <c r="G16" s="18" t="n">
        <v>3</v>
      </c>
      <c r="H16" s="18" t="n">
        <v>4</v>
      </c>
      <c r="I16" s="18" t="n">
        <v>4</v>
      </c>
      <c r="J16" s="18" t="n">
        <v>5</v>
      </c>
      <c r="K16" s="18" t="n">
        <v>5</v>
      </c>
      <c r="L16" s="18" t="n">
        <v>5</v>
      </c>
      <c r="M16" s="18" t="n">
        <v>5</v>
      </c>
      <c r="N16" s="18" t="n">
        <v>4</v>
      </c>
      <c r="O16" s="18" t="n">
        <v>5</v>
      </c>
      <c r="P16" s="18" t="n">
        <v>3</v>
      </c>
      <c r="Q16" s="18" t="n">
        <v>4</v>
      </c>
      <c r="R16" s="18" t="n">
        <v>4</v>
      </c>
      <c r="S16" s="18" t="n">
        <v>3</v>
      </c>
      <c r="T16" s="18" t="n">
        <v>6</v>
      </c>
      <c r="U16" s="18" t="n">
        <v>3</v>
      </c>
      <c r="V16" s="18" t="n">
        <v>4</v>
      </c>
      <c r="W16" s="18" t="n">
        <v>3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MAX(0,25-Z16)*1.0</f>
        <v/>
      </c>
      <c r="AB16" s="18" t="n">
        <v>4</v>
      </c>
      <c r="AC16" s="18" t="n">
        <v>4</v>
      </c>
      <c r="AD16" s="18" t="n">
        <v>4</v>
      </c>
      <c r="AE16" s="18" t="n">
        <v>6</v>
      </c>
      <c r="AF16" s="18" t="n">
        <v>5</v>
      </c>
      <c r="AG16" s="18" t="n">
        <v>6</v>
      </c>
      <c r="AH16" s="18" t="n">
        <v>4</v>
      </c>
      <c r="AI16" s="18" t="n">
        <v>6</v>
      </c>
      <c r="AJ16" s="18" t="n">
        <v>4</v>
      </c>
      <c r="AK16" s="18" t="n">
        <v>5</v>
      </c>
      <c r="AL16" s="18" t="n">
        <v>4</v>
      </c>
      <c r="AM16" s="18" t="n">
        <v>4</v>
      </c>
      <c r="AN16" s="18" t="n">
        <v>4</v>
      </c>
      <c r="AO16" s="18" t="n">
        <v>3</v>
      </c>
      <c r="AP16" s="18" t="n">
        <v>4</v>
      </c>
      <c r="AQ16" s="18" t="n">
        <v>4</v>
      </c>
      <c r="AR16" s="18" t="n">
        <v>7</v>
      </c>
      <c r="AS16" s="18" t="n">
        <v>3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MAX(0,25-AV16)*1.0</f>
        <v/>
      </c>
      <c r="AX16" s="19">
        <f>AA16+AW16</f>
        <v/>
      </c>
    </row>
    <row r="17">
      <c r="A17" s="8" t="n">
        <v>6</v>
      </c>
      <c r="B17" t="inlineStr">
        <is>
          <t>Nuno Palmares Jr.</t>
        </is>
      </c>
      <c r="C17" s="8" t="inlineStr">
        <is>
          <t>49124</t>
        </is>
      </c>
      <c r="D17" t="inlineStr">
        <is>
          <t>Estoril</t>
        </is>
      </c>
      <c r="E17" s="8" t="n">
        <v>4.3</v>
      </c>
      <c r="F17" s="18" t="n">
        <v>4</v>
      </c>
      <c r="G17" s="18" t="n">
        <v>3</v>
      </c>
      <c r="H17" s="18" t="n">
        <v>4</v>
      </c>
      <c r="I17" s="18" t="n">
        <v>5</v>
      </c>
      <c r="J17" s="18" t="n">
        <v>5</v>
      </c>
      <c r="K17" s="18" t="n">
        <v>7</v>
      </c>
      <c r="L17" s="18" t="n">
        <v>4</v>
      </c>
      <c r="M17" s="18" t="n">
        <v>5</v>
      </c>
      <c r="N17" s="18" t="n">
        <v>5</v>
      </c>
      <c r="O17" s="18" t="n">
        <v>6</v>
      </c>
      <c r="P17" s="18" t="n">
        <v>3</v>
      </c>
      <c r="Q17" s="18" t="n">
        <v>4</v>
      </c>
      <c r="R17" s="18" t="n">
        <v>4</v>
      </c>
      <c r="S17" s="18" t="n">
        <v>4</v>
      </c>
      <c r="T17" s="18" t="n">
        <v>5</v>
      </c>
      <c r="U17" s="18" t="n">
        <v>5</v>
      </c>
      <c r="V17" s="18" t="n">
        <v>5</v>
      </c>
      <c r="W17" s="18" t="n">
        <v>3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MAX(0,25-Z17)*1.0</f>
        <v/>
      </c>
      <c r="AB17" s="18" t="n">
        <v>4</v>
      </c>
      <c r="AC17" s="18" t="n">
        <v>3</v>
      </c>
      <c r="AD17" s="18" t="n">
        <v>4</v>
      </c>
      <c r="AE17" s="18" t="n">
        <v>5</v>
      </c>
      <c r="AF17" s="18" t="n">
        <v>5</v>
      </c>
      <c r="AG17" s="18" t="n">
        <v>7</v>
      </c>
      <c r="AH17" s="18" t="n">
        <v>4</v>
      </c>
      <c r="AI17" s="18" t="n">
        <v>5</v>
      </c>
      <c r="AJ17" s="18" t="n">
        <v>4</v>
      </c>
      <c r="AK17" s="18" t="n">
        <v>5</v>
      </c>
      <c r="AL17" s="18" t="n">
        <v>4</v>
      </c>
      <c r="AM17" s="18" t="n">
        <v>4</v>
      </c>
      <c r="AN17" s="18" t="n">
        <v>5</v>
      </c>
      <c r="AO17" s="18" t="n">
        <v>4</v>
      </c>
      <c r="AP17" s="18" t="n">
        <v>5</v>
      </c>
      <c r="AQ17" s="18" t="n">
        <v>4</v>
      </c>
      <c r="AR17" s="18" t="n">
        <v>5</v>
      </c>
      <c r="AS17" s="18" t="n">
        <v>2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MAX(0,25-AV17)*1.0</f>
        <v/>
      </c>
      <c r="AX17" s="19">
        <f>AA17+AW17</f>
        <v/>
      </c>
    </row>
    <row r="18">
      <c r="A18" s="8" t="n">
        <v>7</v>
      </c>
      <c r="B18" t="inlineStr">
        <is>
          <t>David Filip Jun.</t>
        </is>
      </c>
      <c r="C18" s="8" t="inlineStr">
        <is>
          <t>51949</t>
        </is>
      </c>
      <c r="D18" t="inlineStr">
        <is>
          <t>Lisbon SC</t>
        </is>
      </c>
      <c r="E18" s="8" t="n">
        <v>8.300000000000001</v>
      </c>
      <c r="F18" s="18" t="n">
        <v>4</v>
      </c>
      <c r="G18" s="18" t="n">
        <v>3</v>
      </c>
      <c r="H18" s="18" t="n">
        <v>4</v>
      </c>
      <c r="I18" s="18" t="n">
        <v>4</v>
      </c>
      <c r="J18" s="18" t="n">
        <v>4</v>
      </c>
      <c r="K18" s="18" t="n">
        <v>5</v>
      </c>
      <c r="L18" s="18" t="n">
        <v>5</v>
      </c>
      <c r="M18" s="18" t="n">
        <v>7</v>
      </c>
      <c r="N18" s="18" t="n">
        <v>5</v>
      </c>
      <c r="O18" s="18" t="n">
        <v>5</v>
      </c>
      <c r="P18" s="18" t="n">
        <v>3</v>
      </c>
      <c r="Q18" s="18" t="n">
        <v>6</v>
      </c>
      <c r="R18" s="18" t="n">
        <v>4</v>
      </c>
      <c r="S18" s="18" t="n">
        <v>4</v>
      </c>
      <c r="T18" s="18" t="n">
        <v>4</v>
      </c>
      <c r="U18" s="18" t="n">
        <v>4</v>
      </c>
      <c r="V18" s="18" t="n">
        <v>7</v>
      </c>
      <c r="W18" s="18" t="n">
        <v>3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MAX(0,25-Z18)*1.0</f>
        <v/>
      </c>
      <c r="AB18" s="18" t="n">
        <v>5</v>
      </c>
      <c r="AC18" s="18" t="n">
        <v>3</v>
      </c>
      <c r="AD18" s="18" t="n">
        <v>6</v>
      </c>
      <c r="AE18" s="18" t="n">
        <v>6</v>
      </c>
      <c r="AF18" s="18" t="n">
        <v>6</v>
      </c>
      <c r="AG18" s="18" t="n">
        <v>6</v>
      </c>
      <c r="AH18" s="18" t="n">
        <v>5</v>
      </c>
      <c r="AI18" s="18" t="n">
        <v>6</v>
      </c>
      <c r="AJ18" s="18" t="n">
        <v>4</v>
      </c>
      <c r="AK18" s="18" t="n">
        <v>6</v>
      </c>
      <c r="AL18" s="18" t="n">
        <v>3</v>
      </c>
      <c r="AM18" s="18" t="n">
        <v>5</v>
      </c>
      <c r="AN18" s="18" t="n">
        <v>5</v>
      </c>
      <c r="AO18" s="18" t="n">
        <v>3</v>
      </c>
      <c r="AP18" s="18" t="n">
        <v>5</v>
      </c>
      <c r="AQ18" s="18" t="n">
        <v>4</v>
      </c>
      <c r="AR18" s="18" t="n">
        <v>6</v>
      </c>
      <c r="AS18" s="18" t="n">
        <v>3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MAX(0,25-AV18)*1.0</f>
        <v/>
      </c>
      <c r="AX18" s="19">
        <f>AA18+AW18</f>
        <v/>
      </c>
    </row>
    <row r="19">
      <c r="A19" s="8" t="n">
        <v>8</v>
      </c>
      <c r="B19" t="inlineStr">
        <is>
          <t>Pedro Costa Alemão</t>
        </is>
      </c>
      <c r="C19" s="8" t="inlineStr">
        <is>
          <t>46706</t>
        </is>
      </c>
      <c r="D19" t="inlineStr">
        <is>
          <t>Estoril</t>
        </is>
      </c>
      <c r="E19" s="8" t="n">
        <v>3.6</v>
      </c>
      <c r="F19" s="18" t="n">
        <v>4</v>
      </c>
      <c r="G19" s="18" t="n">
        <v>4</v>
      </c>
      <c r="H19" s="18" t="n">
        <v>5</v>
      </c>
      <c r="I19" s="18" t="n">
        <v>4</v>
      </c>
      <c r="J19" s="18" t="n">
        <v>6</v>
      </c>
      <c r="K19" s="18" t="n">
        <v>5</v>
      </c>
      <c r="L19" s="18" t="n">
        <v>5</v>
      </c>
      <c r="M19" s="18" t="n">
        <v>4</v>
      </c>
      <c r="N19" s="18" t="n">
        <v>4</v>
      </c>
      <c r="O19" s="18" t="n">
        <v>6</v>
      </c>
      <c r="P19" s="18" t="n">
        <v>3</v>
      </c>
      <c r="Q19" s="18" t="n">
        <v>4</v>
      </c>
      <c r="R19" s="18" t="n">
        <v>4</v>
      </c>
      <c r="S19" s="18" t="n">
        <v>3</v>
      </c>
      <c r="T19" s="18" t="n">
        <v>6</v>
      </c>
      <c r="U19" s="18" t="n">
        <v>5</v>
      </c>
      <c r="V19" s="18" t="n">
        <v>5</v>
      </c>
      <c r="W19" s="18" t="n">
        <v>4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MAX(0,25-Z19)*1.0</f>
        <v/>
      </c>
      <c r="AB19" s="18" t="n">
        <v>5</v>
      </c>
      <c r="AC19" s="18" t="n">
        <v>2</v>
      </c>
      <c r="AD19" s="18" t="n">
        <v>4</v>
      </c>
      <c r="AE19" s="18" t="n">
        <v>3</v>
      </c>
      <c r="AF19" s="18" t="n">
        <v>4</v>
      </c>
      <c r="AG19" s="18" t="n">
        <v>5</v>
      </c>
      <c r="AH19" s="18" t="n">
        <v>4</v>
      </c>
      <c r="AI19" s="18" t="n">
        <v>5</v>
      </c>
      <c r="AJ19" s="18" t="n">
        <v>5</v>
      </c>
      <c r="AK19" s="18" t="n">
        <v>5</v>
      </c>
      <c r="AL19" s="18" t="n">
        <v>3</v>
      </c>
      <c r="AM19" s="18" t="n">
        <v>5</v>
      </c>
      <c r="AN19" s="18" t="n">
        <v>4</v>
      </c>
      <c r="AO19" s="18" t="n">
        <v>3</v>
      </c>
      <c r="AP19" s="18" t="n">
        <v>5</v>
      </c>
      <c r="AQ19" s="18" t="n">
        <v>3</v>
      </c>
      <c r="AR19" s="18" t="n">
        <v>5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MAX(0,25-AV19)*1.0</f>
        <v/>
      </c>
      <c r="AX19" s="19">
        <f>AA19+AW19</f>
        <v/>
      </c>
    </row>
    <row r="20">
      <c r="A20" s="8" t="n">
        <v>9</v>
      </c>
      <c r="B20" t="inlineStr">
        <is>
          <t>Rafael Gonçales Benesi</t>
        </is>
      </c>
      <c r="C20" s="8" t="inlineStr">
        <is>
          <t>54774</t>
        </is>
      </c>
      <c r="D20" t="inlineStr">
        <is>
          <t>Estoril</t>
        </is>
      </c>
      <c r="E20" s="8" t="n">
        <v>6.4</v>
      </c>
      <c r="F20" s="18" t="n">
        <v>4</v>
      </c>
      <c r="G20" s="18" t="n">
        <v>3</v>
      </c>
      <c r="H20" s="18" t="n">
        <v>4</v>
      </c>
      <c r="I20" s="18" t="n">
        <v>6</v>
      </c>
      <c r="J20" s="18" t="n">
        <v>5</v>
      </c>
      <c r="K20" s="18" t="n">
        <v>5</v>
      </c>
      <c r="L20" s="18" t="n">
        <v>4</v>
      </c>
      <c r="M20" s="18" t="n">
        <v>6</v>
      </c>
      <c r="N20" s="18" t="n">
        <v>4</v>
      </c>
      <c r="O20" s="18" t="n">
        <v>6</v>
      </c>
      <c r="P20" s="18" t="n">
        <v>3</v>
      </c>
      <c r="Q20" s="18" t="n">
        <v>5</v>
      </c>
      <c r="R20" s="18" t="n">
        <v>4</v>
      </c>
      <c r="S20" s="18" t="n">
        <v>3</v>
      </c>
      <c r="T20" s="18" t="n">
        <v>5</v>
      </c>
      <c r="U20" s="18" t="n">
        <v>6</v>
      </c>
      <c r="V20" s="18" t="n">
        <v>5</v>
      </c>
      <c r="W20" s="18" t="n">
        <v>4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MAX(0,25-Z20)*1.0</f>
        <v/>
      </c>
      <c r="AB20" s="18" t="n">
        <v>5</v>
      </c>
      <c r="AC20" s="18" t="n">
        <v>4</v>
      </c>
      <c r="AD20" s="18" t="n">
        <v>3</v>
      </c>
      <c r="AE20" s="18" t="n">
        <v>4</v>
      </c>
      <c r="AF20" s="18" t="n">
        <v>4</v>
      </c>
      <c r="AG20" s="18" t="n">
        <v>6</v>
      </c>
      <c r="AH20" s="18" t="n">
        <v>5</v>
      </c>
      <c r="AI20" s="18" t="n">
        <v>6</v>
      </c>
      <c r="AJ20" s="18" t="n">
        <v>4</v>
      </c>
      <c r="AK20" s="18" t="n">
        <v>5</v>
      </c>
      <c r="AL20" s="18" t="n">
        <v>5</v>
      </c>
      <c r="AM20" s="18" t="n">
        <v>4</v>
      </c>
      <c r="AN20" s="18" t="n">
        <v>4</v>
      </c>
      <c r="AO20" s="18" t="n">
        <v>4</v>
      </c>
      <c r="AP20" s="18" t="n">
        <v>8</v>
      </c>
      <c r="AQ20" s="18" t="n">
        <v>6</v>
      </c>
      <c r="AR20" s="18" t="n">
        <v>6</v>
      </c>
      <c r="AS20" s="18" t="n">
        <v>3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MAX(0,25-AV20)*1.0</f>
        <v/>
      </c>
      <c r="AX20" s="19">
        <f>AA20+AW20</f>
        <v/>
      </c>
    </row>
    <row r="21">
      <c r="A21" s="8" t="n">
        <v>10</v>
      </c>
      <c r="B21" t="inlineStr">
        <is>
          <t>Salvador Ivo de Carvalho</t>
        </is>
      </c>
      <c r="C21" s="8" t="inlineStr">
        <is>
          <t>43968</t>
        </is>
      </c>
      <c r="D21" t="inlineStr">
        <is>
          <t>Vilamoura, C. G</t>
        </is>
      </c>
      <c r="E21" s="8" t="n">
        <v>8.699999999999999</v>
      </c>
      <c r="F21" s="18" t="n">
        <v>5</v>
      </c>
      <c r="G21" s="18" t="n">
        <v>3</v>
      </c>
      <c r="H21" s="18" t="n">
        <v>5</v>
      </c>
      <c r="I21" s="18" t="n">
        <v>6</v>
      </c>
      <c r="J21" s="18" t="n">
        <v>5</v>
      </c>
      <c r="K21" s="18" t="n">
        <v>5</v>
      </c>
      <c r="L21" s="18" t="n">
        <v>5</v>
      </c>
      <c r="M21" s="18" t="n">
        <v>7</v>
      </c>
      <c r="N21" s="18" t="n">
        <v>4</v>
      </c>
      <c r="O21" s="18" t="n">
        <v>7</v>
      </c>
      <c r="P21" s="18" t="n">
        <v>3</v>
      </c>
      <c r="Q21" s="18" t="n">
        <v>5</v>
      </c>
      <c r="R21" s="18" t="n">
        <v>6</v>
      </c>
      <c r="S21" s="18" t="n">
        <v>4</v>
      </c>
      <c r="T21" s="18" t="n">
        <v>5</v>
      </c>
      <c r="U21" s="18" t="n">
        <v>4</v>
      </c>
      <c r="V21" s="18" t="n">
        <v>6</v>
      </c>
      <c r="W21" s="18" t="n">
        <v>2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MAX(0,25-Z21)*1.0</f>
        <v/>
      </c>
      <c r="AB21" s="18" t="n">
        <v>4</v>
      </c>
      <c r="AC21" s="18" t="n">
        <v>4</v>
      </c>
      <c r="AD21" s="18" t="n">
        <v>4</v>
      </c>
      <c r="AE21" s="18" t="n">
        <v>5</v>
      </c>
      <c r="AF21" s="18" t="n">
        <v>5</v>
      </c>
      <c r="AG21" s="18" t="n">
        <v>4</v>
      </c>
      <c r="AH21" s="18" t="n">
        <v>5</v>
      </c>
      <c r="AI21" s="18" t="n">
        <v>5</v>
      </c>
      <c r="AJ21" s="18" t="n">
        <v>5</v>
      </c>
      <c r="AK21" s="18" t="n">
        <v>6</v>
      </c>
      <c r="AL21" s="18" t="n">
        <v>3</v>
      </c>
      <c r="AM21" s="18" t="n">
        <v>5</v>
      </c>
      <c r="AN21" s="18" t="n">
        <v>5</v>
      </c>
      <c r="AO21" s="18" t="n">
        <v>3</v>
      </c>
      <c r="AP21" s="18" t="n">
        <v>6</v>
      </c>
      <c r="AQ21" s="18" t="n">
        <v>4</v>
      </c>
      <c r="AR21" s="18" t="n">
        <v>5</v>
      </c>
      <c r="AS21" s="18" t="n">
        <v>4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MAX(0,25-AV21)*1.0</f>
        <v/>
      </c>
      <c r="AX21" s="19">
        <f>AA21+AW21</f>
        <v/>
      </c>
    </row>
    <row r="22">
      <c r="A22" s="8" t="n">
        <v>11</v>
      </c>
      <c r="B22" t="inlineStr">
        <is>
          <t>Diogo Sequeira</t>
        </is>
      </c>
      <c r="C22" s="8" t="inlineStr">
        <is>
          <t>56654</t>
        </is>
      </c>
      <c r="D22" t="inlineStr">
        <is>
          <t>Quinta do Peru</t>
        </is>
      </c>
      <c r="E22" s="8" t="n">
        <v>6.1</v>
      </c>
      <c r="F22" s="18" t="n">
        <v>7</v>
      </c>
      <c r="G22" s="18" t="n">
        <v>3</v>
      </c>
      <c r="H22" s="18" t="n">
        <v>3</v>
      </c>
      <c r="I22" s="18" t="n">
        <v>5</v>
      </c>
      <c r="J22" s="18" t="n">
        <v>5</v>
      </c>
      <c r="K22" s="18" t="n">
        <v>4</v>
      </c>
      <c r="L22" s="18" t="n">
        <v>4</v>
      </c>
      <c r="M22" s="18" t="n">
        <v>5</v>
      </c>
      <c r="N22" s="18" t="n">
        <v>5</v>
      </c>
      <c r="O22" s="18" t="n">
        <v>6</v>
      </c>
      <c r="P22" s="18" t="n">
        <v>4</v>
      </c>
      <c r="Q22" s="18" t="n">
        <v>6</v>
      </c>
      <c r="R22" s="18" t="n">
        <v>5</v>
      </c>
      <c r="S22" s="18" t="n">
        <v>4</v>
      </c>
      <c r="T22" s="18" t="n">
        <v>5</v>
      </c>
      <c r="U22" s="18" t="n">
        <v>4</v>
      </c>
      <c r="V22" s="18" t="n">
        <v>7</v>
      </c>
      <c r="W22" s="18" t="n">
        <v>6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MAX(0,25-Z22)*1.0</f>
        <v/>
      </c>
      <c r="AB22" s="18" t="n">
        <v>4</v>
      </c>
      <c r="AC22" s="18" t="n">
        <v>6</v>
      </c>
      <c r="AD22" s="18" t="n">
        <v>6</v>
      </c>
      <c r="AE22" s="18" t="n">
        <v>4</v>
      </c>
      <c r="AF22" s="18" t="n">
        <v>4</v>
      </c>
      <c r="AG22" s="18" t="n">
        <v>5</v>
      </c>
      <c r="AH22" s="18" t="n">
        <v>5</v>
      </c>
      <c r="AI22" s="18" t="n">
        <v>5</v>
      </c>
      <c r="AJ22" s="18" t="n">
        <v>3</v>
      </c>
      <c r="AK22" s="18" t="n">
        <v>6</v>
      </c>
      <c r="AL22" s="18" t="n">
        <v>4</v>
      </c>
      <c r="AM22" s="18" t="n">
        <v>6</v>
      </c>
      <c r="AN22" s="18" t="n">
        <v>5</v>
      </c>
      <c r="AO22" s="18" t="n">
        <v>4</v>
      </c>
      <c r="AP22" s="18" t="n">
        <v>5</v>
      </c>
      <c r="AQ22" s="18" t="n">
        <v>4</v>
      </c>
      <c r="AR22" s="18" t="n">
        <v>6</v>
      </c>
      <c r="AS22" s="18" t="n">
        <v>3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MAX(0,25-AV22)*1.0</f>
        <v/>
      </c>
      <c r="AX22" s="19">
        <f>AA22+AW22</f>
        <v/>
      </c>
    </row>
    <row r="23">
      <c r="A23" s="8" t="n">
        <v>12</v>
      </c>
      <c r="B23" t="inlineStr">
        <is>
          <t>Guo Ziyang</t>
        </is>
      </c>
      <c r="C23" s="8" t="inlineStr">
        <is>
          <t>57904</t>
        </is>
      </c>
      <c r="D23" t="inlineStr">
        <is>
          <t>Estoril</t>
        </is>
      </c>
      <c r="E23" s="8" t="n">
        <v>11.4</v>
      </c>
      <c r="F23" s="18" t="n">
        <v>5</v>
      </c>
      <c r="G23" s="18" t="n">
        <v>3</v>
      </c>
      <c r="H23" s="18" t="n">
        <v>4</v>
      </c>
      <c r="I23" s="18" t="n">
        <v>5</v>
      </c>
      <c r="J23" s="18" t="n">
        <v>5</v>
      </c>
      <c r="K23" s="18" t="n">
        <v>6</v>
      </c>
      <c r="L23" s="18" t="n">
        <v>6</v>
      </c>
      <c r="M23" s="18" t="n">
        <v>7</v>
      </c>
      <c r="N23" s="18" t="n">
        <v>5</v>
      </c>
      <c r="O23" s="18" t="n">
        <v>7</v>
      </c>
      <c r="P23" s="18" t="n">
        <v>3</v>
      </c>
      <c r="Q23" s="18" t="n">
        <v>5</v>
      </c>
      <c r="R23" s="18" t="n">
        <v>4</v>
      </c>
      <c r="S23" s="18" t="n">
        <v>4</v>
      </c>
      <c r="T23" s="18" t="n">
        <v>6</v>
      </c>
      <c r="U23" s="18" t="n">
        <v>5</v>
      </c>
      <c r="V23" s="18" t="n">
        <v>6</v>
      </c>
      <c r="W23" s="18" t="n">
        <v>3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MAX(0,25-Z23)*1.0</f>
        <v/>
      </c>
      <c r="AW23" s="8" t="n">
        <v>0</v>
      </c>
      <c r="AX23" s="19">
        <f>AA23+AW23</f>
        <v/>
      </c>
    </row>
    <row r="24">
      <c r="A24" s="8" t="n">
        <v>13</v>
      </c>
      <c r="B24" t="inlineStr">
        <is>
          <t>Rafaela Pinto</t>
        </is>
      </c>
      <c r="C24" s="8" t="inlineStr">
        <is>
          <t>40390</t>
        </is>
      </c>
      <c r="D24" t="inlineStr">
        <is>
          <t>Arquitectos</t>
        </is>
      </c>
      <c r="E24" s="8" t="n">
        <v>2.3</v>
      </c>
      <c r="F24" s="18" t="n">
        <v>7</v>
      </c>
      <c r="G24" s="18" t="n">
        <v>5</v>
      </c>
      <c r="H24" s="18" t="n">
        <v>5</v>
      </c>
      <c r="I24" s="18" t="n">
        <v>4</v>
      </c>
      <c r="J24" s="18" t="n">
        <v>4</v>
      </c>
      <c r="K24" s="18" t="n">
        <v>5</v>
      </c>
      <c r="L24" s="18" t="n">
        <v>6</v>
      </c>
      <c r="M24" s="18" t="n">
        <v>5</v>
      </c>
      <c r="N24" s="18" t="n">
        <v>4</v>
      </c>
      <c r="O24" s="18" t="n">
        <v>7</v>
      </c>
      <c r="P24" s="18" t="n">
        <v>5</v>
      </c>
      <c r="Q24" s="18" t="n">
        <v>5</v>
      </c>
      <c r="R24" s="18" t="n">
        <v>4</v>
      </c>
      <c r="S24" s="18" t="n">
        <v>4</v>
      </c>
      <c r="T24" s="18" t="n">
        <v>3</v>
      </c>
      <c r="U24" s="18" t="n">
        <v>7</v>
      </c>
      <c r="V24" s="18" t="n">
        <v>6</v>
      </c>
      <c r="W24" s="18" t="n">
        <v>3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MAX(0,25-Z24)*1.0</f>
        <v/>
      </c>
      <c r="AB24" s="18" t="n">
        <v>5</v>
      </c>
      <c r="AC24" s="18" t="n">
        <v>3</v>
      </c>
      <c r="AD24" s="18" t="n">
        <v>4</v>
      </c>
      <c r="AE24" s="18" t="n">
        <v>4</v>
      </c>
      <c r="AF24" s="18" t="n">
        <v>5</v>
      </c>
      <c r="AG24" s="18" t="n">
        <v>5</v>
      </c>
      <c r="AH24" s="18" t="n">
        <v>4</v>
      </c>
      <c r="AI24" s="18" t="n">
        <v>5</v>
      </c>
      <c r="AJ24" s="18" t="n">
        <v>4</v>
      </c>
      <c r="AK24" s="18" t="n">
        <v>7</v>
      </c>
      <c r="AL24" s="18" t="n">
        <v>3</v>
      </c>
      <c r="AM24" s="18" t="n">
        <v>4</v>
      </c>
      <c r="AN24" s="18" t="n">
        <v>4</v>
      </c>
      <c r="AO24" s="18" t="n">
        <v>3</v>
      </c>
      <c r="AP24" s="18" t="n">
        <v>5</v>
      </c>
      <c r="AQ24" s="18" t="n">
        <v>4</v>
      </c>
      <c r="AR24" s="18" t="n">
        <v>5</v>
      </c>
      <c r="AS24" s="18" t="n">
        <v>4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MAX(0,25-AV24)*1.0</f>
        <v/>
      </c>
      <c r="AX24" s="19">
        <f>AA24+AW24</f>
        <v/>
      </c>
    </row>
    <row r="25">
      <c r="A25" s="8" t="n">
        <v>14</v>
      </c>
      <c r="B25" t="inlineStr">
        <is>
          <t>Martim Sousa de Morais</t>
        </is>
      </c>
      <c r="C25" s="8" t="inlineStr">
        <is>
          <t>41609</t>
        </is>
      </c>
      <c r="D25" t="inlineStr">
        <is>
          <t>Belas</t>
        </is>
      </c>
      <c r="E25" s="8" t="n">
        <v>4.2</v>
      </c>
      <c r="F25" s="18" t="n">
        <v>5</v>
      </c>
      <c r="G25" s="18" t="n">
        <v>4</v>
      </c>
      <c r="H25" s="18" t="n">
        <v>5</v>
      </c>
      <c r="I25" s="18" t="n">
        <v>3</v>
      </c>
      <c r="J25" s="18" t="n">
        <v>6</v>
      </c>
      <c r="K25" s="18" t="n">
        <v>7</v>
      </c>
      <c r="L25" s="18" t="n">
        <v>6</v>
      </c>
      <c r="M25" s="18" t="n">
        <v>7</v>
      </c>
      <c r="N25" s="18" t="n">
        <v>4</v>
      </c>
      <c r="O25" s="18" t="n">
        <v>6</v>
      </c>
      <c r="P25" s="18" t="n">
        <v>6</v>
      </c>
      <c r="Q25" s="18" t="n">
        <v>5</v>
      </c>
      <c r="R25" s="18" t="n">
        <v>5</v>
      </c>
      <c r="S25" s="18" t="n">
        <v>3</v>
      </c>
      <c r="T25" s="18" t="n">
        <v>6</v>
      </c>
      <c r="U25" s="18" t="n">
        <v>5</v>
      </c>
      <c r="V25" s="18" t="n">
        <v>5</v>
      </c>
      <c r="W25" s="18" t="n">
        <v>6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MAX(0,25-Z25)*1.0</f>
        <v/>
      </c>
      <c r="AB25" s="18" t="n">
        <v>5</v>
      </c>
      <c r="AC25" s="18" t="n">
        <v>3</v>
      </c>
      <c r="AD25" s="18" t="n">
        <v>4</v>
      </c>
      <c r="AE25" s="18" t="n">
        <v>6</v>
      </c>
      <c r="AF25" s="18" t="n">
        <v>5</v>
      </c>
      <c r="AG25" s="18" t="n">
        <v>5</v>
      </c>
      <c r="AH25" s="18" t="n">
        <v>6</v>
      </c>
      <c r="AI25" s="18" t="n">
        <v>5</v>
      </c>
      <c r="AJ25" s="18" t="n">
        <v>4</v>
      </c>
      <c r="AK25" s="18" t="n">
        <v>8</v>
      </c>
      <c r="AL25" s="18" t="n">
        <v>4</v>
      </c>
      <c r="AM25" s="18" t="n">
        <v>7</v>
      </c>
      <c r="AN25" s="18" t="n">
        <v>4</v>
      </c>
      <c r="AO25" s="18" t="n">
        <v>4</v>
      </c>
      <c r="AP25" s="18" t="n">
        <v>6</v>
      </c>
      <c r="AQ25" s="18" t="n">
        <v>5</v>
      </c>
      <c r="AR25" s="18" t="n">
        <v>5</v>
      </c>
      <c r="AS25" s="18" t="n">
        <v>3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MAX(0,25-AV25)*1.0</f>
        <v/>
      </c>
      <c r="AX25" s="19">
        <f>AA25+AW25</f>
        <v/>
      </c>
    </row>
    <row r="26">
      <c r="A26" s="8" t="n">
        <v>15</v>
      </c>
      <c r="B26" t="inlineStr">
        <is>
          <t>Manuel Goulartt Medeiros</t>
        </is>
      </c>
      <c r="C26" s="8" t="inlineStr">
        <is>
          <t>52884</t>
        </is>
      </c>
      <c r="D26" t="inlineStr">
        <is>
          <t>Santo da Serra</t>
        </is>
      </c>
      <c r="E26" s="8" t="n">
        <v>9.6</v>
      </c>
      <c r="F26" s="18" t="n">
        <v>5</v>
      </c>
      <c r="G26" s="18" t="n">
        <v>4</v>
      </c>
      <c r="H26" s="18" t="n">
        <v>5</v>
      </c>
      <c r="I26" s="18" t="n">
        <v>4</v>
      </c>
      <c r="J26" s="18" t="n">
        <v>8</v>
      </c>
      <c r="K26" s="18" t="n">
        <v>5</v>
      </c>
      <c r="L26" s="18" t="n">
        <v>5</v>
      </c>
      <c r="M26" s="18" t="n">
        <v>8</v>
      </c>
      <c r="N26" s="18" t="n">
        <v>5</v>
      </c>
      <c r="O26" s="18" t="n">
        <v>5</v>
      </c>
      <c r="P26" s="18" t="n">
        <v>4</v>
      </c>
      <c r="Q26" s="18" t="n">
        <v>6</v>
      </c>
      <c r="R26" s="18" t="n">
        <v>3</v>
      </c>
      <c r="S26" s="18" t="n">
        <v>4</v>
      </c>
      <c r="T26" s="18" t="n">
        <v>7</v>
      </c>
      <c r="U26" s="18" t="n">
        <v>5</v>
      </c>
      <c r="V26" s="18" t="n">
        <v>5</v>
      </c>
      <c r="W26" s="18" t="n">
        <v>3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MAX(0,25-Z26)*1.0</f>
        <v/>
      </c>
      <c r="AB26" s="18" t="n">
        <v>3</v>
      </c>
      <c r="AC26" s="18" t="n">
        <v>3</v>
      </c>
      <c r="AD26" s="18" t="n">
        <v>3</v>
      </c>
      <c r="AE26" s="18" t="n">
        <v>4</v>
      </c>
      <c r="AF26" s="18" t="n">
        <v>6</v>
      </c>
      <c r="AG26" s="18" t="n">
        <v>5</v>
      </c>
      <c r="AH26" s="18" t="n">
        <v>5</v>
      </c>
      <c r="AI26" s="18" t="n">
        <v>6</v>
      </c>
      <c r="AJ26" s="18" t="n">
        <v>4</v>
      </c>
      <c r="AK26" s="18" t="n">
        <v>6</v>
      </c>
      <c r="AL26" s="18" t="n">
        <v>4</v>
      </c>
      <c r="AM26" s="18" t="n">
        <v>4</v>
      </c>
      <c r="AN26" s="18" t="n">
        <v>4</v>
      </c>
      <c r="AO26" s="18" t="n">
        <v>4</v>
      </c>
      <c r="AP26" s="18" t="n">
        <v>4</v>
      </c>
      <c r="AQ26" s="18" t="n">
        <v>4</v>
      </c>
      <c r="AR26" s="18" t="n">
        <v>5</v>
      </c>
      <c r="AS26" s="18" t="n">
        <v>3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MAX(0,25-AV26)*1.0</f>
        <v/>
      </c>
      <c r="AX26" s="19">
        <f>AA26+AW26</f>
        <v/>
      </c>
    </row>
    <row r="27">
      <c r="A27" s="8" t="n">
        <v>16</v>
      </c>
      <c r="B27" t="inlineStr">
        <is>
          <t>André Castro Mendes</t>
        </is>
      </c>
      <c r="C27" s="8" t="inlineStr">
        <is>
          <t>55056</t>
        </is>
      </c>
      <c r="D27" t="inlineStr">
        <is>
          <t>Oitavos</t>
        </is>
      </c>
      <c r="E27" s="8" t="n">
        <v>4.1</v>
      </c>
      <c r="F27" s="18" t="n">
        <v>4</v>
      </c>
      <c r="G27" s="18" t="n">
        <v>3</v>
      </c>
      <c r="H27" s="18" t="n">
        <v>4</v>
      </c>
      <c r="I27" s="18" t="n">
        <v>5</v>
      </c>
      <c r="J27" s="18" t="n">
        <v>5</v>
      </c>
      <c r="K27" s="18" t="n">
        <v>7</v>
      </c>
      <c r="L27" s="18" t="n">
        <v>5</v>
      </c>
      <c r="M27" s="18" t="n">
        <v>7</v>
      </c>
      <c r="N27" s="18" t="n">
        <v>6</v>
      </c>
      <c r="O27" s="18" t="n">
        <v>5</v>
      </c>
      <c r="P27" s="18" t="n">
        <v>3</v>
      </c>
      <c r="Q27" s="18" t="n">
        <v>6</v>
      </c>
      <c r="R27" s="18" t="n">
        <v>6</v>
      </c>
      <c r="S27" s="18" t="n">
        <v>4</v>
      </c>
      <c r="T27" s="18" t="n">
        <v>6</v>
      </c>
      <c r="U27" s="18" t="n">
        <v>6</v>
      </c>
      <c r="V27" s="18" t="n">
        <v>6</v>
      </c>
      <c r="W27" s="18" t="n">
        <v>3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MAX(0,25-Z27)*1.0</f>
        <v/>
      </c>
      <c r="AB27" s="18" t="n">
        <v>4</v>
      </c>
      <c r="AC27" s="18" t="n">
        <v>4</v>
      </c>
      <c r="AD27" s="18" t="n">
        <v>5</v>
      </c>
      <c r="AE27" s="18" t="n">
        <v>4</v>
      </c>
      <c r="AF27" s="18" t="n">
        <v>5</v>
      </c>
      <c r="AG27" s="18" t="n">
        <v>6</v>
      </c>
      <c r="AH27" s="18" t="n">
        <v>4</v>
      </c>
      <c r="AI27" s="18" t="n">
        <v>6</v>
      </c>
      <c r="AJ27" s="18" t="n">
        <v>5</v>
      </c>
      <c r="AK27" s="18" t="n">
        <v>7</v>
      </c>
      <c r="AL27" s="18" t="n">
        <v>4</v>
      </c>
      <c r="AM27" s="18" t="n">
        <v>6</v>
      </c>
      <c r="AN27" s="18" t="n">
        <v>4</v>
      </c>
      <c r="AO27" s="18" t="n">
        <v>3</v>
      </c>
      <c r="AP27" s="18" t="n">
        <v>4</v>
      </c>
      <c r="AQ27" s="18" t="n">
        <v>4</v>
      </c>
      <c r="AR27" s="18" t="n">
        <v>4</v>
      </c>
      <c r="AS27" s="18" t="n">
        <v>3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MAX(0,25-AV27)*1.0</f>
        <v/>
      </c>
      <c r="AX27" s="19">
        <f>AA27+AW27</f>
        <v/>
      </c>
    </row>
    <row r="28">
      <c r="A28" s="8" t="inlineStr">
        <is>
          <t>ND</t>
        </is>
      </c>
      <c r="B28" t="inlineStr">
        <is>
          <t>Ryan Dantas</t>
        </is>
      </c>
      <c r="C28" s="8" t="inlineStr">
        <is>
          <t>45439</t>
        </is>
      </c>
      <c r="D28" t="inlineStr">
        <is>
          <t>Belas</t>
        </is>
      </c>
      <c r="E28" s="8" t="n">
        <v>6.6</v>
      </c>
      <c r="AA28" s="8" t="n">
        <v>0</v>
      </c>
      <c r="AW28" s="8" t="n">
        <v>0</v>
      </c>
      <c r="AX28" s="19">
        <f>AA28+AW28</f>
        <v/>
      </c>
    </row>
    <row r="29">
      <c r="A29" s="8" t="inlineStr">
        <is>
          <t>NS</t>
        </is>
      </c>
      <c r="B29" t="inlineStr">
        <is>
          <t>João Setúbal</t>
        </is>
      </c>
      <c r="C29" s="8" t="inlineStr"/>
      <c r="D29" t="inlineStr">
        <is>
          <t>Vilamoura, C. G</t>
        </is>
      </c>
      <c r="E29" s="8" t="n">
        <v>1.4</v>
      </c>
      <c r="AA29" s="8" t="n">
        <v>0</v>
      </c>
      <c r="AW29" s="8" t="n">
        <v>0</v>
      </c>
      <c r="AX29" s="19">
        <f>AA29+AW29</f>
        <v/>
      </c>
    </row>
  </sheetData>
  <mergeCells count="1">
    <mergeCell ref="A1:H1"/>
  </mergeCells>
  <conditionalFormatting sqref="F12:F29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29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29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29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29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29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29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29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29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29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29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29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29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29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29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29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29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29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29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29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29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29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29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29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29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29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29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29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29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29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29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29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29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29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29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29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Race to Dunas — Grande Final</t>
        </is>
      </c>
    </row>
    <row r="2">
      <c r="A2" s="10" t="inlineStr">
        <is>
          <t>Data:</t>
        </is>
      </c>
      <c r="B2" t="inlineStr">
        <is>
          <t>2025-11-29</t>
        </is>
      </c>
    </row>
    <row r="3">
      <c r="A3" s="10" t="inlineStr">
        <is>
          <t>Campo:</t>
        </is>
      </c>
      <c r="B3" t="inlineStr">
        <is>
          <t>Comporta — Dunas Golf</t>
        </is>
      </c>
    </row>
    <row r="4">
      <c r="A4" s="10" t="inlineStr">
        <is>
          <t>ccode/tcode:</t>
        </is>
      </c>
      <c r="B4" t="inlineStr">
        <is>
          <t>192/10019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https://scoring.datagolf.pt/pt/Classifications.aspx?ccode=192&amp;tcode=10019</t>
        </is>
      </c>
    </row>
    <row r="6">
      <c r="A6" s="10" t="inlineStr">
        <is>
          <t>Multiplicador:</t>
        </is>
      </c>
      <c r="B6" t="n">
        <v>1.5</v>
      </c>
    </row>
    <row r="7">
      <c r="A7" s="10" t="inlineStr">
        <is>
          <t>Nota:</t>
        </is>
      </c>
      <c r="B7" s="12" t="inlineStr">
        <is>
          <t>GRANDE FINAL ×1.5</t>
        </is>
      </c>
    </row>
    <row r="9" ht="28" customHeight="1">
      <c r="A9" s="13" t="inlineStr">
        <is>
          <t>Pos</t>
        </is>
      </c>
      <c r="B9" s="13" t="inlineStr">
        <is>
          <t>Nome</t>
        </is>
      </c>
      <c r="C9" s="13" t="inlineStr">
        <is>
          <t>FedCode</t>
        </is>
      </c>
      <c r="D9" s="13" t="inlineStr">
        <is>
          <t>Clube</t>
        </is>
      </c>
      <c r="E9" s="13" t="inlineStr">
        <is>
          <t>HCP</t>
        </is>
      </c>
      <c r="F9" s="13" t="inlineStr">
        <is>
          <t>R1 h1</t>
        </is>
      </c>
      <c r="G9" s="13" t="inlineStr">
        <is>
          <t>h2</t>
        </is>
      </c>
      <c r="H9" s="13" t="inlineStr">
        <is>
          <t>h3</t>
        </is>
      </c>
      <c r="I9" s="13" t="inlineStr">
        <is>
          <t>h4</t>
        </is>
      </c>
      <c r="J9" s="13" t="inlineStr">
        <is>
          <t>h5</t>
        </is>
      </c>
      <c r="K9" s="13" t="inlineStr">
        <is>
          <t>h6</t>
        </is>
      </c>
      <c r="L9" s="13" t="inlineStr">
        <is>
          <t>h7</t>
        </is>
      </c>
      <c r="M9" s="13" t="inlineStr">
        <is>
          <t>h8</t>
        </is>
      </c>
      <c r="N9" s="13" t="inlineStr">
        <is>
          <t>h9</t>
        </is>
      </c>
      <c r="O9" s="13" t="inlineStr">
        <is>
          <t>h10</t>
        </is>
      </c>
      <c r="P9" s="13" t="inlineStr">
        <is>
          <t>h11</t>
        </is>
      </c>
      <c r="Q9" s="13" t="inlineStr">
        <is>
          <t>h12</t>
        </is>
      </c>
      <c r="R9" s="13" t="inlineStr">
        <is>
          <t>h13</t>
        </is>
      </c>
      <c r="S9" s="13" t="inlineStr">
        <is>
          <t>h14</t>
        </is>
      </c>
      <c r="T9" s="13" t="inlineStr">
        <is>
          <t>h15</t>
        </is>
      </c>
      <c r="U9" s="13" t="inlineStr">
        <is>
          <t>h16</t>
        </is>
      </c>
      <c r="V9" s="13" t="inlineStr">
        <is>
          <t>h17</t>
        </is>
      </c>
      <c r="W9" s="13" t="inlineStr">
        <is>
          <t>h18</t>
        </is>
      </c>
      <c r="X9" s="13" t="inlineStr">
        <is>
          <t>R1 Gross</t>
        </is>
      </c>
      <c r="Y9" s="13" t="inlineStr">
        <is>
          <t>R1 Par</t>
        </is>
      </c>
      <c r="Z9" s="13" t="inlineStr">
        <is>
          <t>R1 ToPar</t>
        </is>
      </c>
      <c r="AA9" s="13" t="inlineStr">
        <is>
          <t>R1 Pts</t>
        </is>
      </c>
      <c r="AB9" s="13" t="inlineStr">
        <is>
          <t>R2 h1</t>
        </is>
      </c>
      <c r="AC9" s="13" t="inlineStr">
        <is>
          <t>h2</t>
        </is>
      </c>
      <c r="AD9" s="13" t="inlineStr">
        <is>
          <t>h3</t>
        </is>
      </c>
      <c r="AE9" s="13" t="inlineStr">
        <is>
          <t>h4</t>
        </is>
      </c>
      <c r="AF9" s="13" t="inlineStr">
        <is>
          <t>h5</t>
        </is>
      </c>
      <c r="AG9" s="13" t="inlineStr">
        <is>
          <t>h6</t>
        </is>
      </c>
      <c r="AH9" s="13" t="inlineStr">
        <is>
          <t>h7</t>
        </is>
      </c>
      <c r="AI9" s="13" t="inlineStr">
        <is>
          <t>h8</t>
        </is>
      </c>
      <c r="AJ9" s="13" t="inlineStr">
        <is>
          <t>h9</t>
        </is>
      </c>
      <c r="AK9" s="13" t="inlineStr">
        <is>
          <t>h10</t>
        </is>
      </c>
      <c r="AL9" s="13" t="inlineStr">
        <is>
          <t>h11</t>
        </is>
      </c>
      <c r="AM9" s="13" t="inlineStr">
        <is>
          <t>h12</t>
        </is>
      </c>
      <c r="AN9" s="13" t="inlineStr">
        <is>
          <t>h13</t>
        </is>
      </c>
      <c r="AO9" s="13" t="inlineStr">
        <is>
          <t>h14</t>
        </is>
      </c>
      <c r="AP9" s="13" t="inlineStr">
        <is>
          <t>h15</t>
        </is>
      </c>
      <c r="AQ9" s="13" t="inlineStr">
        <is>
          <t>h16</t>
        </is>
      </c>
      <c r="AR9" s="13" t="inlineStr">
        <is>
          <t>h17</t>
        </is>
      </c>
      <c r="AS9" s="13" t="inlineStr">
        <is>
          <t>h18</t>
        </is>
      </c>
      <c r="AT9" s="13" t="inlineStr">
        <is>
          <t>R2 Gross</t>
        </is>
      </c>
      <c r="AU9" s="13" t="inlineStr">
        <is>
          <t>R2 Par</t>
        </is>
      </c>
      <c r="AV9" s="13" t="inlineStr">
        <is>
          <t>R2 ToPar</t>
        </is>
      </c>
      <c r="AW9" s="13" t="inlineStr">
        <is>
          <t>R2 Pts</t>
        </is>
      </c>
      <c r="AX9" s="13" t="inlineStr">
        <is>
          <t>Total Pts</t>
        </is>
      </c>
    </row>
    <row r="10">
      <c r="A10" s="14" t="inlineStr">
        <is>
          <t>—Par—</t>
        </is>
      </c>
      <c r="F10" s="15" t="n">
        <v>4</v>
      </c>
      <c r="G10" s="15" t="n">
        <v>5</v>
      </c>
      <c r="H10" s="15" t="n">
        <v>3</v>
      </c>
      <c r="I10" s="15" t="n">
        <v>4</v>
      </c>
      <c r="J10" s="15" t="n">
        <v>4</v>
      </c>
      <c r="K10" s="15" t="n">
        <v>3</v>
      </c>
      <c r="L10" s="15" t="n">
        <v>4</v>
      </c>
      <c r="M10" s="15" t="n">
        <v>4</v>
      </c>
      <c r="N10" s="15" t="n">
        <v>4</v>
      </c>
      <c r="O10" s="15" t="n">
        <v>4</v>
      </c>
      <c r="P10" s="15" t="n">
        <v>4</v>
      </c>
      <c r="Q10" s="15" t="n">
        <v>5</v>
      </c>
      <c r="R10" s="15" t="n">
        <v>4</v>
      </c>
      <c r="S10" s="15" t="n">
        <v>3</v>
      </c>
      <c r="T10" s="15" t="n">
        <v>5</v>
      </c>
      <c r="U10" s="15" t="n">
        <v>4</v>
      </c>
      <c r="V10" s="15" t="n">
        <v>3</v>
      </c>
      <c r="W10" s="15" t="n">
        <v>4</v>
      </c>
      <c r="Y10" s="16">
        <f>SUM(F10:W10)</f>
        <v/>
      </c>
      <c r="AB10" s="15" t="n">
        <v>4</v>
      </c>
      <c r="AC10" s="15" t="n">
        <v>5</v>
      </c>
      <c r="AD10" s="15" t="n">
        <v>3</v>
      </c>
      <c r="AE10" s="15" t="n">
        <v>4</v>
      </c>
      <c r="AF10" s="15" t="n">
        <v>4</v>
      </c>
      <c r="AG10" s="15" t="n">
        <v>3</v>
      </c>
      <c r="AH10" s="15" t="n">
        <v>4</v>
      </c>
      <c r="AI10" s="15" t="n">
        <v>4</v>
      </c>
      <c r="AJ10" s="15" t="n">
        <v>4</v>
      </c>
      <c r="AK10" s="15" t="n">
        <v>4</v>
      </c>
      <c r="AL10" s="15" t="n">
        <v>4</v>
      </c>
      <c r="AM10" s="15" t="n">
        <v>5</v>
      </c>
      <c r="AN10" s="15" t="n">
        <v>4</v>
      </c>
      <c r="AO10" s="15" t="n">
        <v>3</v>
      </c>
      <c r="AP10" s="15" t="n">
        <v>5</v>
      </c>
      <c r="AQ10" s="15" t="n">
        <v>4</v>
      </c>
      <c r="AR10" s="15" t="n">
        <v>3</v>
      </c>
      <c r="AS10" s="15" t="n">
        <v>4</v>
      </c>
      <c r="AU10" s="16">
        <f>SUM(AB10:AS10)</f>
        <v/>
      </c>
    </row>
    <row r="11">
      <c r="A11" s="14" t="inlineStr">
        <is>
          <t>—SI—</t>
        </is>
      </c>
      <c r="F11" s="17" t="n">
        <v>7</v>
      </c>
      <c r="G11" s="17" t="n">
        <v>9</v>
      </c>
      <c r="H11" s="17" t="n">
        <v>11</v>
      </c>
      <c r="I11" s="17" t="n">
        <v>5</v>
      </c>
      <c r="J11" s="17" t="n">
        <v>13</v>
      </c>
      <c r="K11" s="17" t="n">
        <v>17</v>
      </c>
      <c r="L11" s="17" t="n">
        <v>1</v>
      </c>
      <c r="M11" s="17" t="n">
        <v>15</v>
      </c>
      <c r="N11" s="17" t="n">
        <v>3</v>
      </c>
      <c r="O11" s="17" t="n">
        <v>8</v>
      </c>
      <c r="P11" s="17" t="n">
        <v>2</v>
      </c>
      <c r="Q11" s="17" t="n">
        <v>10</v>
      </c>
      <c r="R11" s="17" t="n">
        <v>6</v>
      </c>
      <c r="S11" s="17" t="n">
        <v>14</v>
      </c>
      <c r="T11" s="17" t="n">
        <v>12</v>
      </c>
      <c r="U11" s="17" t="n">
        <v>16</v>
      </c>
      <c r="V11" s="17" t="n">
        <v>18</v>
      </c>
      <c r="W11" s="17" t="n">
        <v>4</v>
      </c>
      <c r="AB11" s="17" t="n">
        <v>7</v>
      </c>
      <c r="AC11" s="17" t="n">
        <v>9</v>
      </c>
      <c r="AD11" s="17" t="n">
        <v>11</v>
      </c>
      <c r="AE11" s="17" t="n">
        <v>5</v>
      </c>
      <c r="AF11" s="17" t="n">
        <v>13</v>
      </c>
      <c r="AG11" s="17" t="n">
        <v>17</v>
      </c>
      <c r="AH11" s="17" t="n">
        <v>1</v>
      </c>
      <c r="AI11" s="17" t="n">
        <v>15</v>
      </c>
      <c r="AJ11" s="17" t="n">
        <v>3</v>
      </c>
      <c r="AK11" s="17" t="n">
        <v>8</v>
      </c>
      <c r="AL11" s="17" t="n">
        <v>2</v>
      </c>
      <c r="AM11" s="17" t="n">
        <v>10</v>
      </c>
      <c r="AN11" s="17" t="n">
        <v>6</v>
      </c>
      <c r="AO11" s="17" t="n">
        <v>14</v>
      </c>
      <c r="AP11" s="17" t="n">
        <v>12</v>
      </c>
      <c r="AQ11" s="17" t="n">
        <v>16</v>
      </c>
      <c r="AR11" s="17" t="n">
        <v>18</v>
      </c>
      <c r="AS11" s="17" t="n">
        <v>4</v>
      </c>
    </row>
    <row r="12">
      <c r="A12" s="8" t="n">
        <v>1</v>
      </c>
      <c r="B12" t="inlineStr">
        <is>
          <t>João Maria Ivo De Carvalho</t>
        </is>
      </c>
      <c r="C12" s="8" t="inlineStr">
        <is>
          <t>38334</t>
        </is>
      </c>
      <c r="D12" t="inlineStr">
        <is>
          <t>Vilamoura, C. G</t>
        </is>
      </c>
      <c r="E12" s="8" t="n">
        <v>-1.6</v>
      </c>
      <c r="F12" s="18" t="n">
        <v>4</v>
      </c>
      <c r="G12" s="18" t="n">
        <v>4</v>
      </c>
      <c r="H12" s="18" t="n">
        <v>3</v>
      </c>
      <c r="I12" s="18" t="n">
        <v>4</v>
      </c>
      <c r="J12" s="18" t="n">
        <v>4</v>
      </c>
      <c r="K12" s="18" t="n">
        <v>3</v>
      </c>
      <c r="L12" s="18" t="n">
        <v>3</v>
      </c>
      <c r="M12" s="18" t="n">
        <v>4</v>
      </c>
      <c r="N12" s="18" t="n">
        <v>5</v>
      </c>
      <c r="O12" s="18" t="n">
        <v>4</v>
      </c>
      <c r="P12" s="18" t="n">
        <v>4</v>
      </c>
      <c r="Q12" s="18" t="n">
        <v>4</v>
      </c>
      <c r="R12" s="18" t="n">
        <v>4</v>
      </c>
      <c r="S12" s="18" t="n">
        <v>3</v>
      </c>
      <c r="T12" s="18" t="n">
        <v>4</v>
      </c>
      <c r="U12" s="18" t="n">
        <v>5</v>
      </c>
      <c r="V12" s="18" t="n">
        <v>3</v>
      </c>
      <c r="W12" s="18" t="n">
        <v>5</v>
      </c>
      <c r="X12" s="8">
        <f>SUM(F12:W12)</f>
        <v/>
      </c>
      <c r="Y12" s="8">
        <f>Y10</f>
        <v/>
      </c>
      <c r="Z12" s="8">
        <f>X12-Y12</f>
        <v/>
      </c>
      <c r="AA12" s="8">
        <f>MAX(0,25-Z12)*1.5</f>
        <v/>
      </c>
      <c r="AB12" s="18" t="n">
        <v>5</v>
      </c>
      <c r="AC12" s="18" t="n">
        <v>4</v>
      </c>
      <c r="AD12" s="18" t="n">
        <v>3</v>
      </c>
      <c r="AE12" s="18" t="n">
        <v>4</v>
      </c>
      <c r="AF12" s="18" t="n">
        <v>4</v>
      </c>
      <c r="AG12" s="18" t="n">
        <v>3</v>
      </c>
      <c r="AH12" s="18" t="n">
        <v>4</v>
      </c>
      <c r="AI12" s="18" t="n">
        <v>3</v>
      </c>
      <c r="AJ12" s="18" t="n">
        <v>3</v>
      </c>
      <c r="AK12" s="18" t="n">
        <v>5</v>
      </c>
      <c r="AL12" s="18" t="n">
        <v>4</v>
      </c>
      <c r="AM12" s="18" t="n">
        <v>5</v>
      </c>
      <c r="AN12" s="18" t="n">
        <v>4</v>
      </c>
      <c r="AO12" s="18" t="n">
        <v>3</v>
      </c>
      <c r="AP12" s="18" t="n">
        <v>4</v>
      </c>
      <c r="AQ12" s="18" t="n">
        <v>2</v>
      </c>
      <c r="AR12" s="18" t="n">
        <v>3</v>
      </c>
      <c r="AS12" s="18" t="n">
        <v>3</v>
      </c>
      <c r="AT12" s="8">
        <f>SUM(AB12:AS12)</f>
        <v/>
      </c>
      <c r="AU12" s="8">
        <f>AU10</f>
        <v/>
      </c>
      <c r="AV12" s="8">
        <f>AT12-AU12</f>
        <v/>
      </c>
      <c r="AW12" s="8">
        <f>MAX(0,25-AV12)*1.5</f>
        <v/>
      </c>
      <c r="AX12" s="19">
        <f>AA12+AW12</f>
        <v/>
      </c>
    </row>
    <row r="13">
      <c r="A13" s="8" t="n">
        <v>2</v>
      </c>
      <c r="B13" t="inlineStr">
        <is>
          <t>João Setúbal</t>
        </is>
      </c>
      <c r="C13" s="8" t="inlineStr">
        <is>
          <t>43732</t>
        </is>
      </c>
      <c r="D13" t="inlineStr">
        <is>
          <t>Vilamoura, C. G</t>
        </is>
      </c>
      <c r="E13" s="8" t="n">
        <v>1.1</v>
      </c>
      <c r="F13" s="18" t="n">
        <v>4</v>
      </c>
      <c r="G13" s="18" t="n">
        <v>5</v>
      </c>
      <c r="H13" s="18" t="n">
        <v>3</v>
      </c>
      <c r="I13" s="18" t="n">
        <v>3</v>
      </c>
      <c r="J13" s="18" t="n">
        <v>4</v>
      </c>
      <c r="K13" s="18" t="n">
        <v>3</v>
      </c>
      <c r="L13" s="18" t="n">
        <v>4</v>
      </c>
      <c r="M13" s="18" t="n">
        <v>3</v>
      </c>
      <c r="N13" s="18" t="n">
        <v>4</v>
      </c>
      <c r="O13" s="18" t="n">
        <v>4</v>
      </c>
      <c r="P13" s="18" t="n">
        <v>4</v>
      </c>
      <c r="Q13" s="18" t="n">
        <v>4</v>
      </c>
      <c r="R13" s="18" t="n">
        <v>3</v>
      </c>
      <c r="S13" s="18" t="n">
        <v>5</v>
      </c>
      <c r="T13" s="18" t="n">
        <v>4</v>
      </c>
      <c r="U13" s="18" t="n">
        <v>4</v>
      </c>
      <c r="V13" s="18" t="n">
        <v>5</v>
      </c>
      <c r="W13" s="18" t="n">
        <v>4</v>
      </c>
      <c r="X13" s="8">
        <f>SUM(F13:W13)</f>
        <v/>
      </c>
      <c r="Y13" s="8">
        <f>Y10</f>
        <v/>
      </c>
      <c r="Z13" s="8">
        <f>X13-Y13</f>
        <v/>
      </c>
      <c r="AA13" s="8">
        <f>MAX(0,25-Z13)*1.5</f>
        <v/>
      </c>
      <c r="AB13" s="18" t="n">
        <v>5</v>
      </c>
      <c r="AC13" s="18" t="n">
        <v>5</v>
      </c>
      <c r="AD13" s="18" t="n">
        <v>3</v>
      </c>
      <c r="AE13" s="18" t="n">
        <v>3</v>
      </c>
      <c r="AF13" s="18" t="n">
        <v>5</v>
      </c>
      <c r="AG13" s="18" t="n">
        <v>3</v>
      </c>
      <c r="AH13" s="18" t="n">
        <v>4</v>
      </c>
      <c r="AI13" s="18" t="n">
        <v>3</v>
      </c>
      <c r="AJ13" s="18" t="n">
        <v>3</v>
      </c>
      <c r="AK13" s="18" t="n">
        <v>4</v>
      </c>
      <c r="AL13" s="18" t="n">
        <v>4</v>
      </c>
      <c r="AM13" s="18" t="n">
        <v>4</v>
      </c>
      <c r="AN13" s="18" t="n">
        <v>5</v>
      </c>
      <c r="AO13" s="18" t="n">
        <v>3</v>
      </c>
      <c r="AP13" s="18" t="n">
        <v>4</v>
      </c>
      <c r="AQ13" s="18" t="n">
        <v>4</v>
      </c>
      <c r="AR13" s="18" t="n">
        <v>3</v>
      </c>
      <c r="AS13" s="18" t="n">
        <v>4</v>
      </c>
      <c r="AT13" s="8">
        <f>SUM(AB13:AS13)</f>
        <v/>
      </c>
      <c r="AU13" s="8">
        <f>AU10</f>
        <v/>
      </c>
      <c r="AV13" s="8">
        <f>AT13-AU13</f>
        <v/>
      </c>
      <c r="AW13" s="8">
        <f>MAX(0,25-AV13)*1.5</f>
        <v/>
      </c>
      <c r="AX13" s="19">
        <f>AA13+AW13</f>
        <v/>
      </c>
    </row>
    <row r="14">
      <c r="A14" s="8" t="n">
        <v>3</v>
      </c>
      <c r="B14" t="inlineStr">
        <is>
          <t>David Filip Jun.</t>
        </is>
      </c>
      <c r="C14" s="8" t="inlineStr">
        <is>
          <t>51949</t>
        </is>
      </c>
      <c r="D14" t="inlineStr">
        <is>
          <t>Lisbon SC</t>
        </is>
      </c>
      <c r="E14" s="8" t="n">
        <v>8.300000000000001</v>
      </c>
      <c r="F14" s="18" t="n">
        <v>4</v>
      </c>
      <c r="G14" s="18" t="n">
        <v>6</v>
      </c>
      <c r="H14" s="18" t="n">
        <v>4</v>
      </c>
      <c r="I14" s="18" t="n">
        <v>5</v>
      </c>
      <c r="J14" s="18" t="n">
        <v>3</v>
      </c>
      <c r="K14" s="18" t="n">
        <v>3</v>
      </c>
      <c r="L14" s="18" t="n">
        <v>4</v>
      </c>
      <c r="M14" s="18" t="n">
        <v>3</v>
      </c>
      <c r="N14" s="18" t="n">
        <v>4</v>
      </c>
      <c r="O14" s="18" t="n">
        <v>4</v>
      </c>
      <c r="P14" s="18" t="n">
        <v>4</v>
      </c>
      <c r="Q14" s="18" t="n">
        <v>6</v>
      </c>
      <c r="R14" s="18" t="n">
        <v>3</v>
      </c>
      <c r="S14" s="18" t="n">
        <v>3</v>
      </c>
      <c r="T14" s="18" t="n">
        <v>4</v>
      </c>
      <c r="U14" s="18" t="n">
        <v>4</v>
      </c>
      <c r="V14" s="18" t="n">
        <v>3</v>
      </c>
      <c r="W14" s="18" t="n">
        <v>4</v>
      </c>
      <c r="X14" s="8">
        <f>SUM(F14:W14)</f>
        <v/>
      </c>
      <c r="Y14" s="8">
        <f>Y10</f>
        <v/>
      </c>
      <c r="Z14" s="8">
        <f>X14-Y14</f>
        <v/>
      </c>
      <c r="AA14" s="8">
        <f>MAX(0,25-Z14)*1.5</f>
        <v/>
      </c>
      <c r="AB14" s="18" t="n">
        <v>4</v>
      </c>
      <c r="AC14" s="18" t="n">
        <v>6</v>
      </c>
      <c r="AD14" s="18" t="n">
        <v>3</v>
      </c>
      <c r="AE14" s="18" t="n">
        <v>5</v>
      </c>
      <c r="AF14" s="18" t="n">
        <v>4</v>
      </c>
      <c r="AG14" s="18" t="n">
        <v>3</v>
      </c>
      <c r="AH14" s="18" t="n">
        <v>5</v>
      </c>
      <c r="AI14" s="18" t="n">
        <v>5</v>
      </c>
      <c r="AJ14" s="18" t="n">
        <v>5</v>
      </c>
      <c r="AK14" s="18" t="n">
        <v>4</v>
      </c>
      <c r="AL14" s="18" t="n">
        <v>5</v>
      </c>
      <c r="AM14" s="18" t="n">
        <v>5</v>
      </c>
      <c r="AN14" s="18" t="n">
        <v>4</v>
      </c>
      <c r="AO14" s="18" t="n">
        <v>5</v>
      </c>
      <c r="AP14" s="18" t="n">
        <v>5</v>
      </c>
      <c r="AQ14" s="18" t="n">
        <v>3</v>
      </c>
      <c r="AR14" s="18" t="n">
        <v>3</v>
      </c>
      <c r="AS14" s="18" t="n">
        <v>4</v>
      </c>
      <c r="AT14" s="8">
        <f>SUM(AB14:AS14)</f>
        <v/>
      </c>
      <c r="AU14" s="8">
        <f>AU10</f>
        <v/>
      </c>
      <c r="AV14" s="8">
        <f>AT14-AU14</f>
        <v/>
      </c>
      <c r="AW14" s="8">
        <f>MAX(0,25-AV14)*1.5</f>
        <v/>
      </c>
      <c r="AX14" s="19">
        <f>AA14+AW14</f>
        <v/>
      </c>
    </row>
    <row r="15">
      <c r="A15" s="8" t="n">
        <v>4</v>
      </c>
      <c r="B15" t="inlineStr">
        <is>
          <t>Rafaela Pinto</t>
        </is>
      </c>
      <c r="C15" s="8" t="inlineStr">
        <is>
          <t>40390</t>
        </is>
      </c>
      <c r="D15" t="inlineStr">
        <is>
          <t>Arquitectos</t>
        </is>
      </c>
      <c r="E15" s="8" t="n">
        <v>3.2</v>
      </c>
      <c r="F15" s="18" t="n">
        <v>5</v>
      </c>
      <c r="G15" s="18" t="n">
        <v>5</v>
      </c>
      <c r="H15" s="18" t="n">
        <v>3</v>
      </c>
      <c r="I15" s="18" t="n">
        <v>4</v>
      </c>
      <c r="J15" s="18" t="n">
        <v>3</v>
      </c>
      <c r="K15" s="18" t="n">
        <v>2</v>
      </c>
      <c r="L15" s="18" t="n">
        <v>4</v>
      </c>
      <c r="M15" s="18" t="n">
        <v>5</v>
      </c>
      <c r="N15" s="18" t="n">
        <v>5</v>
      </c>
      <c r="O15" s="18" t="n">
        <v>4</v>
      </c>
      <c r="P15" s="18" t="n">
        <v>5</v>
      </c>
      <c r="Q15" s="18" t="n">
        <v>4</v>
      </c>
      <c r="R15" s="18" t="n">
        <v>4</v>
      </c>
      <c r="S15" s="18" t="n">
        <v>3</v>
      </c>
      <c r="T15" s="18" t="n">
        <v>4</v>
      </c>
      <c r="U15" s="18" t="n">
        <v>4</v>
      </c>
      <c r="V15" s="18" t="n">
        <v>3</v>
      </c>
      <c r="W15" s="18" t="n">
        <v>5</v>
      </c>
      <c r="X15" s="8">
        <f>SUM(F15:W15)</f>
        <v/>
      </c>
      <c r="Y15" s="8">
        <f>Y10</f>
        <v/>
      </c>
      <c r="Z15" s="8">
        <f>X15-Y15</f>
        <v/>
      </c>
      <c r="AA15" s="8">
        <f>MAX(0,25-Z15)*1.5</f>
        <v/>
      </c>
      <c r="AB15" s="18" t="n">
        <v>5</v>
      </c>
      <c r="AC15" s="18" t="n">
        <v>6</v>
      </c>
      <c r="AD15" s="18" t="n">
        <v>4</v>
      </c>
      <c r="AE15" s="18" t="n">
        <v>4</v>
      </c>
      <c r="AF15" s="18" t="n">
        <v>4</v>
      </c>
      <c r="AG15" s="18" t="n">
        <v>3</v>
      </c>
      <c r="AH15" s="18" t="n">
        <v>3</v>
      </c>
      <c r="AI15" s="18" t="n">
        <v>5</v>
      </c>
      <c r="AJ15" s="18" t="n">
        <v>5</v>
      </c>
      <c r="AK15" s="18" t="n">
        <v>4</v>
      </c>
      <c r="AL15" s="18" t="n">
        <v>5</v>
      </c>
      <c r="AM15" s="18" t="n">
        <v>9</v>
      </c>
      <c r="AN15" s="18" t="n">
        <v>4</v>
      </c>
      <c r="AO15" s="18" t="n">
        <v>4</v>
      </c>
      <c r="AP15" s="18" t="n">
        <v>6</v>
      </c>
      <c r="AQ15" s="18" t="n">
        <v>5</v>
      </c>
      <c r="AR15" s="18" t="n">
        <v>3</v>
      </c>
      <c r="AS15" s="18" t="n">
        <v>4</v>
      </c>
      <c r="AT15" s="8">
        <f>SUM(AB15:AS15)</f>
        <v/>
      </c>
      <c r="AU15" s="8">
        <f>AU10</f>
        <v/>
      </c>
      <c r="AV15" s="8">
        <f>AT15-AU15</f>
        <v/>
      </c>
      <c r="AW15" s="8">
        <f>MAX(0,25-AV15)*1.5</f>
        <v/>
      </c>
      <c r="AX15" s="19">
        <f>AA15+AW15</f>
        <v/>
      </c>
    </row>
    <row r="16">
      <c r="A16" s="8" t="n">
        <v>5</v>
      </c>
      <c r="B16" t="inlineStr">
        <is>
          <t>Salvador Ivo De Carvalho</t>
        </is>
      </c>
      <c r="C16" s="8" t="inlineStr">
        <is>
          <t>43968</t>
        </is>
      </c>
      <c r="D16" t="inlineStr">
        <is>
          <t>Vilamoura, C. G</t>
        </is>
      </c>
      <c r="E16" s="8" t="n">
        <v>9.199999999999999</v>
      </c>
      <c r="F16" s="18" t="n">
        <v>5</v>
      </c>
      <c r="G16" s="18" t="n">
        <v>5</v>
      </c>
      <c r="H16" s="18" t="n">
        <v>3</v>
      </c>
      <c r="I16" s="18" t="n">
        <v>3</v>
      </c>
      <c r="J16" s="18" t="n">
        <v>4</v>
      </c>
      <c r="K16" s="18" t="n">
        <v>3</v>
      </c>
      <c r="L16" s="18" t="n">
        <v>5</v>
      </c>
      <c r="M16" s="18" t="n">
        <v>4</v>
      </c>
      <c r="N16" s="18" t="n">
        <v>4</v>
      </c>
      <c r="O16" s="18" t="n">
        <v>4</v>
      </c>
      <c r="P16" s="18" t="n">
        <v>5</v>
      </c>
      <c r="Q16" s="18" t="n">
        <v>5</v>
      </c>
      <c r="R16" s="18" t="n">
        <v>4</v>
      </c>
      <c r="S16" s="18" t="n">
        <v>2</v>
      </c>
      <c r="T16" s="18" t="n">
        <v>6</v>
      </c>
      <c r="U16" s="18" t="n">
        <v>4</v>
      </c>
      <c r="V16" s="18" t="n">
        <v>3</v>
      </c>
      <c r="W16" s="18" t="n">
        <v>4</v>
      </c>
      <c r="X16" s="8">
        <f>SUM(F16:W16)</f>
        <v/>
      </c>
      <c r="Y16" s="8">
        <f>Y10</f>
        <v/>
      </c>
      <c r="Z16" s="8">
        <f>X16-Y16</f>
        <v/>
      </c>
      <c r="AA16" s="8">
        <f>MAX(0,25-Z16)*1.5</f>
        <v/>
      </c>
      <c r="AB16" s="18" t="n">
        <v>5</v>
      </c>
      <c r="AC16" s="18" t="n">
        <v>5</v>
      </c>
      <c r="AD16" s="18" t="n">
        <v>3</v>
      </c>
      <c r="AE16" s="18" t="n">
        <v>5</v>
      </c>
      <c r="AF16" s="18" t="n">
        <v>4</v>
      </c>
      <c r="AG16" s="18" t="n">
        <v>4</v>
      </c>
      <c r="AH16" s="18" t="n">
        <v>7</v>
      </c>
      <c r="AI16" s="18" t="n">
        <v>4</v>
      </c>
      <c r="AJ16" s="18" t="n">
        <v>5</v>
      </c>
      <c r="AK16" s="18" t="n">
        <v>4</v>
      </c>
      <c r="AL16" s="18" t="n">
        <v>4</v>
      </c>
      <c r="AM16" s="18" t="n">
        <v>6</v>
      </c>
      <c r="AN16" s="18" t="n">
        <v>6</v>
      </c>
      <c r="AO16" s="18" t="n">
        <v>3</v>
      </c>
      <c r="AP16" s="18" t="n">
        <v>5</v>
      </c>
      <c r="AQ16" s="18" t="n">
        <v>6</v>
      </c>
      <c r="AR16" s="18" t="n">
        <v>3</v>
      </c>
      <c r="AS16" s="18" t="n">
        <v>4</v>
      </c>
      <c r="AT16" s="8">
        <f>SUM(AB16:AS16)</f>
        <v/>
      </c>
      <c r="AU16" s="8">
        <f>AU10</f>
        <v/>
      </c>
      <c r="AV16" s="8">
        <f>AT16-AU16</f>
        <v/>
      </c>
      <c r="AW16" s="8">
        <f>MAX(0,25-AV16)*1.5</f>
        <v/>
      </c>
      <c r="AX16" s="19">
        <f>AA16+AW16</f>
        <v/>
      </c>
    </row>
    <row r="17">
      <c r="A17" s="8" t="n">
        <v>6</v>
      </c>
      <c r="B17" t="inlineStr">
        <is>
          <t>Ricardo Castro Ferreira</t>
        </is>
      </c>
      <c r="C17" s="8" t="inlineStr">
        <is>
          <t>49085</t>
        </is>
      </c>
      <c r="D17" t="inlineStr">
        <is>
          <t>Estoril</t>
        </is>
      </c>
      <c r="E17" s="8" t="n">
        <v>7.2</v>
      </c>
      <c r="F17" s="18" t="n">
        <v>4</v>
      </c>
      <c r="G17" s="18" t="n">
        <v>5</v>
      </c>
      <c r="H17" s="18" t="n">
        <v>5</v>
      </c>
      <c r="I17" s="18" t="n">
        <v>4</v>
      </c>
      <c r="J17" s="18" t="n">
        <v>3</v>
      </c>
      <c r="K17" s="18" t="n">
        <v>2</v>
      </c>
      <c r="L17" s="18" t="n">
        <v>5</v>
      </c>
      <c r="M17" s="18" t="n">
        <v>3</v>
      </c>
      <c r="N17" s="18" t="n">
        <v>4</v>
      </c>
      <c r="O17" s="18" t="n">
        <v>4</v>
      </c>
      <c r="P17" s="18" t="n">
        <v>5</v>
      </c>
      <c r="Q17" s="18" t="n">
        <v>7</v>
      </c>
      <c r="R17" s="18" t="n">
        <v>4</v>
      </c>
      <c r="S17" s="18" t="n">
        <v>3</v>
      </c>
      <c r="T17" s="18" t="n">
        <v>5</v>
      </c>
      <c r="U17" s="18" t="n">
        <v>4</v>
      </c>
      <c r="V17" s="18" t="n">
        <v>2</v>
      </c>
      <c r="W17" s="18" t="n">
        <v>4</v>
      </c>
      <c r="X17" s="8">
        <f>SUM(F17:W17)</f>
        <v/>
      </c>
      <c r="Y17" s="8">
        <f>Y10</f>
        <v/>
      </c>
      <c r="Z17" s="8">
        <f>X17-Y17</f>
        <v/>
      </c>
      <c r="AA17" s="8">
        <f>MAX(0,25-Z17)*1.5</f>
        <v/>
      </c>
      <c r="AB17" s="18" t="n">
        <v>5</v>
      </c>
      <c r="AC17" s="18" t="n">
        <v>5</v>
      </c>
      <c r="AD17" s="18" t="n">
        <v>4</v>
      </c>
      <c r="AE17" s="18" t="n">
        <v>5</v>
      </c>
      <c r="AF17" s="18" t="n">
        <v>5</v>
      </c>
      <c r="AG17" s="18" t="n">
        <v>2</v>
      </c>
      <c r="AH17" s="18" t="n">
        <v>4</v>
      </c>
      <c r="AI17" s="18" t="n">
        <v>3</v>
      </c>
      <c r="AJ17" s="18" t="n">
        <v>6</v>
      </c>
      <c r="AK17" s="18" t="n">
        <v>4</v>
      </c>
      <c r="AL17" s="18" t="n">
        <v>4</v>
      </c>
      <c r="AM17" s="18" t="n">
        <v>7</v>
      </c>
      <c r="AN17" s="18" t="n">
        <v>5</v>
      </c>
      <c r="AO17" s="18" t="n">
        <v>3</v>
      </c>
      <c r="AP17" s="18" t="n">
        <v>5</v>
      </c>
      <c r="AQ17" s="18" t="n">
        <v>4</v>
      </c>
      <c r="AR17" s="18" t="n">
        <v>3</v>
      </c>
      <c r="AS17" s="18" t="n">
        <v>5</v>
      </c>
      <c r="AT17" s="8">
        <f>SUM(AB17:AS17)</f>
        <v/>
      </c>
      <c r="AU17" s="8">
        <f>AU10</f>
        <v/>
      </c>
      <c r="AV17" s="8">
        <f>AT17-AU17</f>
        <v/>
      </c>
      <c r="AW17" s="8">
        <f>MAX(0,25-AV17)*1.5</f>
        <v/>
      </c>
      <c r="AX17" s="19">
        <f>AA17+AW17</f>
        <v/>
      </c>
    </row>
    <row r="18">
      <c r="A18" s="8" t="n">
        <v>7</v>
      </c>
      <c r="B18" t="inlineStr">
        <is>
          <t>Nuno Palmares Jr.</t>
        </is>
      </c>
      <c r="C18" s="8" t="inlineStr">
        <is>
          <t>49124</t>
        </is>
      </c>
      <c r="D18" t="inlineStr">
        <is>
          <t>Estoril</t>
        </is>
      </c>
      <c r="E18" s="8" t="n">
        <v>4.6</v>
      </c>
      <c r="F18" s="18" t="n">
        <v>4</v>
      </c>
      <c r="G18" s="18" t="n">
        <v>5</v>
      </c>
      <c r="H18" s="18" t="n">
        <v>4</v>
      </c>
      <c r="I18" s="18" t="n">
        <v>5</v>
      </c>
      <c r="J18" s="18" t="n">
        <v>4</v>
      </c>
      <c r="K18" s="18" t="n">
        <v>4</v>
      </c>
      <c r="L18" s="18" t="n">
        <v>4</v>
      </c>
      <c r="M18" s="18" t="n">
        <v>4</v>
      </c>
      <c r="N18" s="18" t="n">
        <v>4</v>
      </c>
      <c r="O18" s="18" t="n">
        <v>4</v>
      </c>
      <c r="P18" s="18" t="n">
        <v>4</v>
      </c>
      <c r="Q18" s="18" t="n">
        <v>6</v>
      </c>
      <c r="R18" s="18" t="n">
        <v>4</v>
      </c>
      <c r="S18" s="18" t="n">
        <v>2</v>
      </c>
      <c r="T18" s="18" t="n">
        <v>5</v>
      </c>
      <c r="U18" s="18" t="n">
        <v>4</v>
      </c>
      <c r="V18" s="18" t="n">
        <v>3</v>
      </c>
      <c r="W18" s="18" t="n">
        <v>5</v>
      </c>
      <c r="X18" s="8">
        <f>SUM(F18:W18)</f>
        <v/>
      </c>
      <c r="Y18" s="8">
        <f>Y10</f>
        <v/>
      </c>
      <c r="Z18" s="8">
        <f>X18-Y18</f>
        <v/>
      </c>
      <c r="AA18" s="8">
        <f>MAX(0,25-Z18)*1.5</f>
        <v/>
      </c>
      <c r="AB18" s="18" t="n">
        <v>4</v>
      </c>
      <c r="AC18" s="18" t="n">
        <v>6</v>
      </c>
      <c r="AD18" s="18" t="n">
        <v>3</v>
      </c>
      <c r="AE18" s="18" t="n">
        <v>5</v>
      </c>
      <c r="AF18" s="18" t="n">
        <v>4</v>
      </c>
      <c r="AG18" s="18" t="n">
        <v>4</v>
      </c>
      <c r="AH18" s="18" t="n">
        <v>3</v>
      </c>
      <c r="AI18" s="18" t="n">
        <v>4</v>
      </c>
      <c r="AJ18" s="18" t="n">
        <v>5</v>
      </c>
      <c r="AK18" s="18" t="n">
        <v>4</v>
      </c>
      <c r="AL18" s="18" t="n">
        <v>5</v>
      </c>
      <c r="AM18" s="18" t="n">
        <v>6</v>
      </c>
      <c r="AN18" s="18" t="n">
        <v>5</v>
      </c>
      <c r="AO18" s="18" t="n">
        <v>3</v>
      </c>
      <c r="AP18" s="18" t="n">
        <v>6</v>
      </c>
      <c r="AQ18" s="18" t="n">
        <v>5</v>
      </c>
      <c r="AR18" s="18" t="n">
        <v>3</v>
      </c>
      <c r="AS18" s="18" t="n">
        <v>4</v>
      </c>
      <c r="AT18" s="8">
        <f>SUM(AB18:AS18)</f>
        <v/>
      </c>
      <c r="AU18" s="8">
        <f>AU10</f>
        <v/>
      </c>
      <c r="AV18" s="8">
        <f>AT18-AU18</f>
        <v/>
      </c>
      <c r="AW18" s="8">
        <f>MAX(0,25-AV18)*1.5</f>
        <v/>
      </c>
      <c r="AX18" s="19">
        <f>AA18+AW18</f>
        <v/>
      </c>
    </row>
    <row r="19">
      <c r="A19" s="8" t="n">
        <v>8</v>
      </c>
      <c r="B19" t="inlineStr">
        <is>
          <t>Rodrigo Faria Constantino</t>
        </is>
      </c>
      <c r="C19" s="8" t="inlineStr">
        <is>
          <t>45278</t>
        </is>
      </c>
      <c r="D19" t="inlineStr">
        <is>
          <t>Belas</t>
        </is>
      </c>
      <c r="E19" s="8" t="n">
        <v>0.8</v>
      </c>
      <c r="F19" s="18" t="n">
        <v>4</v>
      </c>
      <c r="G19" s="18" t="n">
        <v>5</v>
      </c>
      <c r="H19" s="18" t="n">
        <v>2</v>
      </c>
      <c r="I19" s="18" t="n">
        <v>6</v>
      </c>
      <c r="J19" s="18" t="n">
        <v>5</v>
      </c>
      <c r="K19" s="18" t="n">
        <v>4</v>
      </c>
      <c r="L19" s="18" t="n">
        <v>4</v>
      </c>
      <c r="M19" s="18" t="n">
        <v>4</v>
      </c>
      <c r="N19" s="18" t="n">
        <v>3</v>
      </c>
      <c r="O19" s="18" t="n">
        <v>4</v>
      </c>
      <c r="P19" s="18" t="n">
        <v>4</v>
      </c>
      <c r="Q19" s="18" t="n">
        <v>5</v>
      </c>
      <c r="R19" s="18" t="n">
        <v>4</v>
      </c>
      <c r="S19" s="18" t="n">
        <v>3</v>
      </c>
      <c r="T19" s="18" t="n">
        <v>7</v>
      </c>
      <c r="U19" s="18" t="n">
        <v>4</v>
      </c>
      <c r="V19" s="18" t="n">
        <v>3</v>
      </c>
      <c r="W19" s="18" t="n">
        <v>4</v>
      </c>
      <c r="X19" s="8">
        <f>SUM(F19:W19)</f>
        <v/>
      </c>
      <c r="Y19" s="8">
        <f>Y10</f>
        <v/>
      </c>
      <c r="Z19" s="8">
        <f>X19-Y19</f>
        <v/>
      </c>
      <c r="AA19" s="8">
        <f>MAX(0,25-Z19)*1.5</f>
        <v/>
      </c>
      <c r="AB19" s="18" t="n">
        <v>6</v>
      </c>
      <c r="AC19" s="18" t="n">
        <v>4</v>
      </c>
      <c r="AD19" s="18" t="n">
        <v>4</v>
      </c>
      <c r="AE19" s="18" t="n">
        <v>6</v>
      </c>
      <c r="AF19" s="18" t="n">
        <v>4</v>
      </c>
      <c r="AG19" s="18" t="n">
        <v>3</v>
      </c>
      <c r="AH19" s="18" t="n">
        <v>6</v>
      </c>
      <c r="AI19" s="18" t="n">
        <v>6</v>
      </c>
      <c r="AJ19" s="18" t="n">
        <v>4</v>
      </c>
      <c r="AK19" s="18" t="n">
        <v>4</v>
      </c>
      <c r="AL19" s="18" t="n">
        <v>5</v>
      </c>
      <c r="AM19" s="18" t="n">
        <v>5</v>
      </c>
      <c r="AN19" s="18" t="n">
        <v>5</v>
      </c>
      <c r="AO19" s="18" t="n">
        <v>2</v>
      </c>
      <c r="AP19" s="18" t="n">
        <v>5</v>
      </c>
      <c r="AQ19" s="18" t="n">
        <v>4</v>
      </c>
      <c r="AR19" s="18" t="n">
        <v>3</v>
      </c>
      <c r="AS19" s="18" t="n">
        <v>5</v>
      </c>
      <c r="AT19" s="8">
        <f>SUM(AB19:AS19)</f>
        <v/>
      </c>
      <c r="AU19" s="8">
        <f>AU10</f>
        <v/>
      </c>
      <c r="AV19" s="8">
        <f>AT19-AU19</f>
        <v/>
      </c>
      <c r="AW19" s="8">
        <f>MAX(0,25-AV19)*1.5</f>
        <v/>
      </c>
      <c r="AX19" s="19">
        <f>AA19+AW19</f>
        <v/>
      </c>
    </row>
    <row r="20">
      <c r="A20" s="8" t="n">
        <v>9</v>
      </c>
      <c r="B20" t="inlineStr">
        <is>
          <t>Rodrigo Sousa Correia</t>
        </is>
      </c>
      <c r="C20" s="8" t="inlineStr">
        <is>
          <t>44934</t>
        </is>
      </c>
      <c r="D20" t="inlineStr">
        <is>
          <t>Vilamoura, C. G</t>
        </is>
      </c>
      <c r="E20" s="8" t="n">
        <v>2.2</v>
      </c>
      <c r="F20" s="18" t="n">
        <v>4</v>
      </c>
      <c r="G20" s="18" t="n">
        <v>4</v>
      </c>
      <c r="H20" s="18" t="n">
        <v>2</v>
      </c>
      <c r="I20" s="18" t="n">
        <v>6</v>
      </c>
      <c r="J20" s="18" t="n">
        <v>5</v>
      </c>
      <c r="K20" s="18" t="n">
        <v>3</v>
      </c>
      <c r="L20" s="18" t="n">
        <v>4</v>
      </c>
      <c r="M20" s="18" t="n">
        <v>3</v>
      </c>
      <c r="N20" s="18" t="n">
        <v>5</v>
      </c>
      <c r="O20" s="18" t="n">
        <v>5</v>
      </c>
      <c r="P20" s="18" t="n">
        <v>5</v>
      </c>
      <c r="Q20" s="18" t="n">
        <v>4</v>
      </c>
      <c r="R20" s="18" t="n">
        <v>3</v>
      </c>
      <c r="S20" s="18" t="n">
        <v>4</v>
      </c>
      <c r="T20" s="18" t="n">
        <v>5</v>
      </c>
      <c r="U20" s="18" t="n">
        <v>4</v>
      </c>
      <c r="V20" s="18" t="n">
        <v>4</v>
      </c>
      <c r="W20" s="18" t="n">
        <v>5</v>
      </c>
      <c r="X20" s="8">
        <f>SUM(F20:W20)</f>
        <v/>
      </c>
      <c r="Y20" s="8">
        <f>Y10</f>
        <v/>
      </c>
      <c r="Z20" s="8">
        <f>X20-Y20</f>
        <v/>
      </c>
      <c r="AA20" s="8">
        <f>MAX(0,25-Z20)*1.5</f>
        <v/>
      </c>
      <c r="AB20" s="18" t="n">
        <v>5</v>
      </c>
      <c r="AC20" s="18" t="n">
        <v>3</v>
      </c>
      <c r="AD20" s="18" t="n">
        <v>3</v>
      </c>
      <c r="AE20" s="18" t="n">
        <v>5</v>
      </c>
      <c r="AF20" s="18" t="n">
        <v>4</v>
      </c>
      <c r="AG20" s="18" t="n">
        <v>4</v>
      </c>
      <c r="AH20" s="18" t="n">
        <v>4</v>
      </c>
      <c r="AI20" s="18" t="n">
        <v>4</v>
      </c>
      <c r="AJ20" s="18" t="n">
        <v>4</v>
      </c>
      <c r="AK20" s="18" t="n">
        <v>5</v>
      </c>
      <c r="AL20" s="18" t="n">
        <v>6</v>
      </c>
      <c r="AM20" s="18" t="n">
        <v>6</v>
      </c>
      <c r="AN20" s="18" t="n">
        <v>4</v>
      </c>
      <c r="AO20" s="18" t="n">
        <v>3</v>
      </c>
      <c r="AP20" s="18" t="n">
        <v>5</v>
      </c>
      <c r="AQ20" s="18" t="n">
        <v>4</v>
      </c>
      <c r="AR20" s="18" t="n">
        <v>6</v>
      </c>
      <c r="AS20" s="18" t="n">
        <v>4</v>
      </c>
      <c r="AT20" s="8">
        <f>SUM(AB20:AS20)</f>
        <v/>
      </c>
      <c r="AU20" s="8">
        <f>AU10</f>
        <v/>
      </c>
      <c r="AV20" s="8">
        <f>AT20-AU20</f>
        <v/>
      </c>
      <c r="AW20" s="8">
        <f>MAX(0,25-AV20)*1.5</f>
        <v/>
      </c>
      <c r="AX20" s="19">
        <f>AA20+AW20</f>
        <v/>
      </c>
    </row>
    <row r="21">
      <c r="A21" s="8" t="n">
        <v>10</v>
      </c>
      <c r="B21" t="inlineStr">
        <is>
          <t>Pedro Costa Alemão</t>
        </is>
      </c>
      <c r="C21" s="8" t="inlineStr">
        <is>
          <t>46706</t>
        </is>
      </c>
      <c r="D21" t="inlineStr">
        <is>
          <t>Estoril</t>
        </is>
      </c>
      <c r="E21" s="8" t="n">
        <v>4.5</v>
      </c>
      <c r="F21" s="18" t="n">
        <v>4</v>
      </c>
      <c r="G21" s="18" t="n">
        <v>6</v>
      </c>
      <c r="H21" s="18" t="n">
        <v>4</v>
      </c>
      <c r="I21" s="18" t="n">
        <v>4</v>
      </c>
      <c r="J21" s="18" t="n">
        <v>4</v>
      </c>
      <c r="K21" s="18" t="n">
        <v>4</v>
      </c>
      <c r="L21" s="18" t="n">
        <v>4</v>
      </c>
      <c r="M21" s="18" t="n">
        <v>4</v>
      </c>
      <c r="N21" s="18" t="n">
        <v>4</v>
      </c>
      <c r="O21" s="18" t="n">
        <v>5</v>
      </c>
      <c r="P21" s="18" t="n">
        <v>5</v>
      </c>
      <c r="Q21" s="18" t="n">
        <v>4</v>
      </c>
      <c r="R21" s="18" t="n">
        <v>3</v>
      </c>
      <c r="S21" s="18" t="n">
        <v>4</v>
      </c>
      <c r="T21" s="18" t="n">
        <v>5</v>
      </c>
      <c r="U21" s="18" t="n">
        <v>5</v>
      </c>
      <c r="V21" s="18" t="n">
        <v>4</v>
      </c>
      <c r="W21" s="18" t="n">
        <v>4</v>
      </c>
      <c r="X21" s="8">
        <f>SUM(F21:W21)</f>
        <v/>
      </c>
      <c r="Y21" s="8">
        <f>Y10</f>
        <v/>
      </c>
      <c r="Z21" s="8">
        <f>X21-Y21</f>
        <v/>
      </c>
      <c r="AA21" s="8">
        <f>MAX(0,25-Z21)*1.5</f>
        <v/>
      </c>
      <c r="AB21" s="18" t="n">
        <v>5</v>
      </c>
      <c r="AC21" s="18" t="n">
        <v>6</v>
      </c>
      <c r="AD21" s="18" t="n">
        <v>3</v>
      </c>
      <c r="AE21" s="18" t="n">
        <v>5</v>
      </c>
      <c r="AF21" s="18" t="n">
        <v>5</v>
      </c>
      <c r="AG21" s="18" t="n">
        <v>3</v>
      </c>
      <c r="AH21" s="18" t="n">
        <v>4</v>
      </c>
      <c r="AI21" s="18" t="n">
        <v>4</v>
      </c>
      <c r="AJ21" s="18" t="n">
        <v>4</v>
      </c>
      <c r="AK21" s="18" t="n">
        <v>3</v>
      </c>
      <c r="AL21" s="18" t="n">
        <v>4</v>
      </c>
      <c r="AM21" s="18" t="n">
        <v>5</v>
      </c>
      <c r="AN21" s="18" t="n">
        <v>4</v>
      </c>
      <c r="AO21" s="18" t="n">
        <v>3</v>
      </c>
      <c r="AP21" s="18" t="n">
        <v>4</v>
      </c>
      <c r="AQ21" s="18" t="n">
        <v>5</v>
      </c>
      <c r="AR21" s="18" t="n">
        <v>3</v>
      </c>
      <c r="AS21" s="18" t="n">
        <v>5</v>
      </c>
      <c r="AT21" s="8">
        <f>SUM(AB21:AS21)</f>
        <v/>
      </c>
      <c r="AU21" s="8">
        <f>AU10</f>
        <v/>
      </c>
      <c r="AV21" s="8">
        <f>AT21-AU21</f>
        <v/>
      </c>
      <c r="AW21" s="8">
        <f>MAX(0,25-AV21)*1.5</f>
        <v/>
      </c>
      <c r="AX21" s="19">
        <f>AA21+AW21</f>
        <v/>
      </c>
    </row>
    <row r="22">
      <c r="A22" s="8" t="n">
        <v>11</v>
      </c>
      <c r="B22" t="inlineStr">
        <is>
          <t>Francisco Carvalho</t>
        </is>
      </c>
      <c r="C22" s="8" t="inlineStr">
        <is>
          <t>52856</t>
        </is>
      </c>
      <c r="D22" t="inlineStr">
        <is>
          <t>Vale Pisão</t>
        </is>
      </c>
      <c r="E22" s="8" t="n">
        <v>10</v>
      </c>
      <c r="F22" s="18" t="n">
        <v>4</v>
      </c>
      <c r="G22" s="18" t="n">
        <v>4</v>
      </c>
      <c r="H22" s="18" t="n">
        <v>4</v>
      </c>
      <c r="I22" s="18" t="n">
        <v>4</v>
      </c>
      <c r="J22" s="18" t="n">
        <v>5</v>
      </c>
      <c r="K22" s="18" t="n">
        <v>2</v>
      </c>
      <c r="L22" s="18" t="n">
        <v>5</v>
      </c>
      <c r="M22" s="18" t="n">
        <v>2</v>
      </c>
      <c r="N22" s="18" t="n">
        <v>4</v>
      </c>
      <c r="O22" s="18" t="n">
        <v>4</v>
      </c>
      <c r="P22" s="18" t="n">
        <v>5</v>
      </c>
      <c r="Q22" s="18" t="n">
        <v>8</v>
      </c>
      <c r="R22" s="18" t="n">
        <v>5</v>
      </c>
      <c r="S22" s="18" t="n">
        <v>4</v>
      </c>
      <c r="T22" s="18" t="n">
        <v>5</v>
      </c>
      <c r="U22" s="18" t="n">
        <v>5</v>
      </c>
      <c r="V22" s="18" t="n">
        <v>3</v>
      </c>
      <c r="W22" s="18" t="n">
        <v>4</v>
      </c>
      <c r="X22" s="8">
        <f>SUM(F22:W22)</f>
        <v/>
      </c>
      <c r="Y22" s="8">
        <f>Y10</f>
        <v/>
      </c>
      <c r="Z22" s="8">
        <f>X22-Y22</f>
        <v/>
      </c>
      <c r="AA22" s="8">
        <f>MAX(0,25-Z22)*1.5</f>
        <v/>
      </c>
      <c r="AB22" s="18" t="n">
        <v>5</v>
      </c>
      <c r="AC22" s="18" t="n">
        <v>4</v>
      </c>
      <c r="AD22" s="18" t="n">
        <v>4</v>
      </c>
      <c r="AE22" s="18" t="n">
        <v>6</v>
      </c>
      <c r="AF22" s="18" t="n">
        <v>4</v>
      </c>
      <c r="AG22" s="18" t="n">
        <v>3</v>
      </c>
      <c r="AH22" s="18" t="n">
        <v>4</v>
      </c>
      <c r="AI22" s="18" t="n">
        <v>4</v>
      </c>
      <c r="AJ22" s="18" t="n">
        <v>4</v>
      </c>
      <c r="AK22" s="18" t="n">
        <v>5</v>
      </c>
      <c r="AL22" s="18" t="n">
        <v>5</v>
      </c>
      <c r="AM22" s="18" t="n">
        <v>5</v>
      </c>
      <c r="AN22" s="18" t="n">
        <v>3</v>
      </c>
      <c r="AO22" s="18" t="n">
        <v>3</v>
      </c>
      <c r="AP22" s="18" t="n">
        <v>6</v>
      </c>
      <c r="AQ22" s="18" t="n">
        <v>4</v>
      </c>
      <c r="AR22" s="18" t="n">
        <v>3</v>
      </c>
      <c r="AS22" s="18" t="n">
        <v>3</v>
      </c>
      <c r="AT22" s="8">
        <f>SUM(AB22:AS22)</f>
        <v/>
      </c>
      <c r="AU22" s="8">
        <f>AU10</f>
        <v/>
      </c>
      <c r="AV22" s="8">
        <f>AT22-AU22</f>
        <v/>
      </c>
      <c r="AW22" s="8">
        <f>MAX(0,25-AV22)*1.5</f>
        <v/>
      </c>
      <c r="AX22" s="19">
        <f>AA22+AW22</f>
        <v/>
      </c>
    </row>
    <row r="23">
      <c r="A23" s="8" t="n">
        <v>12</v>
      </c>
      <c r="B23" t="inlineStr">
        <is>
          <t>Clara Trindade</t>
        </is>
      </c>
      <c r="C23" s="8" t="inlineStr">
        <is>
          <t>45812</t>
        </is>
      </c>
      <c r="D23" t="inlineStr">
        <is>
          <t>Belas</t>
        </is>
      </c>
      <c r="E23" s="8" t="n">
        <v>8.9</v>
      </c>
      <c r="F23" s="18" t="n">
        <v>4</v>
      </c>
      <c r="G23" s="18" t="n">
        <v>5</v>
      </c>
      <c r="H23" s="18" t="n">
        <v>3</v>
      </c>
      <c r="I23" s="18" t="n">
        <v>4</v>
      </c>
      <c r="J23" s="18" t="n">
        <v>5</v>
      </c>
      <c r="K23" s="18" t="n">
        <v>3</v>
      </c>
      <c r="L23" s="18" t="n">
        <v>5</v>
      </c>
      <c r="M23" s="18" t="n">
        <v>2</v>
      </c>
      <c r="N23" s="18" t="n">
        <v>4</v>
      </c>
      <c r="O23" s="18" t="n">
        <v>5</v>
      </c>
      <c r="P23" s="18" t="n">
        <v>5</v>
      </c>
      <c r="Q23" s="18" t="n">
        <v>6</v>
      </c>
      <c r="R23" s="18" t="n">
        <v>6</v>
      </c>
      <c r="S23" s="18" t="n">
        <v>4</v>
      </c>
      <c r="T23" s="18" t="n">
        <v>5</v>
      </c>
      <c r="U23" s="18" t="n">
        <v>4</v>
      </c>
      <c r="V23" s="18" t="n">
        <v>3</v>
      </c>
      <c r="W23" s="18" t="n">
        <v>5</v>
      </c>
      <c r="X23" s="8">
        <f>SUM(F23:W23)</f>
        <v/>
      </c>
      <c r="Y23" s="8">
        <f>Y10</f>
        <v/>
      </c>
      <c r="Z23" s="8">
        <f>X23-Y23</f>
        <v/>
      </c>
      <c r="AA23" s="8">
        <f>MAX(0,25-Z23)*1.5</f>
        <v/>
      </c>
      <c r="AB23" s="18" t="n">
        <v>4</v>
      </c>
      <c r="AC23" s="18" t="n">
        <v>4</v>
      </c>
      <c r="AD23" s="18" t="n">
        <v>4</v>
      </c>
      <c r="AE23" s="18" t="n">
        <v>4</v>
      </c>
      <c r="AF23" s="18" t="n">
        <v>4</v>
      </c>
      <c r="AG23" s="18" t="n">
        <v>4</v>
      </c>
      <c r="AH23" s="18" t="n">
        <v>4</v>
      </c>
      <c r="AI23" s="18" t="n">
        <v>3</v>
      </c>
      <c r="AJ23" s="18" t="n">
        <v>4</v>
      </c>
      <c r="AK23" s="18" t="n">
        <v>3</v>
      </c>
      <c r="AL23" s="18" t="n">
        <v>4</v>
      </c>
      <c r="AM23" s="18" t="n">
        <v>6</v>
      </c>
      <c r="AN23" s="18" t="n">
        <v>3</v>
      </c>
      <c r="AO23" s="18" t="n">
        <v>4</v>
      </c>
      <c r="AP23" s="18" t="n">
        <v>5</v>
      </c>
      <c r="AQ23" s="18" t="n">
        <v>4</v>
      </c>
      <c r="AR23" s="18" t="n">
        <v>3</v>
      </c>
      <c r="AS23" s="18" t="n">
        <v>5</v>
      </c>
      <c r="AT23" s="8">
        <f>SUM(AB23:AS23)</f>
        <v/>
      </c>
      <c r="AU23" s="8">
        <f>AU10</f>
        <v/>
      </c>
      <c r="AV23" s="8">
        <f>AT23-AU23</f>
        <v/>
      </c>
      <c r="AW23" s="8">
        <f>MAX(0,25-AV23)*1.5</f>
        <v/>
      </c>
      <c r="AX23" s="19">
        <f>AA23+AW23</f>
        <v/>
      </c>
    </row>
    <row r="24">
      <c r="A24" s="8" t="n">
        <v>13</v>
      </c>
      <c r="B24" t="inlineStr">
        <is>
          <t>Tomás Lima Pinto</t>
        </is>
      </c>
      <c r="C24" s="8" t="inlineStr">
        <is>
          <t>46037</t>
        </is>
      </c>
      <c r="D24" t="inlineStr">
        <is>
          <t>Vilamoura, C. G</t>
        </is>
      </c>
      <c r="E24" s="8" t="n">
        <v>11.2</v>
      </c>
      <c r="F24" s="18" t="n">
        <v>4</v>
      </c>
      <c r="G24" s="18" t="n">
        <v>6</v>
      </c>
      <c r="H24" s="18" t="n">
        <v>4</v>
      </c>
      <c r="I24" s="18" t="n">
        <v>4</v>
      </c>
      <c r="J24" s="18" t="n">
        <v>4</v>
      </c>
      <c r="K24" s="18" t="n">
        <v>4</v>
      </c>
      <c r="L24" s="18" t="n">
        <v>5</v>
      </c>
      <c r="M24" s="18" t="n">
        <v>3</v>
      </c>
      <c r="N24" s="18" t="n">
        <v>4</v>
      </c>
      <c r="O24" s="18" t="n">
        <v>4</v>
      </c>
      <c r="P24" s="18" t="n">
        <v>5</v>
      </c>
      <c r="Q24" s="18" t="n">
        <v>6</v>
      </c>
      <c r="R24" s="18" t="n">
        <v>3</v>
      </c>
      <c r="S24" s="18" t="n">
        <v>4</v>
      </c>
      <c r="T24" s="18" t="n">
        <v>5</v>
      </c>
      <c r="U24" s="18" t="n">
        <v>4</v>
      </c>
      <c r="V24" s="18" t="n">
        <v>4</v>
      </c>
      <c r="W24" s="18" t="n">
        <v>6</v>
      </c>
      <c r="X24" s="8">
        <f>SUM(F24:W24)</f>
        <v/>
      </c>
      <c r="Y24" s="8">
        <f>Y10</f>
        <v/>
      </c>
      <c r="Z24" s="8">
        <f>X24-Y24</f>
        <v/>
      </c>
      <c r="AA24" s="8">
        <f>MAX(0,25-Z24)*1.5</f>
        <v/>
      </c>
      <c r="AB24" s="18" t="n">
        <v>4</v>
      </c>
      <c r="AC24" s="18" t="n">
        <v>5</v>
      </c>
      <c r="AD24" s="18" t="n">
        <v>4</v>
      </c>
      <c r="AE24" s="18" t="n">
        <v>6</v>
      </c>
      <c r="AF24" s="18" t="n">
        <v>5</v>
      </c>
      <c r="AG24" s="18" t="n">
        <v>3</v>
      </c>
      <c r="AH24" s="18" t="n">
        <v>5</v>
      </c>
      <c r="AI24" s="18" t="n">
        <v>4</v>
      </c>
      <c r="AJ24" s="18" t="n">
        <v>4</v>
      </c>
      <c r="AK24" s="18" t="n">
        <v>4</v>
      </c>
      <c r="AL24" s="18" t="n">
        <v>3</v>
      </c>
      <c r="AM24" s="18" t="n">
        <v>5</v>
      </c>
      <c r="AN24" s="18" t="n">
        <v>4</v>
      </c>
      <c r="AO24" s="18" t="n">
        <v>3</v>
      </c>
      <c r="AP24" s="18" t="n">
        <v>6</v>
      </c>
      <c r="AQ24" s="18" t="n">
        <v>4</v>
      </c>
      <c r="AR24" s="18" t="n">
        <v>3</v>
      </c>
      <c r="AS24" s="18" t="n">
        <v>5</v>
      </c>
      <c r="AT24" s="8">
        <f>SUM(AB24:AS24)</f>
        <v/>
      </c>
      <c r="AU24" s="8">
        <f>AU10</f>
        <v/>
      </c>
      <c r="AV24" s="8">
        <f>AT24-AU24</f>
        <v/>
      </c>
      <c r="AW24" s="8">
        <f>MAX(0,25-AV24)*1.5</f>
        <v/>
      </c>
      <c r="AX24" s="19">
        <f>AA24+AW24</f>
        <v/>
      </c>
    </row>
    <row r="25">
      <c r="A25" s="8" t="n">
        <v>14</v>
      </c>
      <c r="B25" t="inlineStr">
        <is>
          <t>André Castro Mendes</t>
        </is>
      </c>
      <c r="C25" s="8" t="inlineStr">
        <is>
          <t>55056</t>
        </is>
      </c>
      <c r="D25" t="inlineStr">
        <is>
          <t>Oitavos</t>
        </is>
      </c>
      <c r="E25" s="8" t="n">
        <v>4.1</v>
      </c>
      <c r="F25" s="18" t="n">
        <v>4</v>
      </c>
      <c r="G25" s="18" t="n">
        <v>5</v>
      </c>
      <c r="H25" s="18" t="n">
        <v>2</v>
      </c>
      <c r="I25" s="18" t="n">
        <v>5</v>
      </c>
      <c r="J25" s="18" t="n">
        <v>4</v>
      </c>
      <c r="K25" s="18" t="n">
        <v>4</v>
      </c>
      <c r="L25" s="18" t="n">
        <v>4</v>
      </c>
      <c r="M25" s="18" t="n">
        <v>3</v>
      </c>
      <c r="N25" s="18" t="n">
        <v>4</v>
      </c>
      <c r="O25" s="18" t="n">
        <v>7</v>
      </c>
      <c r="P25" s="18" t="n">
        <v>5</v>
      </c>
      <c r="Q25" s="18" t="n">
        <v>6</v>
      </c>
      <c r="R25" s="18" t="n">
        <v>4</v>
      </c>
      <c r="S25" s="18" t="n">
        <v>4</v>
      </c>
      <c r="T25" s="18" t="n">
        <v>5</v>
      </c>
      <c r="U25" s="18" t="n">
        <v>5</v>
      </c>
      <c r="V25" s="18" t="n">
        <v>3</v>
      </c>
      <c r="W25" s="18" t="n">
        <v>5</v>
      </c>
      <c r="X25" s="8">
        <f>SUM(F25:W25)</f>
        <v/>
      </c>
      <c r="Y25" s="8">
        <f>Y10</f>
        <v/>
      </c>
      <c r="Z25" s="8">
        <f>X25-Y25</f>
        <v/>
      </c>
      <c r="AA25" s="8">
        <f>MAX(0,25-Z25)*1.5</f>
        <v/>
      </c>
      <c r="AB25" s="18" t="n">
        <v>5</v>
      </c>
      <c r="AC25" s="18" t="n">
        <v>5</v>
      </c>
      <c r="AD25" s="18" t="n">
        <v>5</v>
      </c>
      <c r="AE25" s="18" t="n">
        <v>4</v>
      </c>
      <c r="AF25" s="18" t="n">
        <v>4</v>
      </c>
      <c r="AG25" s="18" t="n">
        <v>3</v>
      </c>
      <c r="AH25" s="18" t="n">
        <v>4</v>
      </c>
      <c r="AI25" s="18" t="n">
        <v>3</v>
      </c>
      <c r="AJ25" s="18" t="n">
        <v>3</v>
      </c>
      <c r="AK25" s="18" t="n">
        <v>4</v>
      </c>
      <c r="AL25" s="18" t="n">
        <v>5</v>
      </c>
      <c r="AM25" s="18" t="n">
        <v>5</v>
      </c>
      <c r="AN25" s="18" t="n">
        <v>6</v>
      </c>
      <c r="AO25" s="18" t="n">
        <v>4</v>
      </c>
      <c r="AP25" s="18" t="n">
        <v>6</v>
      </c>
      <c r="AQ25" s="18" t="n">
        <v>5</v>
      </c>
      <c r="AR25" s="18" t="n">
        <v>4</v>
      </c>
      <c r="AS25" s="18" t="n">
        <v>5</v>
      </c>
      <c r="AT25" s="8">
        <f>SUM(AB25:AS25)</f>
        <v/>
      </c>
      <c r="AU25" s="8">
        <f>AU10</f>
        <v/>
      </c>
      <c r="AV25" s="8">
        <f>AT25-AU25</f>
        <v/>
      </c>
      <c r="AW25" s="8">
        <f>MAX(0,25-AV25)*1.5</f>
        <v/>
      </c>
      <c r="AX25" s="19">
        <f>AA25+AW25</f>
        <v/>
      </c>
    </row>
    <row r="26">
      <c r="A26" s="8" t="n">
        <v>15</v>
      </c>
      <c r="B26" t="inlineStr">
        <is>
          <t>Manuel Goulartt Medeiros</t>
        </is>
      </c>
      <c r="C26" s="8" t="inlineStr">
        <is>
          <t>52884</t>
        </is>
      </c>
      <c r="D26" t="inlineStr">
        <is>
          <t>Santo da Serra</t>
        </is>
      </c>
      <c r="E26" s="8" t="n">
        <v>10.9</v>
      </c>
      <c r="F26" s="18" t="n">
        <v>4</v>
      </c>
      <c r="G26" s="18" t="n">
        <v>5</v>
      </c>
      <c r="H26" s="18" t="n">
        <v>4</v>
      </c>
      <c r="I26" s="18" t="n">
        <v>4</v>
      </c>
      <c r="J26" s="18" t="n">
        <v>4</v>
      </c>
      <c r="K26" s="18" t="n">
        <v>4</v>
      </c>
      <c r="L26" s="18" t="n">
        <v>4</v>
      </c>
      <c r="M26" s="18" t="n">
        <v>4</v>
      </c>
      <c r="N26" s="18" t="n">
        <v>5</v>
      </c>
      <c r="O26" s="18" t="n">
        <v>5</v>
      </c>
      <c r="P26" s="18" t="n">
        <v>6</v>
      </c>
      <c r="Q26" s="18" t="n">
        <v>6</v>
      </c>
      <c r="R26" s="18" t="n">
        <v>6</v>
      </c>
      <c r="S26" s="18" t="n">
        <v>3</v>
      </c>
      <c r="T26" s="18" t="n">
        <v>5</v>
      </c>
      <c r="U26" s="18" t="n">
        <v>4</v>
      </c>
      <c r="V26" s="18" t="n">
        <v>4</v>
      </c>
      <c r="W26" s="18" t="n">
        <v>4</v>
      </c>
      <c r="X26" s="8">
        <f>SUM(F26:W26)</f>
        <v/>
      </c>
      <c r="Y26" s="8">
        <f>Y10</f>
        <v/>
      </c>
      <c r="Z26" s="8">
        <f>X26-Y26</f>
        <v/>
      </c>
      <c r="AA26" s="8">
        <f>MAX(0,25-Z26)*1.5</f>
        <v/>
      </c>
      <c r="AB26" s="18" t="n">
        <v>4</v>
      </c>
      <c r="AC26" s="18" t="n">
        <v>7</v>
      </c>
      <c r="AD26" s="18" t="n">
        <v>4</v>
      </c>
      <c r="AE26" s="18" t="n">
        <v>6</v>
      </c>
      <c r="AF26" s="18" t="n">
        <v>3</v>
      </c>
      <c r="AG26" s="18" t="n">
        <v>5</v>
      </c>
      <c r="AH26" s="18" t="n">
        <v>4</v>
      </c>
      <c r="AI26" s="18" t="n">
        <v>3</v>
      </c>
      <c r="AJ26" s="18" t="n">
        <v>4</v>
      </c>
      <c r="AK26" s="18" t="n">
        <v>4</v>
      </c>
      <c r="AL26" s="18" t="n">
        <v>4</v>
      </c>
      <c r="AM26" s="18" t="n">
        <v>7</v>
      </c>
      <c r="AN26" s="18" t="n">
        <v>6</v>
      </c>
      <c r="AO26" s="18" t="n">
        <v>3</v>
      </c>
      <c r="AP26" s="18" t="n">
        <v>5</v>
      </c>
      <c r="AQ26" s="18" t="n">
        <v>4</v>
      </c>
      <c r="AR26" s="18" t="n">
        <v>3</v>
      </c>
      <c r="AS26" s="18" t="n">
        <v>5</v>
      </c>
      <c r="AT26" s="8">
        <f>SUM(AB26:AS26)</f>
        <v/>
      </c>
      <c r="AU26" s="8">
        <f>AU10</f>
        <v/>
      </c>
      <c r="AV26" s="8">
        <f>AT26-AU26</f>
        <v/>
      </c>
      <c r="AW26" s="8">
        <f>MAX(0,25-AV26)*1.5</f>
        <v/>
      </c>
      <c r="AX26" s="19">
        <f>AA26+AW26</f>
        <v/>
      </c>
    </row>
    <row r="27">
      <c r="A27" s="8" t="n">
        <v>16</v>
      </c>
      <c r="B27" t="inlineStr">
        <is>
          <t>Guo Ziyang</t>
        </is>
      </c>
      <c r="C27" s="8" t="inlineStr">
        <is>
          <t>57904</t>
        </is>
      </c>
      <c r="D27" t="inlineStr">
        <is>
          <t>Estoril</t>
        </is>
      </c>
      <c r="E27" s="8" t="n">
        <v>11.4</v>
      </c>
      <c r="F27" s="18" t="n">
        <v>5</v>
      </c>
      <c r="G27" s="18" t="n">
        <v>6</v>
      </c>
      <c r="H27" s="18" t="n">
        <v>2</v>
      </c>
      <c r="I27" s="18" t="n">
        <v>5</v>
      </c>
      <c r="J27" s="18" t="n">
        <v>4</v>
      </c>
      <c r="K27" s="18" t="n">
        <v>4</v>
      </c>
      <c r="L27" s="18" t="n">
        <v>4</v>
      </c>
      <c r="M27" s="18" t="n">
        <v>3</v>
      </c>
      <c r="N27" s="18" t="n">
        <v>5</v>
      </c>
      <c r="O27" s="18" t="n">
        <v>5</v>
      </c>
      <c r="P27" s="18" t="n">
        <v>5</v>
      </c>
      <c r="Q27" s="18" t="n">
        <v>6</v>
      </c>
      <c r="R27" s="18" t="n">
        <v>6</v>
      </c>
      <c r="S27" s="18" t="n">
        <v>4</v>
      </c>
      <c r="T27" s="18" t="n">
        <v>5</v>
      </c>
      <c r="U27" s="18" t="n">
        <v>4</v>
      </c>
      <c r="V27" s="18" t="n">
        <v>4</v>
      </c>
      <c r="W27" s="18" t="n">
        <v>4</v>
      </c>
      <c r="X27" s="8">
        <f>SUM(F27:W27)</f>
        <v/>
      </c>
      <c r="Y27" s="8">
        <f>Y10</f>
        <v/>
      </c>
      <c r="Z27" s="8">
        <f>X27-Y27</f>
        <v/>
      </c>
      <c r="AA27" s="8">
        <f>MAX(0,25-Z27)*1.5</f>
        <v/>
      </c>
      <c r="AB27" s="18" t="n">
        <v>7</v>
      </c>
      <c r="AC27" s="18" t="n">
        <v>5</v>
      </c>
      <c r="AD27" s="18" t="n">
        <v>4</v>
      </c>
      <c r="AE27" s="18" t="n">
        <v>6</v>
      </c>
      <c r="AF27" s="18" t="n">
        <v>7</v>
      </c>
      <c r="AG27" s="18" t="n">
        <v>3</v>
      </c>
      <c r="AH27" s="18" t="n">
        <v>5</v>
      </c>
      <c r="AI27" s="18" t="n">
        <v>3</v>
      </c>
      <c r="AJ27" s="18" t="n">
        <v>5</v>
      </c>
      <c r="AK27" s="18" t="n">
        <v>4</v>
      </c>
      <c r="AL27" s="18" t="n">
        <v>5</v>
      </c>
      <c r="AM27" s="18" t="n">
        <v>5</v>
      </c>
      <c r="AN27" s="18" t="n">
        <v>5</v>
      </c>
      <c r="AO27" s="18" t="n">
        <v>3</v>
      </c>
      <c r="AP27" s="18" t="n">
        <v>5</v>
      </c>
      <c r="AQ27" s="18" t="n">
        <v>5</v>
      </c>
      <c r="AR27" s="18" t="n">
        <v>3</v>
      </c>
      <c r="AS27" s="18" t="n">
        <v>4</v>
      </c>
      <c r="AT27" s="8">
        <f>SUM(AB27:AS27)</f>
        <v/>
      </c>
      <c r="AU27" s="8">
        <f>AU10</f>
        <v/>
      </c>
      <c r="AV27" s="8">
        <f>AT27-AU27</f>
        <v/>
      </c>
      <c r="AW27" s="8">
        <f>MAX(0,25-AV27)*1.5</f>
        <v/>
      </c>
      <c r="AX27" s="19">
        <f>AA27+AW27</f>
        <v/>
      </c>
    </row>
    <row r="28">
      <c r="A28" s="8" t="n">
        <v>17</v>
      </c>
      <c r="B28" t="inlineStr">
        <is>
          <t>João Rocha</t>
        </is>
      </c>
      <c r="C28" s="8" t="inlineStr">
        <is>
          <t>48297</t>
        </is>
      </c>
      <c r="D28" t="inlineStr">
        <is>
          <t>Estoril</t>
        </is>
      </c>
      <c r="E28" s="8" t="n">
        <v>5.1</v>
      </c>
      <c r="F28" s="18" t="n">
        <v>7</v>
      </c>
      <c r="G28" s="18" t="n">
        <v>7</v>
      </c>
      <c r="H28" s="18" t="n">
        <v>3</v>
      </c>
      <c r="I28" s="18" t="n">
        <v>4</v>
      </c>
      <c r="J28" s="18" t="n">
        <v>3</v>
      </c>
      <c r="K28" s="18" t="n">
        <v>3</v>
      </c>
      <c r="L28" s="18" t="n">
        <v>5</v>
      </c>
      <c r="M28" s="18" t="n">
        <v>5</v>
      </c>
      <c r="N28" s="18" t="n">
        <v>5</v>
      </c>
      <c r="O28" s="18" t="n">
        <v>3</v>
      </c>
      <c r="P28" s="18" t="n">
        <v>7</v>
      </c>
      <c r="Q28" s="18" t="n">
        <v>4</v>
      </c>
      <c r="R28" s="18" t="n">
        <v>4</v>
      </c>
      <c r="S28" s="18" t="n">
        <v>3</v>
      </c>
      <c r="T28" s="18" t="n">
        <v>5</v>
      </c>
      <c r="U28" s="18" t="n">
        <v>6</v>
      </c>
      <c r="V28" s="18" t="n">
        <v>4</v>
      </c>
      <c r="W28" s="18" t="n">
        <v>5</v>
      </c>
      <c r="X28" s="8">
        <f>SUM(F28:W28)</f>
        <v/>
      </c>
      <c r="Y28" s="8">
        <f>Y10</f>
        <v/>
      </c>
      <c r="Z28" s="8">
        <f>X28-Y28</f>
        <v/>
      </c>
      <c r="AA28" s="8">
        <f>MAX(0,25-Z28)*1.5</f>
        <v/>
      </c>
      <c r="AB28" s="18" t="n">
        <v>4</v>
      </c>
      <c r="AC28" s="18" t="n">
        <v>6</v>
      </c>
      <c r="AD28" s="18" t="n">
        <v>4</v>
      </c>
      <c r="AE28" s="18" t="n">
        <v>4</v>
      </c>
      <c r="AF28" s="18" t="n">
        <v>6</v>
      </c>
      <c r="AG28" s="18" t="n">
        <v>2</v>
      </c>
      <c r="AH28" s="18" t="n">
        <v>4</v>
      </c>
      <c r="AI28" s="18" t="n">
        <v>5</v>
      </c>
      <c r="AJ28" s="18" t="n">
        <v>3</v>
      </c>
      <c r="AK28" s="18" t="n">
        <v>4</v>
      </c>
      <c r="AL28" s="18" t="n">
        <v>4</v>
      </c>
      <c r="AM28" s="18" t="n">
        <v>6</v>
      </c>
      <c r="AN28" s="18" t="n">
        <v>6</v>
      </c>
      <c r="AO28" s="18" t="n">
        <v>3</v>
      </c>
      <c r="AP28" s="18" t="n">
        <v>7</v>
      </c>
      <c r="AQ28" s="18" t="n">
        <v>4</v>
      </c>
      <c r="AR28" s="18" t="n">
        <v>3</v>
      </c>
      <c r="AS28" s="18" t="n">
        <v>4</v>
      </c>
      <c r="AT28" s="8">
        <f>SUM(AB28:AS28)</f>
        <v/>
      </c>
      <c r="AU28" s="8">
        <f>AU10</f>
        <v/>
      </c>
      <c r="AV28" s="8">
        <f>AT28-AU28</f>
        <v/>
      </c>
      <c r="AW28" s="8">
        <f>MAX(0,25-AV28)*1.5</f>
        <v/>
      </c>
      <c r="AX28" s="19">
        <f>AA28+AW28</f>
        <v/>
      </c>
    </row>
    <row r="29">
      <c r="A29" s="8" t="n">
        <v>18</v>
      </c>
      <c r="B29" t="inlineStr">
        <is>
          <t>Martim Sousa de Morais</t>
        </is>
      </c>
      <c r="C29" s="8" t="inlineStr">
        <is>
          <t>41609</t>
        </is>
      </c>
      <c r="D29" t="inlineStr">
        <is>
          <t>Belas</t>
        </is>
      </c>
      <c r="E29" s="8" t="n">
        <v>4.2</v>
      </c>
      <c r="F29" s="18" t="n">
        <v>4</v>
      </c>
      <c r="G29" s="18" t="n">
        <v>5</v>
      </c>
      <c r="H29" s="18" t="n">
        <v>4</v>
      </c>
      <c r="I29" s="18" t="n">
        <v>4</v>
      </c>
      <c r="J29" s="18" t="n">
        <v>8</v>
      </c>
      <c r="K29" s="18" t="n">
        <v>3</v>
      </c>
      <c r="L29" s="18" t="n">
        <v>5</v>
      </c>
      <c r="M29" s="18" t="n">
        <v>6</v>
      </c>
      <c r="N29" s="18" t="n">
        <v>5</v>
      </c>
      <c r="O29" s="18" t="n">
        <v>5</v>
      </c>
      <c r="P29" s="18" t="n">
        <v>5</v>
      </c>
      <c r="Q29" s="18" t="n">
        <v>5</v>
      </c>
      <c r="R29" s="18" t="n">
        <v>4</v>
      </c>
      <c r="S29" s="18" t="n">
        <v>4</v>
      </c>
      <c r="T29" s="18" t="n">
        <v>6</v>
      </c>
      <c r="U29" s="18" t="n">
        <v>4</v>
      </c>
      <c r="V29" s="18" t="n">
        <v>3</v>
      </c>
      <c r="W29" s="18" t="n">
        <v>4</v>
      </c>
      <c r="X29" s="8">
        <f>SUM(F29:W29)</f>
        <v/>
      </c>
      <c r="Y29" s="8">
        <f>Y10</f>
        <v/>
      </c>
      <c r="Z29" s="8">
        <f>X29-Y29</f>
        <v/>
      </c>
      <c r="AA29" s="8">
        <f>MAX(0,25-Z29)*1.5</f>
        <v/>
      </c>
      <c r="AB29" s="18" t="n">
        <v>5</v>
      </c>
      <c r="AC29" s="18" t="n">
        <v>5</v>
      </c>
      <c r="AD29" s="18" t="n">
        <v>5</v>
      </c>
      <c r="AE29" s="18" t="n">
        <v>6</v>
      </c>
      <c r="AF29" s="18" t="n">
        <v>4</v>
      </c>
      <c r="AG29" s="18" t="n">
        <v>5</v>
      </c>
      <c r="AH29" s="18" t="n">
        <v>4</v>
      </c>
      <c r="AI29" s="18" t="n">
        <v>5</v>
      </c>
      <c r="AJ29" s="18" t="n">
        <v>6</v>
      </c>
      <c r="AK29" s="18" t="n">
        <v>4</v>
      </c>
      <c r="AL29" s="18" t="n">
        <v>5</v>
      </c>
      <c r="AM29" s="18" t="n">
        <v>4</v>
      </c>
      <c r="AN29" s="18" t="n">
        <v>7</v>
      </c>
      <c r="AO29" s="18" t="n">
        <v>4</v>
      </c>
      <c r="AP29" s="18" t="n">
        <v>4</v>
      </c>
      <c r="AQ29" s="18" t="n">
        <v>5</v>
      </c>
      <c r="AR29" s="18" t="n">
        <v>5</v>
      </c>
      <c r="AS29" s="18" t="n">
        <v>4</v>
      </c>
      <c r="AT29" s="8">
        <f>SUM(AB29:AS29)</f>
        <v/>
      </c>
      <c r="AU29" s="8">
        <f>AU10</f>
        <v/>
      </c>
      <c r="AV29" s="8">
        <f>AT29-AU29</f>
        <v/>
      </c>
      <c r="AW29" s="8">
        <f>MAX(0,25-AV29)*1.5</f>
        <v/>
      </c>
      <c r="AX29" s="19">
        <f>AA29+AW29</f>
        <v/>
      </c>
    </row>
  </sheetData>
  <mergeCells count="1">
    <mergeCell ref="A1:H1"/>
  </mergeCells>
  <conditionalFormatting sqref="F12:F29">
    <cfRule type="expression" priority="1" dxfId="0">
      <formula>AND(ISNUMBER(F12),F12&lt;=$F$10-2,F12&gt;0)</formula>
    </cfRule>
    <cfRule type="expression" priority="2" dxfId="1">
      <formula>AND(ISNUMBER(F12),F12=$F$10-1)</formula>
    </cfRule>
    <cfRule type="expression" priority="3" dxfId="2">
      <formula>AND(ISNUMBER(F12),F12=$F$10+1)</formula>
    </cfRule>
    <cfRule type="expression" priority="4" dxfId="3">
      <formula>AND(ISNUMBER(F12),F12=$F$10+2)</formula>
    </cfRule>
    <cfRule type="expression" priority="5" dxfId="4">
      <formula>AND(ISNUMBER(F12),F12=$F$10+3)</formula>
    </cfRule>
    <cfRule type="expression" priority="6" dxfId="5">
      <formula>AND(ISNUMBER(F12),F12&gt;=$F$10+4)</formula>
    </cfRule>
  </conditionalFormatting>
  <conditionalFormatting sqref="G12:G29">
    <cfRule type="expression" priority="7" dxfId="0">
      <formula>AND(ISNUMBER(G12),G12&lt;=$G$10-2,G12&gt;0)</formula>
    </cfRule>
    <cfRule type="expression" priority="8" dxfId="1">
      <formula>AND(ISNUMBER(G12),G12=$G$10-1)</formula>
    </cfRule>
    <cfRule type="expression" priority="9" dxfId="2">
      <formula>AND(ISNUMBER(G12),G12=$G$10+1)</formula>
    </cfRule>
    <cfRule type="expression" priority="10" dxfId="3">
      <formula>AND(ISNUMBER(G12),G12=$G$10+2)</formula>
    </cfRule>
    <cfRule type="expression" priority="11" dxfId="4">
      <formula>AND(ISNUMBER(G12),G12=$G$10+3)</formula>
    </cfRule>
    <cfRule type="expression" priority="12" dxfId="5">
      <formula>AND(ISNUMBER(G12),G12&gt;=$G$10+4)</formula>
    </cfRule>
  </conditionalFormatting>
  <conditionalFormatting sqref="H12:H29">
    <cfRule type="expression" priority="13" dxfId="0">
      <formula>AND(ISNUMBER(H12),H12&lt;=$H$10-2,H12&gt;0)</formula>
    </cfRule>
    <cfRule type="expression" priority="14" dxfId="1">
      <formula>AND(ISNUMBER(H12),H12=$H$10-1)</formula>
    </cfRule>
    <cfRule type="expression" priority="15" dxfId="2">
      <formula>AND(ISNUMBER(H12),H12=$H$10+1)</formula>
    </cfRule>
    <cfRule type="expression" priority="16" dxfId="3">
      <formula>AND(ISNUMBER(H12),H12=$H$10+2)</formula>
    </cfRule>
    <cfRule type="expression" priority="17" dxfId="4">
      <formula>AND(ISNUMBER(H12),H12=$H$10+3)</formula>
    </cfRule>
    <cfRule type="expression" priority="18" dxfId="5">
      <formula>AND(ISNUMBER(H12),H12&gt;=$H$10+4)</formula>
    </cfRule>
  </conditionalFormatting>
  <conditionalFormatting sqref="I12:I29">
    <cfRule type="expression" priority="19" dxfId="0">
      <formula>AND(ISNUMBER(I12),I12&lt;=$I$10-2,I12&gt;0)</formula>
    </cfRule>
    <cfRule type="expression" priority="20" dxfId="1">
      <formula>AND(ISNUMBER(I12),I12=$I$10-1)</formula>
    </cfRule>
    <cfRule type="expression" priority="21" dxfId="2">
      <formula>AND(ISNUMBER(I12),I12=$I$10+1)</formula>
    </cfRule>
    <cfRule type="expression" priority="22" dxfId="3">
      <formula>AND(ISNUMBER(I12),I12=$I$10+2)</formula>
    </cfRule>
    <cfRule type="expression" priority="23" dxfId="4">
      <formula>AND(ISNUMBER(I12),I12=$I$10+3)</formula>
    </cfRule>
    <cfRule type="expression" priority="24" dxfId="5">
      <formula>AND(ISNUMBER(I12),I12&gt;=$I$10+4)</formula>
    </cfRule>
  </conditionalFormatting>
  <conditionalFormatting sqref="J12:J29">
    <cfRule type="expression" priority="25" dxfId="0">
      <formula>AND(ISNUMBER(J12),J12&lt;=$J$10-2,J12&gt;0)</formula>
    </cfRule>
    <cfRule type="expression" priority="26" dxfId="1">
      <formula>AND(ISNUMBER(J12),J12=$J$10-1)</formula>
    </cfRule>
    <cfRule type="expression" priority="27" dxfId="2">
      <formula>AND(ISNUMBER(J12),J12=$J$10+1)</formula>
    </cfRule>
    <cfRule type="expression" priority="28" dxfId="3">
      <formula>AND(ISNUMBER(J12),J12=$J$10+2)</formula>
    </cfRule>
    <cfRule type="expression" priority="29" dxfId="4">
      <formula>AND(ISNUMBER(J12),J12=$J$10+3)</formula>
    </cfRule>
    <cfRule type="expression" priority="30" dxfId="5">
      <formula>AND(ISNUMBER(J12),J12&gt;=$J$10+4)</formula>
    </cfRule>
  </conditionalFormatting>
  <conditionalFormatting sqref="K12:K29">
    <cfRule type="expression" priority="31" dxfId="0">
      <formula>AND(ISNUMBER(K12),K12&lt;=$K$10-2,K12&gt;0)</formula>
    </cfRule>
    <cfRule type="expression" priority="32" dxfId="1">
      <formula>AND(ISNUMBER(K12),K12=$K$10-1)</formula>
    </cfRule>
    <cfRule type="expression" priority="33" dxfId="2">
      <formula>AND(ISNUMBER(K12),K12=$K$10+1)</formula>
    </cfRule>
    <cfRule type="expression" priority="34" dxfId="3">
      <formula>AND(ISNUMBER(K12),K12=$K$10+2)</formula>
    </cfRule>
    <cfRule type="expression" priority="35" dxfId="4">
      <formula>AND(ISNUMBER(K12),K12=$K$10+3)</formula>
    </cfRule>
    <cfRule type="expression" priority="36" dxfId="5">
      <formula>AND(ISNUMBER(K12),K12&gt;=$K$10+4)</formula>
    </cfRule>
  </conditionalFormatting>
  <conditionalFormatting sqref="L12:L29">
    <cfRule type="expression" priority="37" dxfId="0">
      <formula>AND(ISNUMBER(L12),L12&lt;=$L$10-2,L12&gt;0)</formula>
    </cfRule>
    <cfRule type="expression" priority="38" dxfId="1">
      <formula>AND(ISNUMBER(L12),L12=$L$10-1)</formula>
    </cfRule>
    <cfRule type="expression" priority="39" dxfId="2">
      <formula>AND(ISNUMBER(L12),L12=$L$10+1)</formula>
    </cfRule>
    <cfRule type="expression" priority="40" dxfId="3">
      <formula>AND(ISNUMBER(L12),L12=$L$10+2)</formula>
    </cfRule>
    <cfRule type="expression" priority="41" dxfId="4">
      <formula>AND(ISNUMBER(L12),L12=$L$10+3)</formula>
    </cfRule>
    <cfRule type="expression" priority="42" dxfId="5">
      <formula>AND(ISNUMBER(L12),L12&gt;=$L$10+4)</formula>
    </cfRule>
  </conditionalFormatting>
  <conditionalFormatting sqref="M12:M29">
    <cfRule type="expression" priority="43" dxfId="0">
      <formula>AND(ISNUMBER(M12),M12&lt;=$M$10-2,M12&gt;0)</formula>
    </cfRule>
    <cfRule type="expression" priority="44" dxfId="1">
      <formula>AND(ISNUMBER(M12),M12=$M$10-1)</formula>
    </cfRule>
    <cfRule type="expression" priority="45" dxfId="2">
      <formula>AND(ISNUMBER(M12),M12=$M$10+1)</formula>
    </cfRule>
    <cfRule type="expression" priority="46" dxfId="3">
      <formula>AND(ISNUMBER(M12),M12=$M$10+2)</formula>
    </cfRule>
    <cfRule type="expression" priority="47" dxfId="4">
      <formula>AND(ISNUMBER(M12),M12=$M$10+3)</formula>
    </cfRule>
    <cfRule type="expression" priority="48" dxfId="5">
      <formula>AND(ISNUMBER(M12),M12&gt;=$M$10+4)</formula>
    </cfRule>
  </conditionalFormatting>
  <conditionalFormatting sqref="N12:N29">
    <cfRule type="expression" priority="49" dxfId="0">
      <formula>AND(ISNUMBER(N12),N12&lt;=$N$10-2,N12&gt;0)</formula>
    </cfRule>
    <cfRule type="expression" priority="50" dxfId="1">
      <formula>AND(ISNUMBER(N12),N12=$N$10-1)</formula>
    </cfRule>
    <cfRule type="expression" priority="51" dxfId="2">
      <formula>AND(ISNUMBER(N12),N12=$N$10+1)</formula>
    </cfRule>
    <cfRule type="expression" priority="52" dxfId="3">
      <formula>AND(ISNUMBER(N12),N12=$N$10+2)</formula>
    </cfRule>
    <cfRule type="expression" priority="53" dxfId="4">
      <formula>AND(ISNUMBER(N12),N12=$N$10+3)</formula>
    </cfRule>
    <cfRule type="expression" priority="54" dxfId="5">
      <formula>AND(ISNUMBER(N12),N12&gt;=$N$10+4)</formula>
    </cfRule>
  </conditionalFormatting>
  <conditionalFormatting sqref="O12:O29">
    <cfRule type="expression" priority="55" dxfId="0">
      <formula>AND(ISNUMBER(O12),O12&lt;=$O$10-2,O12&gt;0)</formula>
    </cfRule>
    <cfRule type="expression" priority="56" dxfId="1">
      <formula>AND(ISNUMBER(O12),O12=$O$10-1)</formula>
    </cfRule>
    <cfRule type="expression" priority="57" dxfId="2">
      <formula>AND(ISNUMBER(O12),O12=$O$10+1)</formula>
    </cfRule>
    <cfRule type="expression" priority="58" dxfId="3">
      <formula>AND(ISNUMBER(O12),O12=$O$10+2)</formula>
    </cfRule>
    <cfRule type="expression" priority="59" dxfId="4">
      <formula>AND(ISNUMBER(O12),O12=$O$10+3)</formula>
    </cfRule>
    <cfRule type="expression" priority="60" dxfId="5">
      <formula>AND(ISNUMBER(O12),O12&gt;=$O$10+4)</formula>
    </cfRule>
  </conditionalFormatting>
  <conditionalFormatting sqref="P12:P29">
    <cfRule type="expression" priority="61" dxfId="0">
      <formula>AND(ISNUMBER(P12),P12&lt;=$P$10-2,P12&gt;0)</formula>
    </cfRule>
    <cfRule type="expression" priority="62" dxfId="1">
      <formula>AND(ISNUMBER(P12),P12=$P$10-1)</formula>
    </cfRule>
    <cfRule type="expression" priority="63" dxfId="2">
      <formula>AND(ISNUMBER(P12),P12=$P$10+1)</formula>
    </cfRule>
    <cfRule type="expression" priority="64" dxfId="3">
      <formula>AND(ISNUMBER(P12),P12=$P$10+2)</formula>
    </cfRule>
    <cfRule type="expression" priority="65" dxfId="4">
      <formula>AND(ISNUMBER(P12),P12=$P$10+3)</formula>
    </cfRule>
    <cfRule type="expression" priority="66" dxfId="5">
      <formula>AND(ISNUMBER(P12),P12&gt;=$P$10+4)</formula>
    </cfRule>
  </conditionalFormatting>
  <conditionalFormatting sqref="Q12:Q29">
    <cfRule type="expression" priority="67" dxfId="0">
      <formula>AND(ISNUMBER(Q12),Q12&lt;=$Q$10-2,Q12&gt;0)</formula>
    </cfRule>
    <cfRule type="expression" priority="68" dxfId="1">
      <formula>AND(ISNUMBER(Q12),Q12=$Q$10-1)</formula>
    </cfRule>
    <cfRule type="expression" priority="69" dxfId="2">
      <formula>AND(ISNUMBER(Q12),Q12=$Q$10+1)</formula>
    </cfRule>
    <cfRule type="expression" priority="70" dxfId="3">
      <formula>AND(ISNUMBER(Q12),Q12=$Q$10+2)</formula>
    </cfRule>
    <cfRule type="expression" priority="71" dxfId="4">
      <formula>AND(ISNUMBER(Q12),Q12=$Q$10+3)</formula>
    </cfRule>
    <cfRule type="expression" priority="72" dxfId="5">
      <formula>AND(ISNUMBER(Q12),Q12&gt;=$Q$10+4)</formula>
    </cfRule>
  </conditionalFormatting>
  <conditionalFormatting sqref="R12:R29">
    <cfRule type="expression" priority="73" dxfId="0">
      <formula>AND(ISNUMBER(R12),R12&lt;=$R$10-2,R12&gt;0)</formula>
    </cfRule>
    <cfRule type="expression" priority="74" dxfId="1">
      <formula>AND(ISNUMBER(R12),R12=$R$10-1)</formula>
    </cfRule>
    <cfRule type="expression" priority="75" dxfId="2">
      <formula>AND(ISNUMBER(R12),R12=$R$10+1)</formula>
    </cfRule>
    <cfRule type="expression" priority="76" dxfId="3">
      <formula>AND(ISNUMBER(R12),R12=$R$10+2)</formula>
    </cfRule>
    <cfRule type="expression" priority="77" dxfId="4">
      <formula>AND(ISNUMBER(R12),R12=$R$10+3)</formula>
    </cfRule>
    <cfRule type="expression" priority="78" dxfId="5">
      <formula>AND(ISNUMBER(R12),R12&gt;=$R$10+4)</formula>
    </cfRule>
  </conditionalFormatting>
  <conditionalFormatting sqref="S12:S29">
    <cfRule type="expression" priority="79" dxfId="0">
      <formula>AND(ISNUMBER(S12),S12&lt;=$S$10-2,S12&gt;0)</formula>
    </cfRule>
    <cfRule type="expression" priority="80" dxfId="1">
      <formula>AND(ISNUMBER(S12),S12=$S$10-1)</formula>
    </cfRule>
    <cfRule type="expression" priority="81" dxfId="2">
      <formula>AND(ISNUMBER(S12),S12=$S$10+1)</formula>
    </cfRule>
    <cfRule type="expression" priority="82" dxfId="3">
      <formula>AND(ISNUMBER(S12),S12=$S$10+2)</formula>
    </cfRule>
    <cfRule type="expression" priority="83" dxfId="4">
      <formula>AND(ISNUMBER(S12),S12=$S$10+3)</formula>
    </cfRule>
    <cfRule type="expression" priority="84" dxfId="5">
      <formula>AND(ISNUMBER(S12),S12&gt;=$S$10+4)</formula>
    </cfRule>
  </conditionalFormatting>
  <conditionalFormatting sqref="T12:T29">
    <cfRule type="expression" priority="85" dxfId="0">
      <formula>AND(ISNUMBER(T12),T12&lt;=$T$10-2,T12&gt;0)</formula>
    </cfRule>
    <cfRule type="expression" priority="86" dxfId="1">
      <formula>AND(ISNUMBER(T12),T12=$T$10-1)</formula>
    </cfRule>
    <cfRule type="expression" priority="87" dxfId="2">
      <formula>AND(ISNUMBER(T12),T12=$T$10+1)</formula>
    </cfRule>
    <cfRule type="expression" priority="88" dxfId="3">
      <formula>AND(ISNUMBER(T12),T12=$T$10+2)</formula>
    </cfRule>
    <cfRule type="expression" priority="89" dxfId="4">
      <formula>AND(ISNUMBER(T12),T12=$T$10+3)</formula>
    </cfRule>
    <cfRule type="expression" priority="90" dxfId="5">
      <formula>AND(ISNUMBER(T12),T12&gt;=$T$10+4)</formula>
    </cfRule>
  </conditionalFormatting>
  <conditionalFormatting sqref="U12:U29">
    <cfRule type="expression" priority="91" dxfId="0">
      <formula>AND(ISNUMBER(U12),U12&lt;=$U$10-2,U12&gt;0)</formula>
    </cfRule>
    <cfRule type="expression" priority="92" dxfId="1">
      <formula>AND(ISNUMBER(U12),U12=$U$10-1)</formula>
    </cfRule>
    <cfRule type="expression" priority="93" dxfId="2">
      <formula>AND(ISNUMBER(U12),U12=$U$10+1)</formula>
    </cfRule>
    <cfRule type="expression" priority="94" dxfId="3">
      <formula>AND(ISNUMBER(U12),U12=$U$10+2)</formula>
    </cfRule>
    <cfRule type="expression" priority="95" dxfId="4">
      <formula>AND(ISNUMBER(U12),U12=$U$10+3)</formula>
    </cfRule>
    <cfRule type="expression" priority="96" dxfId="5">
      <formula>AND(ISNUMBER(U12),U12&gt;=$U$10+4)</formula>
    </cfRule>
  </conditionalFormatting>
  <conditionalFormatting sqref="V12:V29">
    <cfRule type="expression" priority="97" dxfId="0">
      <formula>AND(ISNUMBER(V12),V12&lt;=$V$10-2,V12&gt;0)</formula>
    </cfRule>
    <cfRule type="expression" priority="98" dxfId="1">
      <formula>AND(ISNUMBER(V12),V12=$V$10-1)</formula>
    </cfRule>
    <cfRule type="expression" priority="99" dxfId="2">
      <formula>AND(ISNUMBER(V12),V12=$V$10+1)</formula>
    </cfRule>
    <cfRule type="expression" priority="100" dxfId="3">
      <formula>AND(ISNUMBER(V12),V12=$V$10+2)</formula>
    </cfRule>
    <cfRule type="expression" priority="101" dxfId="4">
      <formula>AND(ISNUMBER(V12),V12=$V$10+3)</formula>
    </cfRule>
    <cfRule type="expression" priority="102" dxfId="5">
      <formula>AND(ISNUMBER(V12),V12&gt;=$V$10+4)</formula>
    </cfRule>
  </conditionalFormatting>
  <conditionalFormatting sqref="W12:W29">
    <cfRule type="expression" priority="103" dxfId="0">
      <formula>AND(ISNUMBER(W12),W12&lt;=$W$10-2,W12&gt;0)</formula>
    </cfRule>
    <cfRule type="expression" priority="104" dxfId="1">
      <formula>AND(ISNUMBER(W12),W12=$W$10-1)</formula>
    </cfRule>
    <cfRule type="expression" priority="105" dxfId="2">
      <formula>AND(ISNUMBER(W12),W12=$W$10+1)</formula>
    </cfRule>
    <cfRule type="expression" priority="106" dxfId="3">
      <formula>AND(ISNUMBER(W12),W12=$W$10+2)</formula>
    </cfRule>
    <cfRule type="expression" priority="107" dxfId="4">
      <formula>AND(ISNUMBER(W12),W12=$W$10+3)</formula>
    </cfRule>
    <cfRule type="expression" priority="108" dxfId="5">
      <formula>AND(ISNUMBER(W12),W12&gt;=$W$10+4)</formula>
    </cfRule>
  </conditionalFormatting>
  <conditionalFormatting sqref="AB12:AB29">
    <cfRule type="expression" priority="109" dxfId="0">
      <formula>AND(ISNUMBER(AB12),AB12&lt;=$AB$10-2,AB12&gt;0)</formula>
    </cfRule>
    <cfRule type="expression" priority="110" dxfId="1">
      <formula>AND(ISNUMBER(AB12),AB12=$AB$10-1)</formula>
    </cfRule>
    <cfRule type="expression" priority="111" dxfId="2">
      <formula>AND(ISNUMBER(AB12),AB12=$AB$10+1)</formula>
    </cfRule>
    <cfRule type="expression" priority="112" dxfId="3">
      <formula>AND(ISNUMBER(AB12),AB12=$AB$10+2)</formula>
    </cfRule>
    <cfRule type="expression" priority="113" dxfId="4">
      <formula>AND(ISNUMBER(AB12),AB12=$AB$10+3)</formula>
    </cfRule>
    <cfRule type="expression" priority="114" dxfId="5">
      <formula>AND(ISNUMBER(AB12),AB12&gt;=$AB$10+4)</formula>
    </cfRule>
  </conditionalFormatting>
  <conditionalFormatting sqref="AC12:AC29">
    <cfRule type="expression" priority="115" dxfId="0">
      <formula>AND(ISNUMBER(AC12),AC12&lt;=$AC$10-2,AC12&gt;0)</formula>
    </cfRule>
    <cfRule type="expression" priority="116" dxfId="1">
      <formula>AND(ISNUMBER(AC12),AC12=$AC$10-1)</formula>
    </cfRule>
    <cfRule type="expression" priority="117" dxfId="2">
      <formula>AND(ISNUMBER(AC12),AC12=$AC$10+1)</formula>
    </cfRule>
    <cfRule type="expression" priority="118" dxfId="3">
      <formula>AND(ISNUMBER(AC12),AC12=$AC$10+2)</formula>
    </cfRule>
    <cfRule type="expression" priority="119" dxfId="4">
      <formula>AND(ISNUMBER(AC12),AC12=$AC$10+3)</formula>
    </cfRule>
    <cfRule type="expression" priority="120" dxfId="5">
      <formula>AND(ISNUMBER(AC12),AC12&gt;=$AC$10+4)</formula>
    </cfRule>
  </conditionalFormatting>
  <conditionalFormatting sqref="AD12:AD29">
    <cfRule type="expression" priority="121" dxfId="0">
      <formula>AND(ISNUMBER(AD12),AD12&lt;=$AD$10-2,AD12&gt;0)</formula>
    </cfRule>
    <cfRule type="expression" priority="122" dxfId="1">
      <formula>AND(ISNUMBER(AD12),AD12=$AD$10-1)</formula>
    </cfRule>
    <cfRule type="expression" priority="123" dxfId="2">
      <formula>AND(ISNUMBER(AD12),AD12=$AD$10+1)</formula>
    </cfRule>
    <cfRule type="expression" priority="124" dxfId="3">
      <formula>AND(ISNUMBER(AD12),AD12=$AD$10+2)</formula>
    </cfRule>
    <cfRule type="expression" priority="125" dxfId="4">
      <formula>AND(ISNUMBER(AD12),AD12=$AD$10+3)</formula>
    </cfRule>
    <cfRule type="expression" priority="126" dxfId="5">
      <formula>AND(ISNUMBER(AD12),AD12&gt;=$AD$10+4)</formula>
    </cfRule>
  </conditionalFormatting>
  <conditionalFormatting sqref="AE12:AE29">
    <cfRule type="expression" priority="127" dxfId="0">
      <formula>AND(ISNUMBER(AE12),AE12&lt;=$AE$10-2,AE12&gt;0)</formula>
    </cfRule>
    <cfRule type="expression" priority="128" dxfId="1">
      <formula>AND(ISNUMBER(AE12),AE12=$AE$10-1)</formula>
    </cfRule>
    <cfRule type="expression" priority="129" dxfId="2">
      <formula>AND(ISNUMBER(AE12),AE12=$AE$10+1)</formula>
    </cfRule>
    <cfRule type="expression" priority="130" dxfId="3">
      <formula>AND(ISNUMBER(AE12),AE12=$AE$10+2)</formula>
    </cfRule>
    <cfRule type="expression" priority="131" dxfId="4">
      <formula>AND(ISNUMBER(AE12),AE12=$AE$10+3)</formula>
    </cfRule>
    <cfRule type="expression" priority="132" dxfId="5">
      <formula>AND(ISNUMBER(AE12),AE12&gt;=$AE$10+4)</formula>
    </cfRule>
  </conditionalFormatting>
  <conditionalFormatting sqref="AF12:AF29">
    <cfRule type="expression" priority="133" dxfId="0">
      <formula>AND(ISNUMBER(AF12),AF12&lt;=$AF$10-2,AF12&gt;0)</formula>
    </cfRule>
    <cfRule type="expression" priority="134" dxfId="1">
      <formula>AND(ISNUMBER(AF12),AF12=$AF$10-1)</formula>
    </cfRule>
    <cfRule type="expression" priority="135" dxfId="2">
      <formula>AND(ISNUMBER(AF12),AF12=$AF$10+1)</formula>
    </cfRule>
    <cfRule type="expression" priority="136" dxfId="3">
      <formula>AND(ISNUMBER(AF12),AF12=$AF$10+2)</formula>
    </cfRule>
    <cfRule type="expression" priority="137" dxfId="4">
      <formula>AND(ISNUMBER(AF12),AF12=$AF$10+3)</formula>
    </cfRule>
    <cfRule type="expression" priority="138" dxfId="5">
      <formula>AND(ISNUMBER(AF12),AF12&gt;=$AF$10+4)</formula>
    </cfRule>
  </conditionalFormatting>
  <conditionalFormatting sqref="AG12:AG29">
    <cfRule type="expression" priority="139" dxfId="0">
      <formula>AND(ISNUMBER(AG12),AG12&lt;=$AG$10-2,AG12&gt;0)</formula>
    </cfRule>
    <cfRule type="expression" priority="140" dxfId="1">
      <formula>AND(ISNUMBER(AG12),AG12=$AG$10-1)</formula>
    </cfRule>
    <cfRule type="expression" priority="141" dxfId="2">
      <formula>AND(ISNUMBER(AG12),AG12=$AG$10+1)</formula>
    </cfRule>
    <cfRule type="expression" priority="142" dxfId="3">
      <formula>AND(ISNUMBER(AG12),AG12=$AG$10+2)</formula>
    </cfRule>
    <cfRule type="expression" priority="143" dxfId="4">
      <formula>AND(ISNUMBER(AG12),AG12=$AG$10+3)</formula>
    </cfRule>
    <cfRule type="expression" priority="144" dxfId="5">
      <formula>AND(ISNUMBER(AG12),AG12&gt;=$AG$10+4)</formula>
    </cfRule>
  </conditionalFormatting>
  <conditionalFormatting sqref="AH12:AH29">
    <cfRule type="expression" priority="145" dxfId="0">
      <formula>AND(ISNUMBER(AH12),AH12&lt;=$AH$10-2,AH12&gt;0)</formula>
    </cfRule>
    <cfRule type="expression" priority="146" dxfId="1">
      <formula>AND(ISNUMBER(AH12),AH12=$AH$10-1)</formula>
    </cfRule>
    <cfRule type="expression" priority="147" dxfId="2">
      <formula>AND(ISNUMBER(AH12),AH12=$AH$10+1)</formula>
    </cfRule>
    <cfRule type="expression" priority="148" dxfId="3">
      <formula>AND(ISNUMBER(AH12),AH12=$AH$10+2)</formula>
    </cfRule>
    <cfRule type="expression" priority="149" dxfId="4">
      <formula>AND(ISNUMBER(AH12),AH12=$AH$10+3)</formula>
    </cfRule>
    <cfRule type="expression" priority="150" dxfId="5">
      <formula>AND(ISNUMBER(AH12),AH12&gt;=$AH$10+4)</formula>
    </cfRule>
  </conditionalFormatting>
  <conditionalFormatting sqref="AI12:AI29">
    <cfRule type="expression" priority="151" dxfId="0">
      <formula>AND(ISNUMBER(AI12),AI12&lt;=$AI$10-2,AI12&gt;0)</formula>
    </cfRule>
    <cfRule type="expression" priority="152" dxfId="1">
      <formula>AND(ISNUMBER(AI12),AI12=$AI$10-1)</formula>
    </cfRule>
    <cfRule type="expression" priority="153" dxfId="2">
      <formula>AND(ISNUMBER(AI12),AI12=$AI$10+1)</formula>
    </cfRule>
    <cfRule type="expression" priority="154" dxfId="3">
      <formula>AND(ISNUMBER(AI12),AI12=$AI$10+2)</formula>
    </cfRule>
    <cfRule type="expression" priority="155" dxfId="4">
      <formula>AND(ISNUMBER(AI12),AI12=$AI$10+3)</formula>
    </cfRule>
    <cfRule type="expression" priority="156" dxfId="5">
      <formula>AND(ISNUMBER(AI12),AI12&gt;=$AI$10+4)</formula>
    </cfRule>
  </conditionalFormatting>
  <conditionalFormatting sqref="AJ12:AJ29">
    <cfRule type="expression" priority="157" dxfId="0">
      <formula>AND(ISNUMBER(AJ12),AJ12&lt;=$AJ$10-2,AJ12&gt;0)</formula>
    </cfRule>
    <cfRule type="expression" priority="158" dxfId="1">
      <formula>AND(ISNUMBER(AJ12),AJ12=$AJ$10-1)</formula>
    </cfRule>
    <cfRule type="expression" priority="159" dxfId="2">
      <formula>AND(ISNUMBER(AJ12),AJ12=$AJ$10+1)</formula>
    </cfRule>
    <cfRule type="expression" priority="160" dxfId="3">
      <formula>AND(ISNUMBER(AJ12),AJ12=$AJ$10+2)</formula>
    </cfRule>
    <cfRule type="expression" priority="161" dxfId="4">
      <formula>AND(ISNUMBER(AJ12),AJ12=$AJ$10+3)</formula>
    </cfRule>
    <cfRule type="expression" priority="162" dxfId="5">
      <formula>AND(ISNUMBER(AJ12),AJ12&gt;=$AJ$10+4)</formula>
    </cfRule>
  </conditionalFormatting>
  <conditionalFormatting sqref="AK12:AK29">
    <cfRule type="expression" priority="163" dxfId="0">
      <formula>AND(ISNUMBER(AK12),AK12&lt;=$AK$10-2,AK12&gt;0)</formula>
    </cfRule>
    <cfRule type="expression" priority="164" dxfId="1">
      <formula>AND(ISNUMBER(AK12),AK12=$AK$10-1)</formula>
    </cfRule>
    <cfRule type="expression" priority="165" dxfId="2">
      <formula>AND(ISNUMBER(AK12),AK12=$AK$10+1)</formula>
    </cfRule>
    <cfRule type="expression" priority="166" dxfId="3">
      <formula>AND(ISNUMBER(AK12),AK12=$AK$10+2)</formula>
    </cfRule>
    <cfRule type="expression" priority="167" dxfId="4">
      <formula>AND(ISNUMBER(AK12),AK12=$AK$10+3)</formula>
    </cfRule>
    <cfRule type="expression" priority="168" dxfId="5">
      <formula>AND(ISNUMBER(AK12),AK12&gt;=$AK$10+4)</formula>
    </cfRule>
  </conditionalFormatting>
  <conditionalFormatting sqref="AL12:AL29">
    <cfRule type="expression" priority="169" dxfId="0">
      <formula>AND(ISNUMBER(AL12),AL12&lt;=$AL$10-2,AL12&gt;0)</formula>
    </cfRule>
    <cfRule type="expression" priority="170" dxfId="1">
      <formula>AND(ISNUMBER(AL12),AL12=$AL$10-1)</formula>
    </cfRule>
    <cfRule type="expression" priority="171" dxfId="2">
      <formula>AND(ISNUMBER(AL12),AL12=$AL$10+1)</formula>
    </cfRule>
    <cfRule type="expression" priority="172" dxfId="3">
      <formula>AND(ISNUMBER(AL12),AL12=$AL$10+2)</formula>
    </cfRule>
    <cfRule type="expression" priority="173" dxfId="4">
      <formula>AND(ISNUMBER(AL12),AL12=$AL$10+3)</formula>
    </cfRule>
    <cfRule type="expression" priority="174" dxfId="5">
      <formula>AND(ISNUMBER(AL12),AL12&gt;=$AL$10+4)</formula>
    </cfRule>
  </conditionalFormatting>
  <conditionalFormatting sqref="AM12:AM29">
    <cfRule type="expression" priority="175" dxfId="0">
      <formula>AND(ISNUMBER(AM12),AM12&lt;=$AM$10-2,AM12&gt;0)</formula>
    </cfRule>
    <cfRule type="expression" priority="176" dxfId="1">
      <formula>AND(ISNUMBER(AM12),AM12=$AM$10-1)</formula>
    </cfRule>
    <cfRule type="expression" priority="177" dxfId="2">
      <formula>AND(ISNUMBER(AM12),AM12=$AM$10+1)</formula>
    </cfRule>
    <cfRule type="expression" priority="178" dxfId="3">
      <formula>AND(ISNUMBER(AM12),AM12=$AM$10+2)</formula>
    </cfRule>
    <cfRule type="expression" priority="179" dxfId="4">
      <formula>AND(ISNUMBER(AM12),AM12=$AM$10+3)</formula>
    </cfRule>
    <cfRule type="expression" priority="180" dxfId="5">
      <formula>AND(ISNUMBER(AM12),AM12&gt;=$AM$10+4)</formula>
    </cfRule>
  </conditionalFormatting>
  <conditionalFormatting sqref="AN12:AN29">
    <cfRule type="expression" priority="181" dxfId="0">
      <formula>AND(ISNUMBER(AN12),AN12&lt;=$AN$10-2,AN12&gt;0)</formula>
    </cfRule>
    <cfRule type="expression" priority="182" dxfId="1">
      <formula>AND(ISNUMBER(AN12),AN12=$AN$10-1)</formula>
    </cfRule>
    <cfRule type="expression" priority="183" dxfId="2">
      <formula>AND(ISNUMBER(AN12),AN12=$AN$10+1)</formula>
    </cfRule>
    <cfRule type="expression" priority="184" dxfId="3">
      <formula>AND(ISNUMBER(AN12),AN12=$AN$10+2)</formula>
    </cfRule>
    <cfRule type="expression" priority="185" dxfId="4">
      <formula>AND(ISNUMBER(AN12),AN12=$AN$10+3)</formula>
    </cfRule>
    <cfRule type="expression" priority="186" dxfId="5">
      <formula>AND(ISNUMBER(AN12),AN12&gt;=$AN$10+4)</formula>
    </cfRule>
  </conditionalFormatting>
  <conditionalFormatting sqref="AO12:AO29">
    <cfRule type="expression" priority="187" dxfId="0">
      <formula>AND(ISNUMBER(AO12),AO12&lt;=$AO$10-2,AO12&gt;0)</formula>
    </cfRule>
    <cfRule type="expression" priority="188" dxfId="1">
      <formula>AND(ISNUMBER(AO12),AO12=$AO$10-1)</formula>
    </cfRule>
    <cfRule type="expression" priority="189" dxfId="2">
      <formula>AND(ISNUMBER(AO12),AO12=$AO$10+1)</formula>
    </cfRule>
    <cfRule type="expression" priority="190" dxfId="3">
      <formula>AND(ISNUMBER(AO12),AO12=$AO$10+2)</formula>
    </cfRule>
    <cfRule type="expression" priority="191" dxfId="4">
      <formula>AND(ISNUMBER(AO12),AO12=$AO$10+3)</formula>
    </cfRule>
    <cfRule type="expression" priority="192" dxfId="5">
      <formula>AND(ISNUMBER(AO12),AO12&gt;=$AO$10+4)</formula>
    </cfRule>
  </conditionalFormatting>
  <conditionalFormatting sqref="AP12:AP29">
    <cfRule type="expression" priority="193" dxfId="0">
      <formula>AND(ISNUMBER(AP12),AP12&lt;=$AP$10-2,AP12&gt;0)</formula>
    </cfRule>
    <cfRule type="expression" priority="194" dxfId="1">
      <formula>AND(ISNUMBER(AP12),AP12=$AP$10-1)</formula>
    </cfRule>
    <cfRule type="expression" priority="195" dxfId="2">
      <formula>AND(ISNUMBER(AP12),AP12=$AP$10+1)</formula>
    </cfRule>
    <cfRule type="expression" priority="196" dxfId="3">
      <formula>AND(ISNUMBER(AP12),AP12=$AP$10+2)</formula>
    </cfRule>
    <cfRule type="expression" priority="197" dxfId="4">
      <formula>AND(ISNUMBER(AP12),AP12=$AP$10+3)</formula>
    </cfRule>
    <cfRule type="expression" priority="198" dxfId="5">
      <formula>AND(ISNUMBER(AP12),AP12&gt;=$AP$10+4)</formula>
    </cfRule>
  </conditionalFormatting>
  <conditionalFormatting sqref="AQ12:AQ29">
    <cfRule type="expression" priority="199" dxfId="0">
      <formula>AND(ISNUMBER(AQ12),AQ12&lt;=$AQ$10-2,AQ12&gt;0)</formula>
    </cfRule>
    <cfRule type="expression" priority="200" dxfId="1">
      <formula>AND(ISNUMBER(AQ12),AQ12=$AQ$10-1)</formula>
    </cfRule>
    <cfRule type="expression" priority="201" dxfId="2">
      <formula>AND(ISNUMBER(AQ12),AQ12=$AQ$10+1)</formula>
    </cfRule>
    <cfRule type="expression" priority="202" dxfId="3">
      <formula>AND(ISNUMBER(AQ12),AQ12=$AQ$10+2)</formula>
    </cfRule>
    <cfRule type="expression" priority="203" dxfId="4">
      <formula>AND(ISNUMBER(AQ12),AQ12=$AQ$10+3)</formula>
    </cfRule>
    <cfRule type="expression" priority="204" dxfId="5">
      <formula>AND(ISNUMBER(AQ12),AQ12&gt;=$AQ$10+4)</formula>
    </cfRule>
  </conditionalFormatting>
  <conditionalFormatting sqref="AR12:AR29">
    <cfRule type="expression" priority="205" dxfId="0">
      <formula>AND(ISNUMBER(AR12),AR12&lt;=$AR$10-2,AR12&gt;0)</formula>
    </cfRule>
    <cfRule type="expression" priority="206" dxfId="1">
      <formula>AND(ISNUMBER(AR12),AR12=$AR$10-1)</formula>
    </cfRule>
    <cfRule type="expression" priority="207" dxfId="2">
      <formula>AND(ISNUMBER(AR12),AR12=$AR$10+1)</formula>
    </cfRule>
    <cfRule type="expression" priority="208" dxfId="3">
      <formula>AND(ISNUMBER(AR12),AR12=$AR$10+2)</formula>
    </cfRule>
    <cfRule type="expression" priority="209" dxfId="4">
      <formula>AND(ISNUMBER(AR12),AR12=$AR$10+3)</formula>
    </cfRule>
    <cfRule type="expression" priority="210" dxfId="5">
      <formula>AND(ISNUMBER(AR12),AR12&gt;=$AR$10+4)</formula>
    </cfRule>
  </conditionalFormatting>
  <conditionalFormatting sqref="AS12:AS29">
    <cfRule type="expression" priority="211" dxfId="0">
      <formula>AND(ISNUMBER(AS12),AS12&lt;=$AS$10-2,AS12&gt;0)</formula>
    </cfRule>
    <cfRule type="expression" priority="212" dxfId="1">
      <formula>AND(ISNUMBER(AS12),AS12=$AS$10-1)</formula>
    </cfRule>
    <cfRule type="expression" priority="213" dxfId="2">
      <formula>AND(ISNUMBER(AS12),AS12=$AS$10+1)</formula>
    </cfRule>
    <cfRule type="expression" priority="214" dxfId="3">
      <formula>AND(ISNUMBER(AS12),AS12=$AS$10+2)</formula>
    </cfRule>
    <cfRule type="expression" priority="215" dxfId="4">
      <formula>AND(ISNUMBER(AS12),AS12=$AS$10+3)</formula>
    </cfRule>
    <cfRule type="expression" priority="216" dxfId="5">
      <formula>AND(ISNUMBER(AS12),AS12&gt;=$AS$10+4)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2026-04-28T22:29:48Z</dcterms:created>
  <dcterms:modified xmlns:dcterms="http://purl.org/dc/terms/" xmlns:xsi="http://www.w3.org/2001/XMLSchema-instance" xsi:type="dcterms:W3CDTF">2026-04-28T22:29:48Z</dcterms:modified>
</cp:coreProperties>
</file>