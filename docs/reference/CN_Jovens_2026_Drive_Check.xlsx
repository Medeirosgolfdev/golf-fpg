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critos vs Drive" sheetId="1" state="visible" r:id="rId3"/>
    <sheet name="Resumo" sheetId="2" state="visible" r:id="rId4"/>
  </sheets>
  <definedNames>
    <definedName function="false" hidden="true" localSheetId="0" name="_xlnm._FilterDatabase" vbProcedure="false">'Inscritos vs Drive'!$A$1:$G$70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<sst xmlns="http://schemas.openxmlformats.org/spreadsheetml/2006/main" count="300" uniqueCount="163">
  <si>
    <t xml:space="preserve">Escalão</t>
  </si>
  <si>
    <t xml:space="preserve">Estado</t>
  </si>
  <si>
    <t xml:space="preserve">Fed</t>
  </si>
  <si>
    <t xml:space="preserve">Nome</t>
  </si>
  <si>
    <t xml:space="preserve">Hcp</t>
  </si>
  <si>
    <t xml:space="preserve">Torneios Drive (12m)</t>
  </si>
  <si>
    <t xml:space="preserve">Cumpre (≥2)</t>
  </si>
  <si>
    <t xml:space="preserve">Sub-10 H</t>
  </si>
  <si>
    <t xml:space="preserve">confirmado</t>
  </si>
  <si>
    <t xml:space="preserve">54330</t>
  </si>
  <si>
    <t xml:space="preserve">Lucas Pereira Amorim</t>
  </si>
  <si>
    <t xml:space="preserve">51880</t>
  </si>
  <si>
    <t xml:space="preserve">Rafael Ribeiro Crisóstomo</t>
  </si>
  <si>
    <t xml:space="preserve">52815</t>
  </si>
  <si>
    <t xml:space="preserve">Manuel Dias</t>
  </si>
  <si>
    <t xml:space="preserve">54264</t>
  </si>
  <si>
    <t xml:space="preserve">Harry Seabrook</t>
  </si>
  <si>
    <t xml:space="preserve">52713</t>
  </si>
  <si>
    <t xml:space="preserve">Francisco Lopes</t>
  </si>
  <si>
    <t xml:space="preserve">44649</t>
  </si>
  <si>
    <t xml:space="preserve">Artur Santos</t>
  </si>
  <si>
    <t xml:space="preserve">49712</t>
  </si>
  <si>
    <t xml:space="preserve">Miguel Mendes</t>
  </si>
  <si>
    <t xml:space="preserve">53685</t>
  </si>
  <si>
    <t xml:space="preserve">Bruno Neto Lichuck</t>
  </si>
  <si>
    <t xml:space="preserve">59154</t>
  </si>
  <si>
    <t xml:space="preserve">Vicente Henrique Rocha</t>
  </si>
  <si>
    <t xml:space="preserve">51980</t>
  </si>
  <si>
    <t xml:space="preserve">Diego Braga</t>
  </si>
  <si>
    <t xml:space="preserve">56641</t>
  </si>
  <si>
    <t xml:space="preserve">Rafael Paço</t>
  </si>
  <si>
    <t xml:space="preserve">54255</t>
  </si>
  <si>
    <t xml:space="preserve">Francisco Ivo de Carvalho</t>
  </si>
  <si>
    <t xml:space="preserve">58864</t>
  </si>
  <si>
    <t xml:space="preserve">Mikhail Khontulev</t>
  </si>
  <si>
    <t xml:space="preserve">Sub-12 H</t>
  </si>
  <si>
    <t xml:space="preserve">52884</t>
  </si>
  <si>
    <t xml:space="preserve">Manuel Goulartt Medeiros</t>
  </si>
  <si>
    <t xml:space="preserve">53838</t>
  </si>
  <si>
    <t xml:space="preserve">Gabriel Costa</t>
  </si>
  <si>
    <t xml:space="preserve">51804</t>
  </si>
  <si>
    <t xml:space="preserve">Joe Short</t>
  </si>
  <si>
    <t xml:space="preserve">48946</t>
  </si>
  <si>
    <t xml:space="preserve">Miguel Santos Pereira</t>
  </si>
  <si>
    <t xml:space="preserve">50011</t>
  </si>
  <si>
    <t xml:space="preserve">Tomás Valério</t>
  </si>
  <si>
    <t xml:space="preserve">49085</t>
  </si>
  <si>
    <t xml:space="preserve">Ricardo Castro Ferreira</t>
  </si>
  <si>
    <t xml:space="preserve">48046</t>
  </si>
  <si>
    <t xml:space="preserve">Tomás Sarmento de Beires</t>
  </si>
  <si>
    <t xml:space="preserve">51180</t>
  </si>
  <si>
    <t xml:space="preserve">Ricardo Rocha Ferreira</t>
  </si>
  <si>
    <t xml:space="preserve">51182</t>
  </si>
  <si>
    <t xml:space="preserve">Eduardo Rocha Ferreira</t>
  </si>
  <si>
    <t xml:space="preserve">55498</t>
  </si>
  <si>
    <t xml:space="preserve">Zeyn Lababedi</t>
  </si>
  <si>
    <t xml:space="preserve">50761</t>
  </si>
  <si>
    <t xml:space="preserve">Peter Yao</t>
  </si>
  <si>
    <t xml:space="preserve">55914</t>
  </si>
  <si>
    <t xml:space="preserve">João Couto</t>
  </si>
  <si>
    <t xml:space="preserve">53645</t>
  </si>
  <si>
    <t xml:space="preserve">José Maria Pereira</t>
  </si>
  <si>
    <t xml:space="preserve">54475</t>
  </si>
  <si>
    <t xml:space="preserve">Maksim Mutalapov</t>
  </si>
  <si>
    <t xml:space="preserve">57904</t>
  </si>
  <si>
    <t xml:space="preserve">Guo Ziyang</t>
  </si>
  <si>
    <t xml:space="preserve">reserva</t>
  </si>
  <si>
    <t xml:space="preserve">49714</t>
  </si>
  <si>
    <t xml:space="preserve">Martim Silva</t>
  </si>
  <si>
    <t xml:space="preserve">50412</t>
  </si>
  <si>
    <t xml:space="preserve">Vasco Abreu</t>
  </si>
  <si>
    <t xml:space="preserve">51896</t>
  </si>
  <si>
    <t xml:space="preserve">Vicente Rodrigues</t>
  </si>
  <si>
    <t xml:space="preserve">Sub-12 S</t>
  </si>
  <si>
    <t xml:space="preserve">48971</t>
  </si>
  <si>
    <t xml:space="preserve">Sabrina Ribeiro Crisóstomo</t>
  </si>
  <si>
    <t xml:space="preserve">49328</t>
  </si>
  <si>
    <t xml:space="preserve">Catarina Loureiro</t>
  </si>
  <si>
    <t xml:space="preserve">53304</t>
  </si>
  <si>
    <t xml:space="preserve">Francisca Ribeiro Fragoso</t>
  </si>
  <si>
    <t xml:space="preserve">46314</t>
  </si>
  <si>
    <t xml:space="preserve">Carolina Paiva</t>
  </si>
  <si>
    <t xml:space="preserve">51803</t>
  </si>
  <si>
    <t xml:space="preserve">Thea Jensen</t>
  </si>
  <si>
    <t xml:space="preserve">48113</t>
  </si>
  <si>
    <t xml:space="preserve">Maria Luz</t>
  </si>
  <si>
    <t xml:space="preserve">48045</t>
  </si>
  <si>
    <t xml:space="preserve">Marta Mendes</t>
  </si>
  <si>
    <t xml:space="preserve">Sub-14 H</t>
  </si>
  <si>
    <t xml:space="preserve">46037</t>
  </si>
  <si>
    <t xml:space="preserve">Tomás Lima Pinto</t>
  </si>
  <si>
    <t xml:space="preserve">46480</t>
  </si>
  <si>
    <t xml:space="preserve">Afonso de Sousa Pinto</t>
  </si>
  <si>
    <t xml:space="preserve">39097</t>
  </si>
  <si>
    <t xml:space="preserve">Francisco Saraiva</t>
  </si>
  <si>
    <t xml:space="preserve">55269</t>
  </si>
  <si>
    <t xml:space="preserve">Finn Gordon</t>
  </si>
  <si>
    <t xml:space="preserve">51524</t>
  </si>
  <si>
    <t xml:space="preserve">William Gao</t>
  </si>
  <si>
    <t xml:space="preserve">51949</t>
  </si>
  <si>
    <t xml:space="preserve">David Filip Jr</t>
  </si>
  <si>
    <t xml:space="preserve">52856</t>
  </si>
  <si>
    <t xml:space="preserve">Francisco Vilardell Carvalho</t>
  </si>
  <si>
    <t xml:space="preserve">46299</t>
  </si>
  <si>
    <t xml:space="preserve">Francisco Nunes (jr)</t>
  </si>
  <si>
    <t xml:space="preserve">49124</t>
  </si>
  <si>
    <t xml:space="preserve">Nuno Palmares Jr.</t>
  </si>
  <si>
    <t xml:space="preserve">46311</t>
  </si>
  <si>
    <t xml:space="preserve">Tomás Rente</t>
  </si>
  <si>
    <t xml:space="preserve">46296</t>
  </si>
  <si>
    <t xml:space="preserve">Raul Pazos (jr)</t>
  </si>
  <si>
    <t xml:space="preserve">46038</t>
  </si>
  <si>
    <t xml:space="preserve">João Balixa</t>
  </si>
  <si>
    <t xml:space="preserve">48297</t>
  </si>
  <si>
    <t xml:space="preserve">João Rocha</t>
  </si>
  <si>
    <t xml:space="preserve">42908</t>
  </si>
  <si>
    <t xml:space="preserve">Santiago Dias</t>
  </si>
  <si>
    <t xml:space="preserve">43968</t>
  </si>
  <si>
    <t xml:space="preserve">Salvador Ivo de Carvalho</t>
  </si>
  <si>
    <t xml:space="preserve">54845</t>
  </si>
  <si>
    <t xml:space="preserve">José Silva</t>
  </si>
  <si>
    <t xml:space="preserve">49717</t>
  </si>
  <si>
    <t xml:space="preserve">Diogo Lima</t>
  </si>
  <si>
    <t xml:space="preserve">46308</t>
  </si>
  <si>
    <t xml:space="preserve">Marc Costa</t>
  </si>
  <si>
    <t xml:space="preserve">52168</t>
  </si>
  <si>
    <t xml:space="preserve">Pedro Luís Fernandes</t>
  </si>
  <si>
    <t xml:space="preserve">47819</t>
  </si>
  <si>
    <t xml:space="preserve">Afonso Paiva Gonçalves</t>
  </si>
  <si>
    <t xml:space="preserve">49011</t>
  </si>
  <si>
    <t xml:space="preserve">Tomás Araújo</t>
  </si>
  <si>
    <t xml:space="preserve">40473</t>
  </si>
  <si>
    <t xml:space="preserve">André Von Hafe</t>
  </si>
  <si>
    <t xml:space="preserve">53646</t>
  </si>
  <si>
    <t xml:space="preserve">Henrique Pereira</t>
  </si>
  <si>
    <t xml:space="preserve">56632</t>
  </si>
  <si>
    <t xml:space="preserve">Diogo Guilherme</t>
  </si>
  <si>
    <t xml:space="preserve">47341</t>
  </si>
  <si>
    <t xml:space="preserve">Sebastião Soares</t>
  </si>
  <si>
    <t xml:space="preserve">42985</t>
  </si>
  <si>
    <t xml:space="preserve">Martim Moreira</t>
  </si>
  <si>
    <t xml:space="preserve">Sub-14 S</t>
  </si>
  <si>
    <t xml:space="preserve">48794</t>
  </si>
  <si>
    <t xml:space="preserve">Catarina Sousa Conceição</t>
  </si>
  <si>
    <t xml:space="preserve">45393</t>
  </si>
  <si>
    <t xml:space="preserve">Laura Santos</t>
  </si>
  <si>
    <t xml:space="preserve">49076</t>
  </si>
  <si>
    <t xml:space="preserve">Ruiqi Li</t>
  </si>
  <si>
    <t xml:space="preserve">46310</t>
  </si>
  <si>
    <t xml:space="preserve">Margarida Silva Pinto</t>
  </si>
  <si>
    <t xml:space="preserve">53847</t>
  </si>
  <si>
    <t xml:space="preserve">Madalena Miguel Araujo</t>
  </si>
  <si>
    <t xml:space="preserve">Total inscritos</t>
  </si>
  <si>
    <t xml:space="preserve">Cumprem (≥2)</t>
  </si>
  <si>
    <t xml:space="preserve">NÃO cumprem (&lt;2)</t>
  </si>
  <si>
    <t xml:space="preserve">% Cumprem</t>
  </si>
  <si>
    <t xml:space="preserve">Sub-10 S</t>
  </si>
  <si>
    <t xml:space="preserve">TOTAL</t>
  </si>
  <si>
    <t xml:space="preserve">Nota:</t>
  </si>
  <si>
    <t xml:space="preserve">Adenda CN Jovens 2026: para Sub-10/12/14 é obrigatória a conclusão prévia de pelo menos 2 torneios</t>
  </si>
  <si>
    <t xml:space="preserve">dos Circuitos Drive Challenge e/ou Drive Tour nos últimos 12 meses, ou C.N. de Jovens.</t>
  </si>
  <si>
    <t xml:space="preserve">Período considerado: 2025-04-20 a 2026-04-20. Apenas torneios concluídos (excluídos WD/DNS/DQ).</t>
  </si>
  <si>
    <t xml:space="preserve">Fonte: public/data/fpg-admissions-draws.json (inscritos) + public/data/drive-data-YYYY-MM.json (participações).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</si>
</sst>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F3FF"/>
        <bgColor rgb="FFD9EBFF"/>
      </patternFill>
    </fill>
    <fill>
      <patternFill patternType="solid">
        <fgColor rgb="FFC6EFCE"/>
        <bgColor rgb="FFD9E1F2"/>
      </patternFill>
    </fill>
    <fill>
      <patternFill patternType="solid">
        <fgColor rgb="FFFFF3F3"/>
        <bgColor rgb="FFFFE7F3"/>
      </patternFill>
    </fill>
    <fill>
      <patternFill patternType="solid">
        <fgColor rgb="FFFFC7CE"/>
        <bgColor rgb="FFFFC4DE"/>
      </patternFill>
    </fill>
    <fill>
      <patternFill patternType="solid">
        <fgColor rgb="FFD9EBFF"/>
        <bgColor rgb="FFD9E1F2"/>
      </patternFill>
    </fill>
    <fill>
      <patternFill patternType="solid">
        <fgColor rgb="FFFFD9EB"/>
        <bgColor rgb="FFFFE7F3"/>
      </patternFill>
    </fill>
    <fill>
      <patternFill patternType="solid">
        <fgColor rgb="FFC4DEFF"/>
        <bgColor rgb="FFD9E1F2"/>
      </patternFill>
    </fill>
    <fill>
      <patternFill patternType="solid">
        <fgColor rgb="FFFFC4DE"/>
        <bgColor rgb="FFFFC7CE"/>
      </patternFill>
    </fill>
    <fill>
      <patternFill patternType="solid">
        <fgColor rgb="FFFFE7F3"/>
        <bgColor rgb="FFFFF3F3"/>
      </patternFill>
    </fill>
    <fill>
      <patternFill patternType="solid">
        <fgColor rgb="FFD9E1F2"/>
        <bgColor rgb="FFD9EB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4DEFF"/>
          <bgColor rgb="FF000000"/>
        </patternFill>
      </fill>
    </dxf>
    <dxf>
      <fill>
        <patternFill patternType="solid">
          <fgColor rgb="FFD9EBFF"/>
          <bgColor rgb="FF000000"/>
        </patternFill>
      </fill>
    </dxf>
    <dxf>
      <fill>
        <patternFill patternType="solid">
          <fgColor rgb="FFE7F3FF"/>
          <bgColor rgb="FF000000"/>
        </patternFill>
      </fill>
    </dxf>
    <dxf>
      <fill>
        <patternFill patternType="solid">
          <fgColor rgb="FFFFC4DE"/>
          <bgColor rgb="FF000000"/>
        </patternFill>
      </fill>
    </dxf>
    <dxf>
      <fill>
        <patternFill patternType="solid">
          <fgColor rgb="FFFFD9E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F3"/>
      <rgbColor rgb="FFD9EBFF"/>
      <rgbColor rgb="FF660066"/>
      <rgbColor rgb="FFFF8080"/>
      <rgbColor rgb="FF0066CC"/>
      <rgbColor rgb="FFC4DE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FF"/>
      <rgbColor rgb="FFC6EFCE"/>
      <rgbColor rgb="FFFFE7F3"/>
      <rgbColor rgb="FFD9E1F2"/>
      <rgbColor rgb="FFFFC4DE"/>
      <rgbColor rgb="FFFFD9EB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36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3" t="s">
        <v>9</v>
      </c>
      <c r="D2" s="4" t="s">
        <v>10</v>
      </c>
      <c r="E2" s="3" t="n">
        <v>13.6</v>
      </c>
      <c r="F2" s="3" t="n">
        <v>9</v>
      </c>
      <c r="G2" s="5" t="str">
        <f aca="false">IF(F2&gt;=2,"SIM","NÃO")</f>
        <v>SIM</v>
      </c>
    </row>
    <row r="3" customFormat="false" ht="15" hidden="false" customHeight="false" outlineLevel="0" collapsed="false">
      <c r="A3" s="2" t="s">
        <v>7</v>
      </c>
      <c r="B3" s="3" t="s">
        <v>8</v>
      </c>
      <c r="C3" s="3" t="s">
        <v>11</v>
      </c>
      <c r="D3" s="4" t="s">
        <v>12</v>
      </c>
      <c r="E3" s="3" t="n">
        <v>41.2</v>
      </c>
      <c r="F3" s="3" t="n">
        <v>7</v>
      </c>
      <c r="G3" s="5" t="str">
        <f aca="false">IF(F3&gt;=2,"SIM","NÃO")</f>
        <v>SIM</v>
      </c>
    </row>
    <row r="4" customFormat="false" ht="15" hidden="false" customHeight="false" outlineLevel="0" collapsed="false">
      <c r="A4" s="2" t="s">
        <v>7</v>
      </c>
      <c r="B4" s="3" t="s">
        <v>8</v>
      </c>
      <c r="C4" s="3" t="s">
        <v>13</v>
      </c>
      <c r="D4" s="4" t="s">
        <v>14</v>
      </c>
      <c r="E4" s="3" t="n">
        <v>15</v>
      </c>
      <c r="F4" s="3" t="n">
        <v>6</v>
      </c>
      <c r="G4" s="5" t="str">
        <f aca="false">IF(F4&gt;=2,"SIM","NÃO")</f>
        <v>SIM</v>
      </c>
    </row>
    <row r="5" customFormat="false" ht="15" hidden="false" customHeight="false" outlineLevel="0" collapsed="false">
      <c r="A5" s="2" t="s">
        <v>7</v>
      </c>
      <c r="B5" s="3" t="s">
        <v>8</v>
      </c>
      <c r="C5" s="3" t="s">
        <v>15</v>
      </c>
      <c r="D5" s="4" t="s">
        <v>16</v>
      </c>
      <c r="E5" s="3" t="n">
        <v>21.2</v>
      </c>
      <c r="F5" s="3" t="n">
        <v>5</v>
      </c>
      <c r="G5" s="5" t="str">
        <f aca="false">IF(F5&gt;=2,"SIM","NÃO")</f>
        <v>SIM</v>
      </c>
    </row>
    <row r="6" customFormat="false" ht="15" hidden="false" customHeight="false" outlineLevel="0" collapsed="false">
      <c r="A6" s="2" t="s">
        <v>7</v>
      </c>
      <c r="B6" s="3" t="s">
        <v>8</v>
      </c>
      <c r="C6" s="3" t="s">
        <v>17</v>
      </c>
      <c r="D6" s="4" t="s">
        <v>18</v>
      </c>
      <c r="E6" s="3" t="n">
        <v>27.9</v>
      </c>
      <c r="F6" s="3" t="n">
        <v>5</v>
      </c>
      <c r="G6" s="5" t="str">
        <f aca="false">IF(F6&gt;=2,"SIM","NÃO")</f>
        <v>SIM</v>
      </c>
    </row>
    <row r="7" customFormat="false" ht="15" hidden="false" customHeight="false" outlineLevel="0" collapsed="false">
      <c r="A7" s="2" t="s">
        <v>7</v>
      </c>
      <c r="B7" s="3" t="s">
        <v>8</v>
      </c>
      <c r="C7" s="3" t="s">
        <v>19</v>
      </c>
      <c r="D7" s="4" t="s">
        <v>20</v>
      </c>
      <c r="E7" s="3" t="n">
        <v>36.9</v>
      </c>
      <c r="F7" s="3" t="n">
        <v>5</v>
      </c>
      <c r="G7" s="5" t="str">
        <f aca="false">IF(F7&gt;=2,"SIM","NÃO")</f>
        <v>SIM</v>
      </c>
    </row>
    <row r="8" customFormat="false" ht="15" hidden="false" customHeight="false" outlineLevel="0" collapsed="false">
      <c r="A8" s="2" t="s">
        <v>7</v>
      </c>
      <c r="B8" s="3" t="s">
        <v>8</v>
      </c>
      <c r="C8" s="3" t="s">
        <v>21</v>
      </c>
      <c r="D8" s="4" t="s">
        <v>22</v>
      </c>
      <c r="E8" s="3" t="n">
        <v>41.9</v>
      </c>
      <c r="F8" s="3" t="n">
        <v>5</v>
      </c>
      <c r="G8" s="5" t="str">
        <f aca="false">IF(F8&gt;=2,"SIM","NÃO")</f>
        <v>SIM</v>
      </c>
    </row>
    <row r="9" customFormat="false" ht="15" hidden="false" customHeight="false" outlineLevel="0" collapsed="false">
      <c r="A9" s="2" t="s">
        <v>7</v>
      </c>
      <c r="B9" s="3" t="s">
        <v>8</v>
      </c>
      <c r="C9" s="3" t="s">
        <v>23</v>
      </c>
      <c r="D9" s="4" t="s">
        <v>24</v>
      </c>
      <c r="E9" s="3" t="n">
        <v>49</v>
      </c>
      <c r="F9" s="3" t="n">
        <v>5</v>
      </c>
      <c r="G9" s="5" t="str">
        <f aca="false">IF(F9&gt;=2,"SIM","NÃO")</f>
        <v>SIM</v>
      </c>
    </row>
    <row r="10" customFormat="false" ht="15" hidden="false" customHeight="false" outlineLevel="0" collapsed="false">
      <c r="A10" s="2" t="s">
        <v>7</v>
      </c>
      <c r="B10" s="3" t="s">
        <v>8</v>
      </c>
      <c r="C10" s="3" t="s">
        <v>25</v>
      </c>
      <c r="D10" s="4" t="s">
        <v>26</v>
      </c>
      <c r="E10" s="3" t="n">
        <v>38</v>
      </c>
      <c r="F10" s="3" t="n">
        <v>4</v>
      </c>
      <c r="G10" s="5" t="str">
        <f aca="false">IF(F10&gt;=2,"SIM","NÃO")</f>
        <v>SIM</v>
      </c>
    </row>
    <row r="11" customFormat="false" ht="15" hidden="false" customHeight="false" outlineLevel="0" collapsed="false">
      <c r="A11" s="2" t="s">
        <v>7</v>
      </c>
      <c r="B11" s="3" t="s">
        <v>8</v>
      </c>
      <c r="C11" s="3" t="s">
        <v>27</v>
      </c>
      <c r="D11" s="4" t="s">
        <v>28</v>
      </c>
      <c r="E11" s="3" t="n">
        <v>49</v>
      </c>
      <c r="F11" s="3" t="n">
        <v>4</v>
      </c>
      <c r="G11" s="5" t="str">
        <f aca="false">IF(F11&gt;=2,"SIM","NÃO")</f>
        <v>SIM</v>
      </c>
    </row>
    <row r="12" customFormat="false" ht="15" hidden="false" customHeight="false" outlineLevel="0" collapsed="false">
      <c r="A12" s="2" t="s">
        <v>7</v>
      </c>
      <c r="B12" s="3" t="s">
        <v>8</v>
      </c>
      <c r="C12" s="3" t="s">
        <v>29</v>
      </c>
      <c r="D12" s="4" t="s">
        <v>30</v>
      </c>
      <c r="E12" s="3" t="n">
        <v>35.3</v>
      </c>
      <c r="F12" s="3" t="n">
        <v>3</v>
      </c>
      <c r="G12" s="5" t="str">
        <f aca="false">IF(F12&gt;=2,"SIM","NÃO")</f>
        <v>SIM</v>
      </c>
    </row>
    <row r="13" customFormat="false" ht="15" hidden="false" customHeight="false" outlineLevel="0" collapsed="false">
      <c r="A13" s="2" t="s">
        <v>7</v>
      </c>
      <c r="B13" s="6" t="s">
        <v>8</v>
      </c>
      <c r="C13" s="6" t="s">
        <v>31</v>
      </c>
      <c r="D13" s="7" t="s">
        <v>32</v>
      </c>
      <c r="E13" s="6" t="n">
        <v>25.8</v>
      </c>
      <c r="F13" s="6" t="n">
        <v>1</v>
      </c>
      <c r="G13" s="8" t="str">
        <f aca="false">IF(F13&gt;=2,"SIM","NÃO")</f>
        <v>NÃO</v>
      </c>
    </row>
    <row r="14" customFormat="false" ht="15" hidden="false" customHeight="false" outlineLevel="0" collapsed="false">
      <c r="A14" s="2" t="s">
        <v>7</v>
      </c>
      <c r="B14" s="6" t="s">
        <v>8</v>
      </c>
      <c r="C14" s="6" t="s">
        <v>33</v>
      </c>
      <c r="D14" s="7" t="s">
        <v>34</v>
      </c>
      <c r="E14" s="6" t="n">
        <v>37.8</v>
      </c>
      <c r="F14" s="6" t="n">
        <v>0</v>
      </c>
      <c r="G14" s="8" t="str">
        <f aca="false">IF(F14&gt;=2,"SIM","NÃO")</f>
        <v>NÃO</v>
      </c>
    </row>
    <row r="15" customFormat="false" ht="15" hidden="false" customHeight="false" outlineLevel="0" collapsed="false">
      <c r="A15" s="9" t="s">
        <v>35</v>
      </c>
      <c r="B15" s="3" t="s">
        <v>8</v>
      </c>
      <c r="C15" s="3" t="s">
        <v>36</v>
      </c>
      <c r="D15" s="4" t="s">
        <v>37</v>
      </c>
      <c r="E15" s="3" t="n">
        <v>10</v>
      </c>
      <c r="F15" s="3" t="n">
        <v>15</v>
      </c>
      <c r="G15" s="5" t="str">
        <f aca="false">IF(F15&gt;=2,"SIM","NÃO")</f>
        <v>SIM</v>
      </c>
    </row>
    <row r="16" customFormat="false" ht="15" hidden="false" customHeight="false" outlineLevel="0" collapsed="false">
      <c r="A16" s="9" t="s">
        <v>35</v>
      </c>
      <c r="B16" s="3" t="s">
        <v>8</v>
      </c>
      <c r="C16" s="3" t="s">
        <v>38</v>
      </c>
      <c r="D16" s="4" t="s">
        <v>39</v>
      </c>
      <c r="E16" s="3" t="n">
        <v>20.2</v>
      </c>
      <c r="F16" s="3" t="n">
        <v>13</v>
      </c>
      <c r="G16" s="5" t="str">
        <f aca="false">IF(F16&gt;=2,"SIM","NÃO")</f>
        <v>SIM</v>
      </c>
    </row>
    <row r="17" customFormat="false" ht="15" hidden="false" customHeight="false" outlineLevel="0" collapsed="false">
      <c r="A17" s="9" t="s">
        <v>35</v>
      </c>
      <c r="B17" s="3" t="s">
        <v>8</v>
      </c>
      <c r="C17" s="3" t="s">
        <v>40</v>
      </c>
      <c r="D17" s="4" t="s">
        <v>41</v>
      </c>
      <c r="E17" s="3" t="n">
        <v>6.3</v>
      </c>
      <c r="F17" s="3" t="n">
        <v>12</v>
      </c>
      <c r="G17" s="5" t="str">
        <f aca="false">IF(F17&gt;=2,"SIM","NÃO")</f>
        <v>SIM</v>
      </c>
    </row>
    <row r="18" customFormat="false" ht="15" hidden="false" customHeight="false" outlineLevel="0" collapsed="false">
      <c r="A18" s="9" t="s">
        <v>35</v>
      </c>
      <c r="B18" s="3" t="s">
        <v>8</v>
      </c>
      <c r="C18" s="3" t="s">
        <v>42</v>
      </c>
      <c r="D18" s="4" t="s">
        <v>43</v>
      </c>
      <c r="E18" s="3" t="n">
        <v>19.6</v>
      </c>
      <c r="F18" s="3" t="n">
        <v>11</v>
      </c>
      <c r="G18" s="5" t="str">
        <f aca="false">IF(F18&gt;=2,"SIM","NÃO")</f>
        <v>SIM</v>
      </c>
    </row>
    <row r="19" customFormat="false" ht="15" hidden="false" customHeight="false" outlineLevel="0" collapsed="false">
      <c r="A19" s="9" t="s">
        <v>35</v>
      </c>
      <c r="B19" s="3" t="s">
        <v>8</v>
      </c>
      <c r="C19" s="3" t="s">
        <v>44</v>
      </c>
      <c r="D19" s="4" t="s">
        <v>45</v>
      </c>
      <c r="E19" s="3" t="n">
        <v>26.1</v>
      </c>
      <c r="F19" s="3" t="n">
        <v>10</v>
      </c>
      <c r="G19" s="5" t="str">
        <f aca="false">IF(F19&gt;=2,"SIM","NÃO")</f>
        <v>SIM</v>
      </c>
    </row>
    <row r="20" customFormat="false" ht="15" hidden="false" customHeight="false" outlineLevel="0" collapsed="false">
      <c r="A20" s="9" t="s">
        <v>35</v>
      </c>
      <c r="B20" s="3" t="s">
        <v>8</v>
      </c>
      <c r="C20" s="3" t="s">
        <v>46</v>
      </c>
      <c r="D20" s="4" t="s">
        <v>47</v>
      </c>
      <c r="E20" s="3" t="n">
        <v>6.8</v>
      </c>
      <c r="F20" s="3" t="n">
        <v>9</v>
      </c>
      <c r="G20" s="5" t="str">
        <f aca="false">IF(F20&gt;=2,"SIM","NÃO")</f>
        <v>SIM</v>
      </c>
    </row>
    <row r="21" customFormat="false" ht="15" hidden="false" customHeight="false" outlineLevel="0" collapsed="false">
      <c r="A21" s="9" t="s">
        <v>35</v>
      </c>
      <c r="B21" s="3" t="s">
        <v>8</v>
      </c>
      <c r="C21" s="3" t="s">
        <v>48</v>
      </c>
      <c r="D21" s="4" t="s">
        <v>49</v>
      </c>
      <c r="E21" s="3" t="n">
        <v>16</v>
      </c>
      <c r="F21" s="3" t="n">
        <v>9</v>
      </c>
      <c r="G21" s="5" t="str">
        <f aca="false">IF(F21&gt;=2,"SIM","NÃO")</f>
        <v>SIM</v>
      </c>
    </row>
    <row r="22" customFormat="false" ht="15" hidden="false" customHeight="false" outlineLevel="0" collapsed="false">
      <c r="A22" s="9" t="s">
        <v>35</v>
      </c>
      <c r="B22" s="3" t="s">
        <v>8</v>
      </c>
      <c r="C22" s="3" t="s">
        <v>50</v>
      </c>
      <c r="D22" s="4" t="s">
        <v>51</v>
      </c>
      <c r="E22" s="3" t="n">
        <v>15.8</v>
      </c>
      <c r="F22" s="3" t="n">
        <v>6</v>
      </c>
      <c r="G22" s="5" t="str">
        <f aca="false">IF(F22&gt;=2,"SIM","NÃO")</f>
        <v>SIM</v>
      </c>
    </row>
    <row r="23" customFormat="false" ht="15" hidden="false" customHeight="false" outlineLevel="0" collapsed="false">
      <c r="A23" s="9" t="s">
        <v>35</v>
      </c>
      <c r="B23" s="3" t="s">
        <v>8</v>
      </c>
      <c r="C23" s="3" t="s">
        <v>52</v>
      </c>
      <c r="D23" s="4" t="s">
        <v>53</v>
      </c>
      <c r="E23" s="3" t="n">
        <v>21.9</v>
      </c>
      <c r="F23" s="3" t="n">
        <v>6</v>
      </c>
      <c r="G23" s="5" t="str">
        <f aca="false">IF(F23&gt;=2,"SIM","NÃO")</f>
        <v>SIM</v>
      </c>
    </row>
    <row r="24" customFormat="false" ht="15" hidden="false" customHeight="false" outlineLevel="0" collapsed="false">
      <c r="A24" s="9" t="s">
        <v>35</v>
      </c>
      <c r="B24" s="3" t="s">
        <v>8</v>
      </c>
      <c r="C24" s="3" t="s">
        <v>54</v>
      </c>
      <c r="D24" s="4" t="s">
        <v>55</v>
      </c>
      <c r="E24" s="3" t="n">
        <v>25.2</v>
      </c>
      <c r="F24" s="3" t="n">
        <v>6</v>
      </c>
      <c r="G24" s="5" t="str">
        <f aca="false">IF(F24&gt;=2,"SIM","NÃO")</f>
        <v>SIM</v>
      </c>
    </row>
    <row r="25" customFormat="false" ht="15" hidden="false" customHeight="false" outlineLevel="0" collapsed="false">
      <c r="A25" s="9" t="s">
        <v>35</v>
      </c>
      <c r="B25" s="3" t="s">
        <v>8</v>
      </c>
      <c r="C25" s="3" t="s">
        <v>56</v>
      </c>
      <c r="D25" s="4" t="s">
        <v>57</v>
      </c>
      <c r="E25" s="3" t="n">
        <v>26.2</v>
      </c>
      <c r="F25" s="3" t="n">
        <v>6</v>
      </c>
      <c r="G25" s="5" t="str">
        <f aca="false">IF(F25&gt;=2,"SIM","NÃO")</f>
        <v>SIM</v>
      </c>
    </row>
    <row r="26" customFormat="false" ht="15" hidden="false" customHeight="false" outlineLevel="0" collapsed="false">
      <c r="A26" s="9" t="s">
        <v>35</v>
      </c>
      <c r="B26" s="3" t="s">
        <v>8</v>
      </c>
      <c r="C26" s="3" t="s">
        <v>58</v>
      </c>
      <c r="D26" s="4" t="s">
        <v>59</v>
      </c>
      <c r="E26" s="3" t="n">
        <v>30</v>
      </c>
      <c r="F26" s="3" t="n">
        <v>6</v>
      </c>
      <c r="G26" s="5" t="str">
        <f aca="false">IF(F26&gt;=2,"SIM","NÃO")</f>
        <v>SIM</v>
      </c>
    </row>
    <row r="27" customFormat="false" ht="15" hidden="false" customHeight="false" outlineLevel="0" collapsed="false">
      <c r="A27" s="9" t="s">
        <v>35</v>
      </c>
      <c r="B27" s="3" t="s">
        <v>8</v>
      </c>
      <c r="C27" s="3" t="s">
        <v>60</v>
      </c>
      <c r="D27" s="4" t="s">
        <v>61</v>
      </c>
      <c r="E27" s="3" t="n">
        <v>19.2</v>
      </c>
      <c r="F27" s="3" t="n">
        <v>5</v>
      </c>
      <c r="G27" s="5" t="str">
        <f aca="false">IF(F27&gt;=2,"SIM","NÃO")</f>
        <v>SIM</v>
      </c>
    </row>
    <row r="28" customFormat="false" ht="15" hidden="false" customHeight="false" outlineLevel="0" collapsed="false">
      <c r="A28" s="9" t="s">
        <v>35</v>
      </c>
      <c r="B28" s="3" t="s">
        <v>8</v>
      </c>
      <c r="C28" s="3" t="s">
        <v>62</v>
      </c>
      <c r="D28" s="4" t="s">
        <v>63</v>
      </c>
      <c r="E28" s="3" t="n">
        <v>30.5</v>
      </c>
      <c r="F28" s="3" t="n">
        <v>5</v>
      </c>
      <c r="G28" s="5" t="str">
        <f aca="false">IF(F28&gt;=2,"SIM","NÃO")</f>
        <v>SIM</v>
      </c>
    </row>
    <row r="29" customFormat="false" ht="15" hidden="false" customHeight="false" outlineLevel="0" collapsed="false">
      <c r="A29" s="9" t="s">
        <v>35</v>
      </c>
      <c r="B29" s="3" t="s">
        <v>8</v>
      </c>
      <c r="C29" s="3" t="s">
        <v>64</v>
      </c>
      <c r="D29" s="4" t="s">
        <v>65</v>
      </c>
      <c r="E29" s="3" t="n">
        <v>11.6</v>
      </c>
      <c r="F29" s="3" t="n">
        <v>2</v>
      </c>
      <c r="G29" s="5" t="str">
        <f aca="false">IF(F29&gt;=2,"SIM","NÃO")</f>
        <v>SIM</v>
      </c>
    </row>
    <row r="30" customFormat="false" ht="15" hidden="false" customHeight="false" outlineLevel="0" collapsed="false">
      <c r="A30" s="10" t="s">
        <v>35</v>
      </c>
      <c r="B30" s="11" t="s">
        <v>66</v>
      </c>
      <c r="C30" s="11" t="s">
        <v>67</v>
      </c>
      <c r="D30" s="12" t="s">
        <v>68</v>
      </c>
      <c r="E30" s="11" t="n">
        <v>31.5</v>
      </c>
      <c r="F30" s="11" t="n">
        <v>5</v>
      </c>
      <c r="G30" s="13" t="str">
        <f aca="false">IF(F30&gt;=2,"SIM","NÃO")</f>
        <v>SIM</v>
      </c>
    </row>
    <row r="31" customFormat="false" ht="15" hidden="false" customHeight="false" outlineLevel="0" collapsed="false">
      <c r="A31" s="10" t="s">
        <v>35</v>
      </c>
      <c r="B31" s="11" t="s">
        <v>66</v>
      </c>
      <c r="C31" s="11" t="s">
        <v>69</v>
      </c>
      <c r="D31" s="12" t="s">
        <v>70</v>
      </c>
      <c r="E31" s="11" t="n">
        <v>31.8</v>
      </c>
      <c r="F31" s="11" t="n">
        <v>5</v>
      </c>
      <c r="G31" s="13" t="str">
        <f aca="false">IF(F31&gt;=2,"SIM","NÃO")</f>
        <v>SIM</v>
      </c>
    </row>
    <row r="32" customFormat="false" ht="15" hidden="false" customHeight="false" outlineLevel="0" collapsed="false">
      <c r="A32" s="10" t="s">
        <v>35</v>
      </c>
      <c r="B32" s="14" t="s">
        <v>66</v>
      </c>
      <c r="C32" s="14" t="s">
        <v>71</v>
      </c>
      <c r="D32" s="15" t="s">
        <v>72</v>
      </c>
      <c r="E32" s="14" t="n">
        <v>35.7</v>
      </c>
      <c r="F32" s="14" t="n">
        <v>1</v>
      </c>
      <c r="G32" s="16" t="str">
        <f aca="false">IF(F32&gt;=2,"SIM","NÃO")</f>
        <v>NÃO</v>
      </c>
    </row>
    <row r="33" customFormat="false" ht="15" hidden="false" customHeight="false" outlineLevel="0" collapsed="false">
      <c r="A33" s="17" t="s">
        <v>73</v>
      </c>
      <c r="B33" s="3" t="s">
        <v>8</v>
      </c>
      <c r="C33" s="3" t="s">
        <v>74</v>
      </c>
      <c r="D33" s="4" t="s">
        <v>75</v>
      </c>
      <c r="E33" s="3" t="n">
        <v>8.4</v>
      </c>
      <c r="F33" s="3" t="n">
        <v>12</v>
      </c>
      <c r="G33" s="5" t="str">
        <f aca="false">IF(F33&gt;=2,"SIM","NÃO")</f>
        <v>SIM</v>
      </c>
    </row>
    <row r="34" customFormat="false" ht="15" hidden="false" customHeight="false" outlineLevel="0" collapsed="false">
      <c r="A34" s="17" t="s">
        <v>73</v>
      </c>
      <c r="B34" s="3" t="s">
        <v>8</v>
      </c>
      <c r="C34" s="3" t="s">
        <v>76</v>
      </c>
      <c r="D34" s="4" t="s">
        <v>77</v>
      </c>
      <c r="E34" s="3" t="n">
        <v>19.5</v>
      </c>
      <c r="F34" s="3" t="n">
        <v>9</v>
      </c>
      <c r="G34" s="5" t="str">
        <f aca="false">IF(F34&gt;=2,"SIM","NÃO")</f>
        <v>SIM</v>
      </c>
    </row>
    <row r="35" customFormat="false" ht="15" hidden="false" customHeight="false" outlineLevel="0" collapsed="false">
      <c r="A35" s="17" t="s">
        <v>73</v>
      </c>
      <c r="B35" s="3" t="s">
        <v>8</v>
      </c>
      <c r="C35" s="3" t="s">
        <v>78</v>
      </c>
      <c r="D35" s="4" t="s">
        <v>79</v>
      </c>
      <c r="E35" s="3" t="n">
        <v>27.6</v>
      </c>
      <c r="F35" s="3" t="n">
        <v>6</v>
      </c>
      <c r="G35" s="5" t="str">
        <f aca="false">IF(F35&gt;=2,"SIM","NÃO")</f>
        <v>SIM</v>
      </c>
    </row>
    <row r="36" customFormat="false" ht="15" hidden="false" customHeight="false" outlineLevel="0" collapsed="false">
      <c r="A36" s="17" t="s">
        <v>73</v>
      </c>
      <c r="B36" s="3" t="s">
        <v>8</v>
      </c>
      <c r="C36" s="3" t="s">
        <v>80</v>
      </c>
      <c r="D36" s="4" t="s">
        <v>81</v>
      </c>
      <c r="E36" s="3" t="n">
        <v>34.5</v>
      </c>
      <c r="F36" s="3" t="n">
        <v>6</v>
      </c>
      <c r="G36" s="5" t="str">
        <f aca="false">IF(F36&gt;=2,"SIM","NÃO")</f>
        <v>SIM</v>
      </c>
    </row>
    <row r="37" customFormat="false" ht="15" hidden="false" customHeight="false" outlineLevel="0" collapsed="false">
      <c r="A37" s="17" t="s">
        <v>73</v>
      </c>
      <c r="B37" s="3" t="s">
        <v>8</v>
      </c>
      <c r="C37" s="3" t="s">
        <v>82</v>
      </c>
      <c r="D37" s="4" t="s">
        <v>83</v>
      </c>
      <c r="E37" s="3" t="n">
        <v>34.7</v>
      </c>
      <c r="F37" s="3" t="n">
        <v>6</v>
      </c>
      <c r="G37" s="5" t="str">
        <f aca="false">IF(F37&gt;=2,"SIM","NÃO")</f>
        <v>SIM</v>
      </c>
    </row>
    <row r="38" customFormat="false" ht="15" hidden="false" customHeight="false" outlineLevel="0" collapsed="false">
      <c r="A38" s="17" t="s">
        <v>73</v>
      </c>
      <c r="B38" s="3" t="s">
        <v>8</v>
      </c>
      <c r="C38" s="3" t="s">
        <v>84</v>
      </c>
      <c r="D38" s="4" t="s">
        <v>85</v>
      </c>
      <c r="E38" s="3" t="n">
        <v>29.5</v>
      </c>
      <c r="F38" s="3" t="n">
        <v>5</v>
      </c>
      <c r="G38" s="5" t="str">
        <f aca="false">IF(F38&gt;=2,"SIM","NÃO")</f>
        <v>SIM</v>
      </c>
    </row>
    <row r="39" customFormat="false" ht="15" hidden="false" customHeight="false" outlineLevel="0" collapsed="false">
      <c r="A39" s="17" t="s">
        <v>73</v>
      </c>
      <c r="B39" s="3" t="s">
        <v>8</v>
      </c>
      <c r="C39" s="3" t="s">
        <v>86</v>
      </c>
      <c r="D39" s="4" t="s">
        <v>87</v>
      </c>
      <c r="E39" s="3" t="n">
        <v>30.8</v>
      </c>
      <c r="F39" s="3" t="n">
        <v>4</v>
      </c>
      <c r="G39" s="5" t="str">
        <f aca="false">IF(F39&gt;=2,"SIM","NÃO")</f>
        <v>SIM</v>
      </c>
    </row>
    <row r="40" customFormat="false" ht="15" hidden="false" customHeight="false" outlineLevel="0" collapsed="false">
      <c r="A40" s="18" t="s">
        <v>88</v>
      </c>
      <c r="B40" s="3" t="s">
        <v>8</v>
      </c>
      <c r="C40" s="3" t="s">
        <v>89</v>
      </c>
      <c r="D40" s="4" t="s">
        <v>90</v>
      </c>
      <c r="E40" s="3" t="n">
        <v>9.4</v>
      </c>
      <c r="F40" s="3" t="n">
        <v>11</v>
      </c>
      <c r="G40" s="5" t="str">
        <f aca="false">IF(F40&gt;=2,"SIM","NÃO")</f>
        <v>SIM</v>
      </c>
    </row>
    <row r="41" customFormat="false" ht="15" hidden="false" customHeight="false" outlineLevel="0" collapsed="false">
      <c r="A41" s="18" t="s">
        <v>88</v>
      </c>
      <c r="B41" s="3" t="s">
        <v>8</v>
      </c>
      <c r="C41" s="3" t="s">
        <v>91</v>
      </c>
      <c r="D41" s="4" t="s">
        <v>92</v>
      </c>
      <c r="E41" s="3" t="n">
        <v>9.9</v>
      </c>
      <c r="F41" s="3" t="n">
        <v>11</v>
      </c>
      <c r="G41" s="5" t="str">
        <f aca="false">IF(F41&gt;=2,"SIM","NÃO")</f>
        <v>SIM</v>
      </c>
    </row>
    <row r="42" customFormat="false" ht="15" hidden="false" customHeight="false" outlineLevel="0" collapsed="false">
      <c r="A42" s="18" t="s">
        <v>88</v>
      </c>
      <c r="B42" s="3" t="s">
        <v>8</v>
      </c>
      <c r="C42" s="3" t="s">
        <v>93</v>
      </c>
      <c r="D42" s="4" t="s">
        <v>94</v>
      </c>
      <c r="E42" s="3" t="n">
        <v>8.8</v>
      </c>
      <c r="F42" s="3" t="n">
        <v>9</v>
      </c>
      <c r="G42" s="5" t="str">
        <f aca="false">IF(F42&gt;=2,"SIM","NÃO")</f>
        <v>SIM</v>
      </c>
    </row>
    <row r="43" customFormat="false" ht="15" hidden="false" customHeight="false" outlineLevel="0" collapsed="false">
      <c r="A43" s="18" t="s">
        <v>88</v>
      </c>
      <c r="B43" s="3" t="s">
        <v>8</v>
      </c>
      <c r="C43" s="3" t="s">
        <v>95</v>
      </c>
      <c r="D43" s="4" t="s">
        <v>96</v>
      </c>
      <c r="E43" s="3" t="n">
        <v>6.9</v>
      </c>
      <c r="F43" s="3" t="n">
        <v>8</v>
      </c>
      <c r="G43" s="5" t="str">
        <f aca="false">IF(F43&gt;=2,"SIM","NÃO")</f>
        <v>SIM</v>
      </c>
    </row>
    <row r="44" customFormat="false" ht="15" hidden="false" customHeight="false" outlineLevel="0" collapsed="false">
      <c r="A44" s="18" t="s">
        <v>88</v>
      </c>
      <c r="B44" s="3" t="s">
        <v>8</v>
      </c>
      <c r="C44" s="3" t="s">
        <v>97</v>
      </c>
      <c r="D44" s="4" t="s">
        <v>98</v>
      </c>
      <c r="E44" s="3" t="n">
        <v>7.9</v>
      </c>
      <c r="F44" s="3" t="n">
        <v>8</v>
      </c>
      <c r="G44" s="5" t="str">
        <f aca="false">IF(F44&gt;=2,"SIM","NÃO")</f>
        <v>SIM</v>
      </c>
    </row>
    <row r="45" customFormat="false" ht="15" hidden="false" customHeight="false" outlineLevel="0" collapsed="false">
      <c r="A45" s="18" t="s">
        <v>88</v>
      </c>
      <c r="B45" s="3" t="s">
        <v>8</v>
      </c>
      <c r="C45" s="3" t="s">
        <v>99</v>
      </c>
      <c r="D45" s="4" t="s">
        <v>100</v>
      </c>
      <c r="E45" s="3" t="n">
        <v>9.9</v>
      </c>
      <c r="F45" s="3" t="n">
        <v>8</v>
      </c>
      <c r="G45" s="5" t="str">
        <f aca="false">IF(F45&gt;=2,"SIM","NÃO")</f>
        <v>SIM</v>
      </c>
    </row>
    <row r="46" customFormat="false" ht="15" hidden="false" customHeight="false" outlineLevel="0" collapsed="false">
      <c r="A46" s="18" t="s">
        <v>88</v>
      </c>
      <c r="B46" s="3" t="s">
        <v>8</v>
      </c>
      <c r="C46" s="3" t="s">
        <v>101</v>
      </c>
      <c r="D46" s="4" t="s">
        <v>102</v>
      </c>
      <c r="E46" s="3" t="n">
        <v>9.2</v>
      </c>
      <c r="F46" s="3" t="n">
        <v>7</v>
      </c>
      <c r="G46" s="5" t="str">
        <f aca="false">IF(F46&gt;=2,"SIM","NÃO")</f>
        <v>SIM</v>
      </c>
    </row>
    <row r="47" customFormat="false" ht="15" hidden="false" customHeight="false" outlineLevel="0" collapsed="false">
      <c r="A47" s="18" t="s">
        <v>88</v>
      </c>
      <c r="B47" s="3" t="s">
        <v>8</v>
      </c>
      <c r="C47" s="3" t="s">
        <v>103</v>
      </c>
      <c r="D47" s="4" t="s">
        <v>104</v>
      </c>
      <c r="E47" s="3" t="n">
        <v>5.6</v>
      </c>
      <c r="F47" s="3" t="n">
        <v>6</v>
      </c>
      <c r="G47" s="5" t="str">
        <f aca="false">IF(F47&gt;=2,"SIM","NÃO")</f>
        <v>SIM</v>
      </c>
    </row>
    <row r="48" customFormat="false" ht="15" hidden="false" customHeight="false" outlineLevel="0" collapsed="false">
      <c r="A48" s="18" t="s">
        <v>88</v>
      </c>
      <c r="B48" s="3" t="s">
        <v>8</v>
      </c>
      <c r="C48" s="3" t="s">
        <v>105</v>
      </c>
      <c r="D48" s="4" t="s">
        <v>106</v>
      </c>
      <c r="E48" s="3" t="n">
        <v>4</v>
      </c>
      <c r="F48" s="3" t="n">
        <v>5</v>
      </c>
      <c r="G48" s="5" t="str">
        <f aca="false">IF(F48&gt;=2,"SIM","NÃO")</f>
        <v>SIM</v>
      </c>
    </row>
    <row r="49" customFormat="false" ht="15" hidden="false" customHeight="false" outlineLevel="0" collapsed="false">
      <c r="A49" s="18" t="s">
        <v>88</v>
      </c>
      <c r="B49" s="3" t="s">
        <v>8</v>
      </c>
      <c r="C49" s="3" t="s">
        <v>107</v>
      </c>
      <c r="D49" s="4" t="s">
        <v>108</v>
      </c>
      <c r="E49" s="3" t="n">
        <v>6.9</v>
      </c>
      <c r="F49" s="3" t="n">
        <v>5</v>
      </c>
      <c r="G49" s="5" t="str">
        <f aca="false">IF(F49&gt;=2,"SIM","NÃO")</f>
        <v>SIM</v>
      </c>
    </row>
    <row r="50" customFormat="false" ht="15" hidden="false" customHeight="false" outlineLevel="0" collapsed="false">
      <c r="A50" s="18" t="s">
        <v>88</v>
      </c>
      <c r="B50" s="3" t="s">
        <v>8</v>
      </c>
      <c r="C50" s="3" t="s">
        <v>109</v>
      </c>
      <c r="D50" s="4" t="s">
        <v>110</v>
      </c>
      <c r="E50" s="3" t="n">
        <v>10.7</v>
      </c>
      <c r="F50" s="3" t="n">
        <v>5</v>
      </c>
      <c r="G50" s="5" t="str">
        <f aca="false">IF(F50&gt;=2,"SIM","NÃO")</f>
        <v>SIM</v>
      </c>
    </row>
    <row r="51" customFormat="false" ht="15" hidden="false" customHeight="false" outlineLevel="0" collapsed="false">
      <c r="A51" s="18" t="s">
        <v>88</v>
      </c>
      <c r="B51" s="3" t="s">
        <v>8</v>
      </c>
      <c r="C51" s="3" t="s">
        <v>111</v>
      </c>
      <c r="D51" s="4" t="s">
        <v>112</v>
      </c>
      <c r="E51" s="3" t="n">
        <v>9.5</v>
      </c>
      <c r="F51" s="3" t="n">
        <v>4</v>
      </c>
      <c r="G51" s="5" t="str">
        <f aca="false">IF(F51&gt;=2,"SIM","NÃO")</f>
        <v>SIM</v>
      </c>
    </row>
    <row r="52" customFormat="false" ht="15" hidden="false" customHeight="false" outlineLevel="0" collapsed="false">
      <c r="A52" s="18" t="s">
        <v>88</v>
      </c>
      <c r="B52" s="3" t="s">
        <v>8</v>
      </c>
      <c r="C52" s="3" t="s">
        <v>113</v>
      </c>
      <c r="D52" s="4" t="s">
        <v>114</v>
      </c>
      <c r="E52" s="3" t="n">
        <v>5.3</v>
      </c>
      <c r="F52" s="3" t="n">
        <v>3</v>
      </c>
      <c r="G52" s="5" t="str">
        <f aca="false">IF(F52&gt;=2,"SIM","NÃO")</f>
        <v>SIM</v>
      </c>
    </row>
    <row r="53" customFormat="false" ht="15" hidden="false" customHeight="false" outlineLevel="0" collapsed="false">
      <c r="A53" s="18" t="s">
        <v>88</v>
      </c>
      <c r="B53" s="3" t="s">
        <v>8</v>
      </c>
      <c r="C53" s="3" t="s">
        <v>115</v>
      </c>
      <c r="D53" s="4" t="s">
        <v>116</v>
      </c>
      <c r="E53" s="3" t="n">
        <v>1.7</v>
      </c>
      <c r="F53" s="3" t="n">
        <v>2</v>
      </c>
      <c r="G53" s="5" t="str">
        <f aca="false">IF(F53&gt;=2,"SIM","NÃO")</f>
        <v>SIM</v>
      </c>
    </row>
    <row r="54" customFormat="false" ht="15" hidden="false" customHeight="false" outlineLevel="0" collapsed="false">
      <c r="A54" s="18" t="s">
        <v>88</v>
      </c>
      <c r="B54" s="3" t="s">
        <v>8</v>
      </c>
      <c r="C54" s="3" t="s">
        <v>117</v>
      </c>
      <c r="D54" s="4" t="s">
        <v>118</v>
      </c>
      <c r="E54" s="3" t="n">
        <v>7.8</v>
      </c>
      <c r="F54" s="3" t="n">
        <v>2</v>
      </c>
      <c r="G54" s="5" t="str">
        <f aca="false">IF(F54&gt;=2,"SIM","NÃO")</f>
        <v>SIM</v>
      </c>
    </row>
    <row r="55" customFormat="false" ht="15" hidden="false" customHeight="false" outlineLevel="0" collapsed="false">
      <c r="A55" s="19" t="s">
        <v>88</v>
      </c>
      <c r="B55" s="11" t="s">
        <v>66</v>
      </c>
      <c r="C55" s="11" t="s">
        <v>119</v>
      </c>
      <c r="D55" s="12" t="s">
        <v>120</v>
      </c>
      <c r="E55" s="11" t="n">
        <v>10.6</v>
      </c>
      <c r="F55" s="11" t="n">
        <v>12</v>
      </c>
      <c r="G55" s="13" t="str">
        <f aca="false">IF(F55&gt;=2,"SIM","NÃO")</f>
        <v>SIM</v>
      </c>
    </row>
    <row r="56" customFormat="false" ht="15" hidden="false" customHeight="false" outlineLevel="0" collapsed="false">
      <c r="A56" s="19" t="s">
        <v>88</v>
      </c>
      <c r="B56" s="11" t="s">
        <v>66</v>
      </c>
      <c r="C56" s="11" t="s">
        <v>121</v>
      </c>
      <c r="D56" s="12" t="s">
        <v>122</v>
      </c>
      <c r="E56" s="11" t="n">
        <v>11</v>
      </c>
      <c r="F56" s="11" t="n">
        <v>10</v>
      </c>
      <c r="G56" s="13" t="str">
        <f aca="false">IF(F56&gt;=2,"SIM","NÃO")</f>
        <v>SIM</v>
      </c>
    </row>
    <row r="57" customFormat="false" ht="15" hidden="false" customHeight="false" outlineLevel="0" collapsed="false">
      <c r="A57" s="19" t="s">
        <v>88</v>
      </c>
      <c r="B57" s="11" t="s">
        <v>66</v>
      </c>
      <c r="C57" s="11" t="s">
        <v>123</v>
      </c>
      <c r="D57" s="12" t="s">
        <v>124</v>
      </c>
      <c r="E57" s="11" t="n">
        <v>13.2</v>
      </c>
      <c r="F57" s="11" t="n">
        <v>10</v>
      </c>
      <c r="G57" s="13" t="str">
        <f aca="false">IF(F57&gt;=2,"SIM","NÃO")</f>
        <v>SIM</v>
      </c>
    </row>
    <row r="58" customFormat="false" ht="15" hidden="false" customHeight="false" outlineLevel="0" collapsed="false">
      <c r="A58" s="19" t="s">
        <v>88</v>
      </c>
      <c r="B58" s="11" t="s">
        <v>66</v>
      </c>
      <c r="C58" s="11" t="s">
        <v>125</v>
      </c>
      <c r="D58" s="12" t="s">
        <v>126</v>
      </c>
      <c r="E58" s="11" t="n">
        <v>14.9</v>
      </c>
      <c r="F58" s="11" t="n">
        <v>10</v>
      </c>
      <c r="G58" s="13" t="str">
        <f aca="false">IF(F58&gt;=2,"SIM","NÃO")</f>
        <v>SIM</v>
      </c>
    </row>
    <row r="59" customFormat="false" ht="15" hidden="false" customHeight="false" outlineLevel="0" collapsed="false">
      <c r="A59" s="19" t="s">
        <v>88</v>
      </c>
      <c r="B59" s="11" t="s">
        <v>66</v>
      </c>
      <c r="C59" s="11" t="s">
        <v>127</v>
      </c>
      <c r="D59" s="12" t="s">
        <v>128</v>
      </c>
      <c r="E59" s="11" t="n">
        <v>13.4</v>
      </c>
      <c r="F59" s="11" t="n">
        <v>9</v>
      </c>
      <c r="G59" s="13" t="str">
        <f aca="false">IF(F59&gt;=2,"SIM","NÃO")</f>
        <v>SIM</v>
      </c>
    </row>
    <row r="60" customFormat="false" ht="15" hidden="false" customHeight="false" outlineLevel="0" collapsed="false">
      <c r="A60" s="19" t="s">
        <v>88</v>
      </c>
      <c r="B60" s="11" t="s">
        <v>66</v>
      </c>
      <c r="C60" s="11" t="s">
        <v>129</v>
      </c>
      <c r="D60" s="12" t="s">
        <v>130</v>
      </c>
      <c r="E60" s="11" t="n">
        <v>15.2</v>
      </c>
      <c r="F60" s="11" t="n">
        <v>9</v>
      </c>
      <c r="G60" s="13" t="str">
        <f aca="false">IF(F60&gt;=2,"SIM","NÃO")</f>
        <v>SIM</v>
      </c>
    </row>
    <row r="61" customFormat="false" ht="15" hidden="false" customHeight="false" outlineLevel="0" collapsed="false">
      <c r="A61" s="19" t="s">
        <v>88</v>
      </c>
      <c r="B61" s="11" t="s">
        <v>66</v>
      </c>
      <c r="C61" s="11" t="s">
        <v>131</v>
      </c>
      <c r="D61" s="12" t="s">
        <v>132</v>
      </c>
      <c r="E61" s="11" t="n">
        <v>12.3</v>
      </c>
      <c r="F61" s="11" t="n">
        <v>7</v>
      </c>
      <c r="G61" s="13" t="str">
        <f aca="false">IF(F61&gt;=2,"SIM","NÃO")</f>
        <v>SIM</v>
      </c>
    </row>
    <row r="62" customFormat="false" ht="15" hidden="false" customHeight="false" outlineLevel="0" collapsed="false">
      <c r="A62" s="19" t="s">
        <v>88</v>
      </c>
      <c r="B62" s="11" t="s">
        <v>66</v>
      </c>
      <c r="C62" s="11" t="s">
        <v>133</v>
      </c>
      <c r="D62" s="12" t="s">
        <v>134</v>
      </c>
      <c r="E62" s="11" t="n">
        <v>11.6</v>
      </c>
      <c r="F62" s="11" t="n">
        <v>6</v>
      </c>
      <c r="G62" s="13" t="str">
        <f aca="false">IF(F62&gt;=2,"SIM","NÃO")</f>
        <v>SIM</v>
      </c>
    </row>
    <row r="63" customFormat="false" ht="15" hidden="false" customHeight="false" outlineLevel="0" collapsed="false">
      <c r="A63" s="19" t="s">
        <v>88</v>
      </c>
      <c r="B63" s="11" t="s">
        <v>66</v>
      </c>
      <c r="C63" s="11" t="s">
        <v>135</v>
      </c>
      <c r="D63" s="12" t="s">
        <v>136</v>
      </c>
      <c r="E63" s="11" t="n">
        <v>14.8</v>
      </c>
      <c r="F63" s="11" t="n">
        <v>6</v>
      </c>
      <c r="G63" s="13" t="str">
        <f aca="false">IF(F63&gt;=2,"SIM","NÃO")</f>
        <v>SIM</v>
      </c>
    </row>
    <row r="64" customFormat="false" ht="15" hidden="false" customHeight="false" outlineLevel="0" collapsed="false">
      <c r="A64" s="19" t="s">
        <v>88</v>
      </c>
      <c r="B64" s="11" t="s">
        <v>66</v>
      </c>
      <c r="C64" s="11" t="s">
        <v>137</v>
      </c>
      <c r="D64" s="12" t="s">
        <v>138</v>
      </c>
      <c r="E64" s="11" t="n">
        <v>14.2</v>
      </c>
      <c r="F64" s="11" t="n">
        <v>3</v>
      </c>
      <c r="G64" s="13" t="str">
        <f aca="false">IF(F64&gt;=2,"SIM","NÃO")</f>
        <v>SIM</v>
      </c>
    </row>
    <row r="65" customFormat="false" ht="15" hidden="false" customHeight="false" outlineLevel="0" collapsed="false">
      <c r="A65" s="19" t="s">
        <v>88</v>
      </c>
      <c r="B65" s="14" t="s">
        <v>66</v>
      </c>
      <c r="C65" s="14" t="s">
        <v>139</v>
      </c>
      <c r="D65" s="15" t="s">
        <v>140</v>
      </c>
      <c r="E65" s="14" t="n">
        <v>8.3</v>
      </c>
      <c r="F65" s="14" t="n">
        <v>0</v>
      </c>
      <c r="G65" s="16" t="str">
        <f aca="false">IF(F65&gt;=2,"SIM","NÃO")</f>
        <v>NÃO</v>
      </c>
    </row>
    <row r="66" customFormat="false" ht="15" hidden="false" customHeight="false" outlineLevel="0" collapsed="false">
      <c r="A66" s="20" t="s">
        <v>141</v>
      </c>
      <c r="B66" s="3" t="s">
        <v>8</v>
      </c>
      <c r="C66" s="3" t="s">
        <v>142</v>
      </c>
      <c r="D66" s="4" t="s">
        <v>143</v>
      </c>
      <c r="E66" s="3" t="n">
        <v>10.1</v>
      </c>
      <c r="F66" s="3" t="n">
        <v>12</v>
      </c>
      <c r="G66" s="5" t="str">
        <f aca="false">IF(F66&gt;=2,"SIM","NÃO")</f>
        <v>SIM</v>
      </c>
    </row>
    <row r="67" customFormat="false" ht="15" hidden="false" customHeight="false" outlineLevel="0" collapsed="false">
      <c r="A67" s="20" t="s">
        <v>141</v>
      </c>
      <c r="B67" s="3" t="s">
        <v>8</v>
      </c>
      <c r="C67" s="3" t="s">
        <v>144</v>
      </c>
      <c r="D67" s="4" t="s">
        <v>145</v>
      </c>
      <c r="E67" s="3" t="n">
        <v>2.1</v>
      </c>
      <c r="F67" s="3" t="n">
        <v>5</v>
      </c>
      <c r="G67" s="5" t="str">
        <f aca="false">IF(F67&gt;=2,"SIM","NÃO")</f>
        <v>SIM</v>
      </c>
    </row>
    <row r="68" customFormat="false" ht="15" hidden="false" customHeight="false" outlineLevel="0" collapsed="false">
      <c r="A68" s="20" t="s">
        <v>141</v>
      </c>
      <c r="B68" s="3" t="s">
        <v>8</v>
      </c>
      <c r="C68" s="3" t="s">
        <v>146</v>
      </c>
      <c r="D68" s="4" t="s">
        <v>147</v>
      </c>
      <c r="E68" s="3" t="n">
        <v>3.7</v>
      </c>
      <c r="F68" s="3" t="n">
        <v>4</v>
      </c>
      <c r="G68" s="5" t="str">
        <f aca="false">IF(F68&gt;=2,"SIM","NÃO")</f>
        <v>SIM</v>
      </c>
    </row>
    <row r="69" customFormat="false" ht="15" hidden="false" customHeight="false" outlineLevel="0" collapsed="false">
      <c r="A69" s="20" t="s">
        <v>141</v>
      </c>
      <c r="B69" s="3" t="s">
        <v>8</v>
      </c>
      <c r="C69" s="3" t="s">
        <v>148</v>
      </c>
      <c r="D69" s="4" t="s">
        <v>149</v>
      </c>
      <c r="E69" s="3" t="n">
        <v>4.3</v>
      </c>
      <c r="F69" s="3" t="n">
        <v>4</v>
      </c>
      <c r="G69" s="5" t="str">
        <f aca="false">IF(F69&gt;=2,"SIM","NÃO")</f>
        <v>SIM</v>
      </c>
    </row>
    <row r="70" customFormat="false" ht="15" hidden="false" customHeight="false" outlineLevel="0" collapsed="false">
      <c r="A70" s="20" t="s">
        <v>141</v>
      </c>
      <c r="B70" s="3" t="s">
        <v>8</v>
      </c>
      <c r="C70" s="3" t="s">
        <v>150</v>
      </c>
      <c r="D70" s="4" t="s">
        <v>151</v>
      </c>
      <c r="E70" s="3" t="n">
        <v>13.9</v>
      </c>
      <c r="F70" s="3" t="n">
        <v>3</v>
      </c>
      <c r="G70" s="5" t="str">
        <f aca="false">IF(F70&gt;=2,"SIM","NÃO")</f>
        <v>SIM</v>
      </c>
    </row>
  </sheetData>
  <autoFilter ref="A1:G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21" t="s">
        <v>0</v>
      </c>
      <c r="B1" s="21" t="s">
        <v>152</v>
      </c>
      <c r="C1" s="21" t="s">
        <v>153</v>
      </c>
      <c r="D1" s="21" t="s">
        <v>154</v>
      </c>
      <c r="E1" s="21" t="s">
        <v>155</v>
      </c>
    </row>
    <row r="2" customFormat="false" ht="15" hidden="false" customHeight="false" outlineLevel="0" collapsed="false">
      <c r="A2" s="22" t="s">
        <v>7</v>
      </c>
      <c r="B2" s="23" t="n">
        <v>13</v>
      </c>
      <c r="C2" s="23" t="n">
        <v>11</v>
      </c>
      <c r="D2" s="23" t="n">
        <v>2</v>
      </c>
      <c r="E2" s="24" t="n">
        <f aca="false">IF(B2=0,0,C2/B2)</f>
        <v>0.846153846153846</v>
      </c>
    </row>
    <row r="3" customFormat="false" ht="15" hidden="false" customHeight="false" outlineLevel="0" collapsed="false">
      <c r="A3" s="25" t="s">
        <v>156</v>
      </c>
      <c r="B3" s="23" t="n">
        <v>0</v>
      </c>
      <c r="C3" s="23" t="n">
        <v>0</v>
      </c>
      <c r="D3" s="23" t="n">
        <v>0</v>
      </c>
      <c r="E3" s="24" t="n">
        <f aca="false">IF(B3=0,0,C3/B3)</f>
        <v>0</v>
      </c>
    </row>
    <row r="4" customFormat="false" ht="15" hidden="false" customHeight="false" outlineLevel="0" collapsed="false">
      <c r="A4" s="26" t="s">
        <v>35</v>
      </c>
      <c r="B4" s="23" t="n">
        <v>18</v>
      </c>
      <c r="C4" s="23" t="n">
        <v>17</v>
      </c>
      <c r="D4" s="23" t="n">
        <v>1</v>
      </c>
      <c r="E4" s="24" t="n">
        <f aca="false">IF(B4=0,0,C4/B4)</f>
        <v>0.944444444444444</v>
      </c>
    </row>
    <row r="5" customFormat="false" ht="15" hidden="false" customHeight="false" outlineLevel="0" collapsed="false">
      <c r="A5" s="27" t="s">
        <v>73</v>
      </c>
      <c r="B5" s="23" t="n">
        <v>7</v>
      </c>
      <c r="C5" s="23" t="n">
        <v>7</v>
      </c>
      <c r="D5" s="23" t="n">
        <v>0</v>
      </c>
      <c r="E5" s="24" t="n">
        <f aca="false">IF(B5=0,0,C5/B5)</f>
        <v>1</v>
      </c>
    </row>
    <row r="6" customFormat="false" ht="15" hidden="false" customHeight="false" outlineLevel="0" collapsed="false">
      <c r="A6" s="28" t="s">
        <v>88</v>
      </c>
      <c r="B6" s="23" t="n">
        <v>26</v>
      </c>
      <c r="C6" s="23" t="n">
        <v>25</v>
      </c>
      <c r="D6" s="23" t="n">
        <v>1</v>
      </c>
      <c r="E6" s="24" t="n">
        <f aca="false">IF(B6=0,0,C6/B6)</f>
        <v>0.961538461538462</v>
      </c>
    </row>
    <row r="7" customFormat="false" ht="15" hidden="false" customHeight="false" outlineLevel="0" collapsed="false">
      <c r="A7" s="29" t="s">
        <v>141</v>
      </c>
      <c r="B7" s="23" t="n">
        <v>5</v>
      </c>
      <c r="C7" s="23" t="n">
        <v>5</v>
      </c>
      <c r="D7" s="23" t="n">
        <v>0</v>
      </c>
      <c r="E7" s="24" t="n">
        <f aca="false">IF(B7=0,0,C7/B7)</f>
        <v>1</v>
      </c>
    </row>
    <row r="8" customFormat="false" ht="15" hidden="false" customHeight="false" outlineLevel="0" collapsed="false">
      <c r="A8" s="30" t="s">
        <v>157</v>
      </c>
      <c r="B8" s="30" t="n">
        <f aca="false">SUM(B2:B7)</f>
        <v>69</v>
      </c>
      <c r="C8" s="30" t="n">
        <f aca="false">SUM(C2:C7)</f>
        <v>65</v>
      </c>
      <c r="D8" s="30" t="n">
        <f aca="false">SUM(D2:D7)</f>
        <v>4</v>
      </c>
      <c r="E8" s="31" t="n">
        <f aca="false">IF(B8=0,0,C8/B8)</f>
        <v>0.942028985507246</v>
      </c>
    </row>
    <row r="11" customFormat="false" ht="15" hidden="false" customHeight="false" outlineLevel="0" collapsed="false">
      <c r="A11" s="32" t="s">
        <v>158</v>
      </c>
    </row>
    <row r="12" customFormat="false" ht="15" hidden="false" customHeight="false" outlineLevel="0" collapsed="false">
      <c r="A12" s="0" t="s">
        <v>159</v>
      </c>
    </row>
    <row r="13" customFormat="false" ht="15" hidden="false" customHeight="false" outlineLevel="0" collapsed="false">
      <c r="A13" s="0" t="s">
        <v>160</v>
      </c>
    </row>
    <row r="14" customFormat="false" ht="15" hidden="false" customHeight="false" outlineLevel="0" collapsed="false">
      <c r="A14" s="0" t="s">
        <v>161</v>
      </c>
    </row>
    <row r="15" customFormat="false" ht="15" hidden="false" customHeight="false" outlineLevel="0" collapsed="false">
      <c r="A15" s="0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2026-04-20T18:17:24Z</dcterms:created>
  <dc:creator>openpyxl</dc:creator>
  <dc:description/>
  <dc:language>en-US</dc:language>
  <cp:lastModifiedBy/>
  <dcterms:modified xsi:type="dcterms:W3CDTF">2026-04-20T18:17:25Z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