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Sub 12" sheetId="2" state="visible" r:id="rId2"/>
    <sheet xmlns:r="http://schemas.openxmlformats.org/officeDocument/2006/relationships" name="Sub 14" sheetId="3" state="visible" r:id="rId3"/>
    <sheet xmlns:r="http://schemas.openxmlformats.org/officeDocument/2006/relationships" name="Sub 16" sheetId="4" state="visible" r:id="rId4"/>
    <sheet xmlns:r="http://schemas.openxmlformats.org/officeDocument/2006/relationships" name="Sub 23" sheetId="5" state="visible" r:id="rId5"/>
    <sheet xmlns:r="http://schemas.openxmlformats.org/officeDocument/2006/relationships" name="dt1_madeira_palheiro" sheetId="6" state="visible" r:id="rId6"/>
    <sheet xmlns:r="http://schemas.openxmlformats.org/officeDocument/2006/relationships" name="dt1_tejo_montado" sheetId="7" state="visible" r:id="rId7"/>
    <sheet xmlns:r="http://schemas.openxmlformats.org/officeDocument/2006/relationships" name="dt1_norte_estela" sheetId="8" state="visible" r:id="rId8"/>
    <sheet xmlns:r="http://schemas.openxmlformats.org/officeDocument/2006/relationships" name="dt1_sul_laguna" sheetId="9" state="visible" r:id="rId9"/>
    <sheet xmlns:r="http://schemas.openxmlformats.org/officeDocument/2006/relationships" name="aq1_morgado" sheetId="10" state="visible" r:id="rId10"/>
    <sheet xmlns:r="http://schemas.openxmlformats.org/officeDocument/2006/relationships" name="dt2_sul_vilasol" sheetId="11" state="visible" r:id="rId11"/>
    <sheet xmlns:r="http://schemas.openxmlformats.org/officeDocument/2006/relationships" name="dt2_madeira_sds" sheetId="12" state="visible" r:id="rId12"/>
    <sheet xmlns:r="http://schemas.openxmlformats.org/officeDocument/2006/relationships" name="gg_main" sheetId="13" state="visible" r:id="rId13"/>
    <sheet xmlns:r="http://schemas.openxmlformats.org/officeDocument/2006/relationships" name="gg_u14" sheetId="14" state="visible" r:id="rId14"/>
    <sheet xmlns:r="http://schemas.openxmlformats.org/officeDocument/2006/relationships" name="gg_u12" sheetId="15" state="visible" r:id="rId15"/>
    <sheet xmlns:r="http://schemas.openxmlformats.org/officeDocument/2006/relationships" name="dt3_norte_valepisao" sheetId="16" state="visible" r:id="rId16"/>
    <sheet xmlns:r="http://schemas.openxmlformats.org/officeDocument/2006/relationships" name="dt3_madeira_palheiro" sheetId="17" state="visible" r:id="rId17"/>
    <sheet xmlns:r="http://schemas.openxmlformats.org/officeDocument/2006/relationships" name="aq2_qtaperu" sheetId="18" state="visible" r:id="rId18"/>
    <sheet xmlns:r="http://schemas.openxmlformats.org/officeDocument/2006/relationships" name="dt3_tejo_se" sheetId="19" state="visible" r:id="rId19"/>
    <sheet xmlns:r="http://schemas.openxmlformats.org/officeDocument/2006/relationships" name="dt3_sul_qvale" sheetId="20" state="visible" r:id="rId20"/>
    <sheet xmlns:r="http://schemas.openxmlformats.org/officeDocument/2006/relationships" name="dt4_madeira_porto_santo" sheetId="21" state="visible" r:id="rId21"/>
    <sheet xmlns:r="http://schemas.openxmlformats.org/officeDocument/2006/relationships" name="dt4_tejo_lisbon" sheetId="22" state="visible" r:id="rId22"/>
    <sheet xmlns:r="http://schemas.openxmlformats.org/officeDocument/2006/relationships" name="pja_aroeira_master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0563C1"/>
      <u val="single"/>
    </font>
    <font>
      <b val="1"/>
    </font>
    <font>
      <b val="1"/>
      <color rgb="00FFFFFF"/>
      <sz val="11"/>
    </font>
    <font>
      <b val="1"/>
      <i val="1"/>
    </font>
    <font>
      <i val="1"/>
      <color rgb="00C00000"/>
    </font>
    <font>
      <i val="1"/>
      <sz val="10"/>
    </font>
    <font>
      <b val="1"/>
      <i val="1"/>
      <color rgb="00C00000"/>
      <sz val="10"/>
    </font>
    <font>
      <i val="1"/>
      <sz val="8"/>
    </font>
    <font>
      <b val="1"/>
      <color rgb="00FFFFFF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F59E0B"/>
        </patternFill>
      </fill>
    </dxf>
    <dxf>
      <font>
        <b val="1"/>
        <color rgb="00FFFFFF"/>
      </font>
      <fill>
        <patternFill patternType="solid">
          <fgColor rgb="00DC2626"/>
        </patternFill>
      </fill>
    </dxf>
    <dxf>
      <fill>
        <patternFill patternType="solid">
          <fgColor rgb="00BFDBFE"/>
        </patternFill>
      </fill>
    </dxf>
    <dxf>
      <font>
        <b val="1"/>
        <color rgb="00FFFFFF"/>
      </font>
      <fill>
        <patternFill patternType="solid">
          <fgColor rgb="0060A5FA"/>
        </patternFill>
      </fill>
    </dxf>
    <dxf>
      <font>
        <b val="1"/>
        <color rgb="00FFFFFF"/>
      </font>
      <fill>
        <patternFill patternType="solid">
          <fgColor rgb="001E3A8A"/>
        </patternFill>
      </fill>
    </dxf>
    <dxf>
      <font>
        <b val="1"/>
        <color rgb="00FFFFFF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scoring.datagolf.pt/pt/Classifications.aspx?ccode=982&amp;tcode=101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scoring.datagolf.pt/pt/Classifications.aspx?ccode=985&amp;tcode=102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coring.datagolf.pt/pt/Classifications.aspx?ccode=987&amp;tcode=102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scoring.datagolf.pt/pt/Classifications.aspx?ccode=988&amp;tcode=102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scoring.datagolf.pt/pt/Classifications.aspx?ccode=000&amp;tcode=108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scoring.datagolf.pt/pt/Classifications.aspx?ccode=988&amp;tcode=102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scoring.datagolf.pt/pt/Classifications.aspx?ccode=982&amp;tcode=101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scoring.datagolf.pt/pt/Classifications.aspx?ccode=935&amp;tcode=102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scoring.datagolf.pt/pt/Classifications.aspx?ccode=935&amp;tcode=102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scoring.datagolf.pt/pt/Classifications.aspx?ccode=935&amp;tcode=102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scoring.datagolf.pt/pt/Classifications.aspx?ccode=987&amp;tcode=102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scoring.datagolf.pt/pt/Classifications.aspx?ccode=982&amp;tcode=102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scoring.datagolf.pt/pt/Classifications.aspx?ccode=000&amp;tcode=108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scoring.datagolf.pt/pt/Classifications.aspx?ccode=985&amp;tcode=102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scoring.datagolf.pt/pt/Classifications.aspx?ccode=988&amp;tcode=1030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scoring.datagolf.pt/pt/Classifications.aspx?ccode=982&amp;tcode=102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scoring.datagolf.pt/pt/Classifications.aspx?ccode=985&amp;tcode=102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scoring.datagolf.pt/pt/Classifications.aspx?ccode=029&amp;tcode=105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2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</cols>
  <sheetData>
    <row r="1" ht="26" customHeight="1">
      <c r="A1" s="1" t="inlineStr">
        <is>
          <t>PJA TOUR 2026 — Race to Dunas Ranking</t>
        </is>
      </c>
    </row>
    <row r="2">
      <c r="A2" s="2" t="inlineStr">
        <is>
          <t>Fórmula por ronda: pts = MAX(0, 25 − toPar) × multiplicador (1.0 standard · 1.5 Grande Final)</t>
        </is>
      </c>
    </row>
    <row r="3">
      <c r="A3" s="3" t="inlineStr">
        <is>
          <t>Regra 2026: Top-14 melhores rondas no ano. DT conta para todos PJA · Aquapor só os 2 primeiros · GG Main R2+R3 · GF×1.5. Torneios decorridos até 2026-04-28.</t>
        </is>
      </c>
    </row>
    <row r="4">
      <c r="E4" s="4" t="inlineStr">
        <is>
          <t>1º Drive Tour Madeira — Palheiro</t>
        </is>
      </c>
      <c r="F4" s="4" t="inlineStr">
        <is>
          <t>1º Drive Tour Tejo — Montado</t>
        </is>
      </c>
      <c r="G4" s="4" t="inlineStr">
        <is>
          <t>1º Drive Tour Norte — Estela</t>
        </is>
      </c>
      <c r="H4" s="4" t="inlineStr">
        <is>
          <t>1º Drive Tour Sul — Laguna</t>
        </is>
      </c>
      <c r="I4" s="4" t="inlineStr">
        <is>
          <t>1º Aquapor — Morgado</t>
        </is>
      </c>
      <c r="J4" s="4" t="inlineStr">
        <is>
          <t>2º Drive Tour Sul — Vila Sol</t>
        </is>
      </c>
      <c r="K4" s="4" t="inlineStr">
        <is>
          <t>2º Drive Tour Madeira — Santo da Serra</t>
        </is>
      </c>
      <c r="L4" s="4" t="inlineStr">
        <is>
          <t>Greatgolf Junior Open (Main 3R, Sub 16+)</t>
        </is>
      </c>
      <c r="M4" s="4" t="inlineStr">
        <is>
          <t>Greatgolf Junior Open U14</t>
        </is>
      </c>
      <c r="N4" s="4" t="inlineStr">
        <is>
          <t>Greatgolf Junior Open U12</t>
        </is>
      </c>
      <c r="O4" s="4" t="inlineStr">
        <is>
          <t>3º Drive Tour Norte — Vale Pisão</t>
        </is>
      </c>
      <c r="P4" s="4" t="inlineStr">
        <is>
          <t>3º Drive Tour Madeira — Palheiro</t>
        </is>
      </c>
      <c r="Q4" s="4" t="inlineStr">
        <is>
          <t>2º Aquapor — Quinta do Peru</t>
        </is>
      </c>
      <c r="R4" s="4" t="inlineStr">
        <is>
          <t>1º Drive Tour Açores — Terceira</t>
        </is>
      </c>
      <c r="S4" s="4" t="inlineStr">
        <is>
          <t>3º Drive Tour Tejo — Sto. Estêvão</t>
        </is>
      </c>
      <c r="T4" s="4" t="inlineStr">
        <is>
          <t>3º Drive Tour Sul — Quinta do Vale</t>
        </is>
      </c>
      <c r="U4" s="4" t="inlineStr">
        <is>
          <t>2º Drive Tour Açores — Terceira</t>
        </is>
      </c>
      <c r="V4" s="4" t="inlineStr">
        <is>
          <t>4º Drive Tour Madeira — Porto Santo</t>
        </is>
      </c>
      <c r="W4" s="4" t="inlineStr">
        <is>
          <t>4º Drive Tour Tejo — Lisbon SC</t>
        </is>
      </c>
      <c r="X4" s="4" t="inlineStr">
        <is>
          <t>4º Drive Tour Norte — Ponte de Lima</t>
        </is>
      </c>
      <c r="Y4" s="4" t="inlineStr">
        <is>
          <t>PJA Aroeira Masters 2026</t>
        </is>
      </c>
      <c r="Z4" s="4" t="inlineStr">
        <is>
          <t>Top 14 voltas</t>
        </is>
      </c>
    </row>
    <row r="5">
      <c r="A5" s="5" t="inlineStr">
        <is>
          <t>Pos</t>
        </is>
      </c>
      <c r="B5" s="5" t="inlineStr">
        <is>
          <t>Jogador</t>
        </is>
      </c>
      <c r="C5" s="5" t="inlineStr">
        <is>
          <t>FedCode</t>
        </is>
      </c>
      <c r="D5" s="5" t="inlineStr">
        <is>
          <t>Escalão</t>
        </is>
      </c>
      <c r="E5" s="5" t="inlineStr">
        <is>
          <t>dt1_madeira_palheiro</t>
        </is>
      </c>
      <c r="F5" s="5" t="inlineStr">
        <is>
          <t>dt1_tejo_montado</t>
        </is>
      </c>
      <c r="G5" s="5" t="inlineStr">
        <is>
          <t>dt1_norte_estela</t>
        </is>
      </c>
      <c r="H5" s="5" t="inlineStr">
        <is>
          <t>dt1_sul_laguna</t>
        </is>
      </c>
      <c r="I5" s="5" t="inlineStr">
        <is>
          <t>aq1_morgado</t>
        </is>
      </c>
      <c r="J5" s="5" t="inlineStr">
        <is>
          <t>dt2_sul_vilasol</t>
        </is>
      </c>
      <c r="K5" s="5" t="inlineStr">
        <is>
          <t>dt2_madeira_sds</t>
        </is>
      </c>
      <c r="L5" s="5" t="inlineStr">
        <is>
          <t>gg_main</t>
        </is>
      </c>
      <c r="M5" s="5" t="inlineStr">
        <is>
          <t>gg_u14</t>
        </is>
      </c>
      <c r="N5" s="5" t="inlineStr">
        <is>
          <t>gg_u12</t>
        </is>
      </c>
      <c r="O5" s="5" t="inlineStr">
        <is>
          <t>dt3_norte_valepisao</t>
        </is>
      </c>
      <c r="P5" s="5" t="inlineStr">
        <is>
          <t>dt3_madeira_palheiro</t>
        </is>
      </c>
      <c r="Q5" s="5" t="inlineStr">
        <is>
          <t>aq2_qtaperu</t>
        </is>
      </c>
      <c r="R5" s="5" t="inlineStr">
        <is>
          <t>dt1_acores</t>
        </is>
      </c>
      <c r="S5" s="5" t="inlineStr">
        <is>
          <t>dt3_tejo_se</t>
        </is>
      </c>
      <c r="T5" s="5" t="inlineStr">
        <is>
          <t>dt3_sul_qvale</t>
        </is>
      </c>
      <c r="U5" s="5" t="inlineStr">
        <is>
          <t>dt2_acores</t>
        </is>
      </c>
      <c r="V5" s="5" t="inlineStr">
        <is>
          <t>dt4_madeira_porto_santo</t>
        </is>
      </c>
      <c r="W5" s="5" t="inlineStr">
        <is>
          <t>dt4_tejo_lisbon</t>
        </is>
      </c>
      <c r="X5" s="5" t="inlineStr">
        <is>
          <t>dt4_norte_pdl</t>
        </is>
      </c>
      <c r="Y5" s="5" t="inlineStr">
        <is>
          <t>pja_aroeira_masters</t>
        </is>
      </c>
      <c r="Z5" s="6" t="inlineStr">
        <is>
          <t>Top 14</t>
        </is>
      </c>
    </row>
    <row r="6">
      <c r="A6" s="7">
        <f>RANK(Z6,$Z$6:$Z$30)</f>
        <v/>
      </c>
      <c r="B6" t="inlineStr">
        <is>
          <t>Manuel Goulartt Medeiros</t>
        </is>
      </c>
      <c r="C6" s="8" t="inlineStr">
        <is>
          <t>52884</t>
        </is>
      </c>
      <c r="D6" s="8" t="inlineStr">
        <is>
          <t>Sub 12</t>
        </is>
      </c>
      <c r="E6" s="8">
        <f>'dt1_madeira_palheiro'!AB15</f>
        <v/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>
        <f>'dt2_madeira_sds'!AB24</f>
        <v/>
      </c>
      <c r="L6" s="8" t="n">
        <v>0</v>
      </c>
      <c r="M6" s="8" t="n">
        <v>0</v>
      </c>
      <c r="N6" s="8">
        <f>'gg_u12'!AX16</f>
        <v/>
      </c>
      <c r="O6" s="8" t="n">
        <v>0</v>
      </c>
      <c r="P6" s="8">
        <f>'dt3_madeira_palheiro'!AB13</f>
        <v/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>
        <f>'dt4_madeira_porto_santo'!AB16</f>
        <v/>
      </c>
      <c r="W6" s="8" t="n">
        <v>0</v>
      </c>
      <c r="X6" s="8" t="n">
        <v>0</v>
      </c>
      <c r="Y6" s="8">
        <f>'pja_aroeira_masters'!AX32</f>
        <v/>
      </c>
      <c r="Z6" s="9">
        <f>IFERROR(LARGE(AA6:AH6,1),0)+IFERROR(LARGE(AA6:AH6,2),0)+IFERROR(LARGE(AA6:AH6,3),0)+IFERROR(LARGE(AA6:AH6,4),0)+IFERROR(LARGE(AA6:AH6,5),0)+IFERROR(LARGE(AA6:AH6,6),0)+IFERROR(LARGE(AA6:AH6,7),0)+IFERROR(LARGE(AA6:AH6,8),0)+IFERROR(LARGE(AA6:AH6,9),0)+IFERROR(LARGE(AA6:AH6,10),0)+IFERROR(LARGE(AA6:AH6,11),0)+IFERROR(LARGE(AA6:AH6,12),0)+IFERROR(LARGE(AA6:AH6,13),0)+IFERROR(LARGE(AA6:AH6,14),0)</f>
        <v/>
      </c>
      <c r="AA6">
        <f>'dt1_madeira_palheiro'!AA15</f>
        <v/>
      </c>
      <c r="AB6">
        <f>'dt2_madeira_sds'!AA24</f>
        <v/>
      </c>
      <c r="AC6">
        <f>'gg_u12'!AA16</f>
        <v/>
      </c>
      <c r="AD6">
        <f>'gg_u12'!AW16</f>
        <v/>
      </c>
      <c r="AE6">
        <f>'dt3_madeira_palheiro'!AA13</f>
        <v/>
      </c>
      <c r="AF6">
        <f>'dt4_madeira_porto_santo'!AA16</f>
        <v/>
      </c>
      <c r="AG6">
        <f>'pja_aroeira_masters'!AA32</f>
        <v/>
      </c>
      <c r="AH6">
        <f>'pja_aroeira_masters'!AW32</f>
        <v/>
      </c>
    </row>
    <row r="7">
      <c r="A7" s="7">
        <f>RANK(Z7,$Z$6:$Z$30)</f>
        <v/>
      </c>
      <c r="B7" t="inlineStr">
        <is>
          <t>Ricardo Castro Ferreira</t>
        </is>
      </c>
      <c r="C7" s="8" t="inlineStr">
        <is>
          <t>49085</t>
        </is>
      </c>
      <c r="D7" s="8" t="inlineStr">
        <is>
          <t>Sub 12</t>
        </is>
      </c>
      <c r="E7" s="8" t="n">
        <v>0</v>
      </c>
      <c r="F7" s="8">
        <f>'dt1_tejo_montado'!AB14</f>
        <v/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>
        <f>'gg_u12'!AX13</f>
        <v/>
      </c>
      <c r="O7" s="8" t="n">
        <v>0</v>
      </c>
      <c r="P7" s="8" t="n">
        <v>0</v>
      </c>
      <c r="Q7" s="8" t="n">
        <v>0</v>
      </c>
      <c r="R7" s="8" t="n">
        <v>0</v>
      </c>
      <c r="S7" s="8">
        <f>'dt3_tejo_se'!AX16</f>
        <v/>
      </c>
      <c r="T7" s="8" t="n">
        <v>0</v>
      </c>
      <c r="U7" s="8" t="n">
        <v>0</v>
      </c>
      <c r="V7" s="8" t="n">
        <v>0</v>
      </c>
      <c r="W7" s="8">
        <f>'dt4_tejo_lisbon'!AB19</f>
        <v/>
      </c>
      <c r="X7" s="8" t="n">
        <v>0</v>
      </c>
      <c r="Y7" s="8">
        <f>'pja_aroeira_masters'!AX16</f>
        <v/>
      </c>
      <c r="Z7" s="9">
        <f>IFERROR(LARGE(AA7:AH7,1),0)+IFERROR(LARGE(AA7:AH7,2),0)+IFERROR(LARGE(AA7:AH7,3),0)+IFERROR(LARGE(AA7:AH7,4),0)+IFERROR(LARGE(AA7:AH7,5),0)+IFERROR(LARGE(AA7:AH7,6),0)+IFERROR(LARGE(AA7:AH7,7),0)+IFERROR(LARGE(AA7:AH7,8),0)+IFERROR(LARGE(AA7:AH7,9),0)+IFERROR(LARGE(AA7:AH7,10),0)+IFERROR(LARGE(AA7:AH7,11),0)+IFERROR(LARGE(AA7:AH7,12),0)+IFERROR(LARGE(AA7:AH7,13),0)+IFERROR(LARGE(AA7:AH7,14),0)</f>
        <v/>
      </c>
      <c r="AA7">
        <f>'dt1_tejo_montado'!AA14</f>
        <v/>
      </c>
      <c r="AB7">
        <f>'gg_u12'!AA13</f>
        <v/>
      </c>
      <c r="AC7">
        <f>'gg_u12'!AW13</f>
        <v/>
      </c>
      <c r="AD7">
        <f>'dt3_tejo_se'!AA16</f>
        <v/>
      </c>
      <c r="AE7">
        <f>'dt3_tejo_se'!AW16</f>
        <v/>
      </c>
      <c r="AF7">
        <f>'dt4_tejo_lisbon'!AA19</f>
        <v/>
      </c>
      <c r="AG7">
        <f>'pja_aroeira_masters'!AA16</f>
        <v/>
      </c>
      <c r="AH7">
        <f>'pja_aroeira_masters'!AW16</f>
        <v/>
      </c>
    </row>
    <row r="8">
      <c r="A8" s="7">
        <f>RANK(Z8,$Z$6:$Z$30)</f>
        <v/>
      </c>
      <c r="B8" t="inlineStr">
        <is>
          <t>Nuno Palmares Jr.</t>
        </is>
      </c>
      <c r="C8" s="8" t="inlineStr">
        <is>
          <t>49124</t>
        </is>
      </c>
      <c r="D8" s="8" t="inlineStr">
        <is>
          <t>Sub 14</t>
        </is>
      </c>
      <c r="E8" s="8" t="n">
        <v>0</v>
      </c>
      <c r="F8" s="8">
        <f>'dt1_tejo_montado'!AB15</f>
        <v/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>
        <f>'gg_u14'!AX13</f>
        <v/>
      </c>
      <c r="N8" s="8" t="n">
        <v>0</v>
      </c>
      <c r="O8" s="8" t="n">
        <v>0</v>
      </c>
      <c r="P8" s="8" t="n">
        <v>0</v>
      </c>
      <c r="Q8" s="8">
        <f>IF((E8+F8+G8+H8+J8+K8+O8+P8+R8+S8+T8+U8+V8+W8+X8)&gt;0,0,'aq2_qtaperu'!AX30)</f>
        <v/>
      </c>
      <c r="R8" s="8" t="n">
        <v>0</v>
      </c>
      <c r="S8" s="8">
        <f>'dt3_tejo_se'!AX14</f>
        <v/>
      </c>
      <c r="T8" s="8" t="n">
        <v>0</v>
      </c>
      <c r="U8" s="8" t="n">
        <v>0</v>
      </c>
      <c r="V8" s="8" t="n">
        <v>0</v>
      </c>
      <c r="W8" s="8">
        <f>'dt4_tejo_lisbon'!AB13</f>
        <v/>
      </c>
      <c r="X8" s="8" t="n">
        <v>0</v>
      </c>
      <c r="Y8" s="8">
        <f>'pja_aroeira_masters'!AX13</f>
        <v/>
      </c>
      <c r="Z8" s="9">
        <f>IFERROR(LARGE(AA8:AJ8,1),0)+IFERROR(LARGE(AA8:AJ8,2),0)+IFERROR(LARGE(AA8:AJ8,3),0)+IFERROR(LARGE(AA8:AJ8,4),0)+IFERROR(LARGE(AA8:AJ8,5),0)+IFERROR(LARGE(AA8:AJ8,6),0)+IFERROR(LARGE(AA8:AJ8,7),0)+IFERROR(LARGE(AA8:AJ8,8),0)+IFERROR(LARGE(AA8:AJ8,9),0)+IFERROR(LARGE(AA8:AJ8,10),0)+IFERROR(LARGE(AA8:AJ8,11),0)+IFERROR(LARGE(AA8:AJ8,12),0)+IFERROR(LARGE(AA8:AJ8,13),0)+IFERROR(LARGE(AA8:AJ8,14),0)</f>
        <v/>
      </c>
      <c r="AA8">
        <f>'dt1_tejo_montado'!AA15</f>
        <v/>
      </c>
      <c r="AB8">
        <f>'gg_u14'!AA13</f>
        <v/>
      </c>
      <c r="AC8">
        <f>'gg_u14'!AW13</f>
        <v/>
      </c>
      <c r="AD8">
        <f>IF((E8+F8+G8+H8+J8+K8+O8+P8+R8+S8+T8+U8+V8+W8+X8)&gt;0,0,'aq2_qtaperu'!AA30)</f>
        <v/>
      </c>
      <c r="AE8">
        <f>IF((E8+F8+G8+H8+J8+K8+O8+P8+R8+S8+T8+U8+V8+W8+X8)&gt;0,0,'aq2_qtaperu'!AW30)</f>
        <v/>
      </c>
      <c r="AF8">
        <f>'dt3_tejo_se'!AA14</f>
        <v/>
      </c>
      <c r="AG8">
        <f>'dt3_tejo_se'!AW14</f>
        <v/>
      </c>
      <c r="AH8">
        <f>'dt4_tejo_lisbon'!AA13</f>
        <v/>
      </c>
      <c r="AI8">
        <f>'pja_aroeira_masters'!AA13</f>
        <v/>
      </c>
      <c r="AJ8">
        <f>'pja_aroeira_masters'!AW13</f>
        <v/>
      </c>
    </row>
    <row r="9">
      <c r="A9" s="7">
        <f>RANK(Z9,$Z$6:$Z$30)</f>
        <v/>
      </c>
      <c r="B9" t="inlineStr">
        <is>
          <t>João Rocha</t>
        </is>
      </c>
      <c r="C9" s="8" t="inlineStr">
        <is>
          <t>48297</t>
        </is>
      </c>
      <c r="D9" s="8" t="inlineStr">
        <is>
          <t>Sub 14</t>
        </is>
      </c>
      <c r="E9" s="8" t="n">
        <v>0</v>
      </c>
      <c r="F9" s="8">
        <f>'dt1_tejo_montado'!AB17</f>
        <v/>
      </c>
      <c r="G9" s="8" t="n">
        <v>0</v>
      </c>
      <c r="H9" s="8" t="n">
        <v>0</v>
      </c>
      <c r="I9" s="8">
        <f>IF((E9+F9+G9+H9+J9+K9+O9+P9+R9+S9+T9+U9+V9+W9+X9)&gt;0,0,'aq1_morgado'!AX57)</f>
        <v/>
      </c>
      <c r="J9" s="8" t="n">
        <v>0</v>
      </c>
      <c r="K9" s="8" t="n">
        <v>0</v>
      </c>
      <c r="L9" s="8" t="n">
        <v>0</v>
      </c>
      <c r="M9" s="8">
        <f>'gg_u14'!AX14</f>
        <v/>
      </c>
      <c r="N9" s="8" t="n">
        <v>0</v>
      </c>
      <c r="O9" s="8" t="n">
        <v>0</v>
      </c>
      <c r="P9" s="8" t="n">
        <v>0</v>
      </c>
      <c r="Q9" s="8">
        <f>IF((E9+F9+G9+H9+J9+K9+O9+P9+R9+S9+T9+U9+V9+W9+X9)&gt;0,0,'aq2_qtaperu'!AX82)</f>
        <v/>
      </c>
      <c r="R9" s="8" t="n">
        <v>0</v>
      </c>
      <c r="S9" s="8">
        <f>'dt3_tejo_se'!AX15</f>
        <v/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>
        <f>'pja_aroeira_masters'!AX25</f>
        <v/>
      </c>
      <c r="Z9" s="9">
        <f>IFERROR(LARGE(AA9:AK9,1),0)+IFERROR(LARGE(AA9:AK9,2),0)+IFERROR(LARGE(AA9:AK9,3),0)+IFERROR(LARGE(AA9:AK9,4),0)+IFERROR(LARGE(AA9:AK9,5),0)+IFERROR(LARGE(AA9:AK9,6),0)+IFERROR(LARGE(AA9:AK9,7),0)+IFERROR(LARGE(AA9:AK9,8),0)+IFERROR(LARGE(AA9:AK9,9),0)+IFERROR(LARGE(AA9:AK9,10),0)+IFERROR(LARGE(AA9:AK9,11),0)+IFERROR(LARGE(AA9:AK9,12),0)+IFERROR(LARGE(AA9:AK9,13),0)+IFERROR(LARGE(AA9:AK9,14),0)</f>
        <v/>
      </c>
      <c r="AA9">
        <f>'dt1_tejo_montado'!AA17</f>
        <v/>
      </c>
      <c r="AB9">
        <f>IF((E9+F9+G9+H9+J9+K9+O9+P9+R9+S9+T9+U9+V9+W9+X9)&gt;0,0,'aq1_morgado'!AA57)</f>
        <v/>
      </c>
      <c r="AC9">
        <f>IF((E9+F9+G9+H9+J9+K9+O9+P9+R9+S9+T9+U9+V9+W9+X9)&gt;0,0,'aq1_morgado'!AW57)</f>
        <v/>
      </c>
      <c r="AD9">
        <f>'gg_u14'!AA14</f>
        <v/>
      </c>
      <c r="AE9">
        <f>'gg_u14'!AW14</f>
        <v/>
      </c>
      <c r="AF9">
        <f>IF((E9+F9+G9+H9+J9+K9+O9+P9+R9+S9+T9+U9+V9+W9+X9)&gt;0,0,'aq2_qtaperu'!AA82)</f>
        <v/>
      </c>
      <c r="AG9">
        <f>IF((E9+F9+G9+H9+J9+K9+O9+P9+R9+S9+T9+U9+V9+W9+X9)&gt;0,0,'aq2_qtaperu'!AW82)</f>
        <v/>
      </c>
      <c r="AH9">
        <f>'dt3_tejo_se'!AA15</f>
        <v/>
      </c>
      <c r="AI9">
        <f>'dt3_tejo_se'!AW15</f>
        <v/>
      </c>
      <c r="AJ9">
        <f>'pja_aroeira_masters'!AA25</f>
        <v/>
      </c>
      <c r="AK9">
        <f>'pja_aroeira_masters'!AW25</f>
        <v/>
      </c>
    </row>
    <row r="10">
      <c r="A10" s="7">
        <f>RANK(Z10,$Z$6:$Z$30)</f>
        <v/>
      </c>
      <c r="B10" t="inlineStr">
        <is>
          <t>Pedro Costa Alemão</t>
        </is>
      </c>
      <c r="C10" s="8" t="inlineStr">
        <is>
          <t>46706</t>
        </is>
      </c>
      <c r="D10" s="8" t="inlineStr">
        <is>
          <t>Sub 16</t>
        </is>
      </c>
      <c r="E10" s="8" t="n">
        <v>0</v>
      </c>
      <c r="F10" s="8">
        <f>'dt1_tejo_montado'!AB18</f>
        <v/>
      </c>
      <c r="G10" s="8" t="n">
        <v>0</v>
      </c>
      <c r="H10" s="8" t="n">
        <v>0</v>
      </c>
      <c r="I10" s="8">
        <f>IF((E10+F10+G10+H10+J10+K10+O10+P10+R10+S10+T10+U10+V10+W10+X10)&gt;0,0,'aq1_morgado'!AX55)</f>
        <v/>
      </c>
      <c r="J10" s="8" t="n">
        <v>0</v>
      </c>
      <c r="K10" s="8" t="n">
        <v>0</v>
      </c>
      <c r="L10" s="8">
        <f>'gg_main'!BT22</f>
        <v/>
      </c>
      <c r="M10" s="8" t="n">
        <v>0</v>
      </c>
      <c r="N10" s="8" t="n">
        <v>0</v>
      </c>
      <c r="O10" s="8" t="n">
        <v>0</v>
      </c>
      <c r="P10" s="8" t="n">
        <v>0</v>
      </c>
      <c r="Q10" s="8">
        <f>IF((E10+F10+G10+H10+J10+K10+O10+P10+R10+S10+T10+U10+V10+W10+X10)&gt;0,0,'aq2_qtaperu'!AX48)</f>
        <v/>
      </c>
      <c r="R10" s="8" t="n">
        <v>0</v>
      </c>
      <c r="S10" s="8">
        <f>'dt3_tejo_se'!AX13</f>
        <v/>
      </c>
      <c r="T10" s="8" t="n">
        <v>0</v>
      </c>
      <c r="U10" s="8" t="n">
        <v>0</v>
      </c>
      <c r="V10" s="8" t="n">
        <v>0</v>
      </c>
      <c r="W10" s="8">
        <f>'dt4_tejo_lisbon'!AB15</f>
        <v/>
      </c>
      <c r="X10" s="8" t="n">
        <v>0</v>
      </c>
      <c r="Y10" s="8">
        <f>'pja_aroeira_masters'!AX14</f>
        <v/>
      </c>
      <c r="Z10" s="9">
        <f>IFERROR(LARGE(AA10:AL10,1),0)+IFERROR(LARGE(AA10:AL10,2),0)+IFERROR(LARGE(AA10:AL10,3),0)+IFERROR(LARGE(AA10:AL10,4),0)+IFERROR(LARGE(AA10:AL10,5),0)+IFERROR(LARGE(AA10:AL10,6),0)+IFERROR(LARGE(AA10:AL10,7),0)+IFERROR(LARGE(AA10:AL10,8),0)+IFERROR(LARGE(AA10:AL10,9),0)+IFERROR(LARGE(AA10:AL10,10),0)+IFERROR(LARGE(AA10:AL10,11),0)+IFERROR(LARGE(AA10:AL10,12),0)+IFERROR(LARGE(AA10:AL10,13),0)+IFERROR(LARGE(AA10:AL10,14),0)</f>
        <v/>
      </c>
      <c r="AA10">
        <f>'dt1_tejo_montado'!AA18</f>
        <v/>
      </c>
      <c r="AB10">
        <f>IF((E10+F10+G10+H10+J10+K10+O10+P10+R10+S10+T10+U10+V10+W10+X10)&gt;0,0,'aq1_morgado'!AA55)</f>
        <v/>
      </c>
      <c r="AC10">
        <f>IF((E10+F10+G10+H10+J10+K10+O10+P10+R10+S10+T10+U10+V10+W10+X10)&gt;0,0,'aq1_morgado'!AW55)</f>
        <v/>
      </c>
      <c r="AD10">
        <f>'gg_main'!AW22</f>
        <v/>
      </c>
      <c r="AE10">
        <f>'gg_main'!BS22</f>
        <v/>
      </c>
      <c r="AF10">
        <f>IF((E10+F10+G10+H10+J10+K10+O10+P10+R10+S10+T10+U10+V10+W10+X10)&gt;0,0,'aq2_qtaperu'!AA48)</f>
        <v/>
      </c>
      <c r="AG10">
        <f>IF((E10+F10+G10+H10+J10+K10+O10+P10+R10+S10+T10+U10+V10+W10+X10)&gt;0,0,'aq2_qtaperu'!AW48)</f>
        <v/>
      </c>
      <c r="AH10">
        <f>'dt3_tejo_se'!AA13</f>
        <v/>
      </c>
      <c r="AI10">
        <f>'dt3_tejo_se'!AW13</f>
        <v/>
      </c>
      <c r="AJ10">
        <f>'dt4_tejo_lisbon'!AA15</f>
        <v/>
      </c>
      <c r="AK10">
        <f>'pja_aroeira_masters'!AA14</f>
        <v/>
      </c>
      <c r="AL10">
        <f>'pja_aroeira_masters'!AW14</f>
        <v/>
      </c>
    </row>
    <row r="11">
      <c r="A11" s="7">
        <f>RANK(Z11,$Z$6:$Z$30)</f>
        <v/>
      </c>
      <c r="B11" t="inlineStr">
        <is>
          <t>Diogo Sequeira</t>
        </is>
      </c>
      <c r="C11" s="8" t="inlineStr">
        <is>
          <t>56654</t>
        </is>
      </c>
      <c r="D11" s="8" t="inlineStr">
        <is>
          <t>Sub 16</t>
        </is>
      </c>
      <c r="E11" s="8" t="n">
        <v>0</v>
      </c>
      <c r="F11" s="8">
        <f>'dt1_tejo_montado'!AB19</f>
        <v/>
      </c>
      <c r="G11" s="8" t="n">
        <v>0</v>
      </c>
      <c r="H11" s="8" t="n">
        <v>0</v>
      </c>
      <c r="I11" s="8">
        <f>IF((E11+F11+G11+H11+J11+K11+O11+P11+R11+S11+T11+U11+V11+W11+X11)&gt;0,0,'aq1_morgado'!AX62)</f>
        <v/>
      </c>
      <c r="J11" s="8" t="n">
        <v>0</v>
      </c>
      <c r="K11" s="8" t="n">
        <v>0</v>
      </c>
      <c r="L11" s="8">
        <f>'gg_main'!BT34</f>
        <v/>
      </c>
      <c r="M11" s="8" t="n">
        <v>0</v>
      </c>
      <c r="N11" s="8" t="n">
        <v>0</v>
      </c>
      <c r="O11" s="8" t="n">
        <v>0</v>
      </c>
      <c r="P11" s="8" t="n">
        <v>0</v>
      </c>
      <c r="Q11" s="8">
        <f>IF((E11+F11+G11+H11+J11+K11+O11+P11+R11+S11+T11+U11+V11+W11+X11)&gt;0,0,'aq2_qtaperu'!AX97)</f>
        <v/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>
        <f>'dt4_tejo_lisbon'!AB41</f>
        <v/>
      </c>
      <c r="X11" s="8" t="n">
        <v>0</v>
      </c>
      <c r="Y11" s="8" t="n">
        <v>0</v>
      </c>
      <c r="Z11" s="9">
        <f>IFERROR(LARGE(AA11:AH11,1),0)+IFERROR(LARGE(AA11:AH11,2),0)+IFERROR(LARGE(AA11:AH11,3),0)+IFERROR(LARGE(AA11:AH11,4),0)+IFERROR(LARGE(AA11:AH11,5),0)+IFERROR(LARGE(AA11:AH11,6),0)+IFERROR(LARGE(AA11:AH11,7),0)+IFERROR(LARGE(AA11:AH11,8),0)+IFERROR(LARGE(AA11:AH11,9),0)+IFERROR(LARGE(AA11:AH11,10),0)+IFERROR(LARGE(AA11:AH11,11),0)+IFERROR(LARGE(AA11:AH11,12),0)+IFERROR(LARGE(AA11:AH11,13),0)+IFERROR(LARGE(AA11:AH11,14),0)</f>
        <v/>
      </c>
      <c r="AA11">
        <f>'dt1_tejo_montado'!AA19</f>
        <v/>
      </c>
      <c r="AB11">
        <f>IF((E11+F11+G11+H11+J11+K11+O11+P11+R11+S11+T11+U11+V11+W11+X11)&gt;0,0,'aq1_morgado'!AA62)</f>
        <v/>
      </c>
      <c r="AC11">
        <f>IF((E11+F11+G11+H11+J11+K11+O11+P11+R11+S11+T11+U11+V11+W11+X11)&gt;0,0,'aq1_morgado'!AW62)</f>
        <v/>
      </c>
      <c r="AD11">
        <f>'gg_main'!AW34</f>
        <v/>
      </c>
      <c r="AE11">
        <f>'gg_main'!BS34</f>
        <v/>
      </c>
      <c r="AF11">
        <f>IF((E11+F11+G11+H11+J11+K11+O11+P11+R11+S11+T11+U11+V11+W11+X11)&gt;0,0,'aq2_qtaperu'!AA97)</f>
        <v/>
      </c>
      <c r="AG11">
        <f>IF((E11+F11+G11+H11+J11+K11+O11+P11+R11+S11+T11+U11+V11+W11+X11)&gt;0,0,'aq2_qtaperu'!AW97)</f>
        <v/>
      </c>
      <c r="AH11">
        <f>'dt4_tejo_lisbon'!AA41</f>
        <v/>
      </c>
    </row>
    <row r="12">
      <c r="A12" s="7">
        <f>RANK(Z12,$Z$6:$Z$30)</f>
        <v/>
      </c>
      <c r="B12" t="inlineStr">
        <is>
          <t>Angelina Gao</t>
        </is>
      </c>
      <c r="C12" s="8" t="inlineStr">
        <is>
          <t>51523</t>
        </is>
      </c>
      <c r="D12" s="8" t="inlineStr">
        <is>
          <t>Sub 16</t>
        </is>
      </c>
      <c r="E12" s="8" t="n">
        <v>0</v>
      </c>
      <c r="F12" s="8">
        <f>'dt1_tejo_montado'!AB20</f>
        <v/>
      </c>
      <c r="G12" s="8" t="n">
        <v>0</v>
      </c>
      <c r="H12" s="8" t="n">
        <v>0</v>
      </c>
      <c r="I12" s="8">
        <f>IF((E12+F12+G12+H12+J12+K12+O12+P12+R12+S12+T12+U12+V12+W12+X12)&gt;0,0,'aq1_morgado'!AX41)</f>
        <v/>
      </c>
      <c r="J12" s="8" t="n">
        <v>0</v>
      </c>
      <c r="K12" s="8" t="n">
        <v>0</v>
      </c>
      <c r="L12" s="8">
        <f>'gg_main'!BT23</f>
        <v/>
      </c>
      <c r="M12" s="8" t="n">
        <v>0</v>
      </c>
      <c r="N12" s="8" t="n">
        <v>0</v>
      </c>
      <c r="O12" s="8" t="n">
        <v>0</v>
      </c>
      <c r="P12" s="8" t="n">
        <v>0</v>
      </c>
      <c r="Q12" s="8">
        <f>IF((E12+F12+G12+H12+J12+K12+O12+P12+R12+S12+T12+U12+V12+W12+X12)&gt;0,0,'aq2_qtaperu'!AX54)</f>
        <v/>
      </c>
      <c r="R12" s="8" t="n">
        <v>0</v>
      </c>
      <c r="S12" s="8">
        <f>'dt3_tejo_se'!AX18</f>
        <v/>
      </c>
      <c r="T12" s="8" t="n">
        <v>0</v>
      </c>
      <c r="U12" s="8" t="n">
        <v>0</v>
      </c>
      <c r="V12" s="8" t="n">
        <v>0</v>
      </c>
      <c r="W12" s="8">
        <f>'dt4_tejo_lisbon'!AB22</f>
        <v/>
      </c>
      <c r="X12" s="8" t="n">
        <v>0</v>
      </c>
      <c r="Y12" s="8">
        <f>'pja_aroeira_masters'!AX29</f>
        <v/>
      </c>
      <c r="Z12" s="9">
        <f>IFERROR(LARGE(AA12:AL12,1),0)+IFERROR(LARGE(AA12:AL12,2),0)+IFERROR(LARGE(AA12:AL12,3),0)+IFERROR(LARGE(AA12:AL12,4),0)+IFERROR(LARGE(AA12:AL12,5),0)+IFERROR(LARGE(AA12:AL12,6),0)+IFERROR(LARGE(AA12:AL12,7),0)+IFERROR(LARGE(AA12:AL12,8),0)+IFERROR(LARGE(AA12:AL12,9),0)+IFERROR(LARGE(AA12:AL12,10),0)+IFERROR(LARGE(AA12:AL12,11),0)+IFERROR(LARGE(AA12:AL12,12),0)+IFERROR(LARGE(AA12:AL12,13),0)+IFERROR(LARGE(AA12:AL12,14),0)</f>
        <v/>
      </c>
      <c r="AA12">
        <f>'dt1_tejo_montado'!AA20</f>
        <v/>
      </c>
      <c r="AB12">
        <f>IF((E12+F12+G12+H12+J12+K12+O12+P12+R12+S12+T12+U12+V12+W12+X12)&gt;0,0,'aq1_morgado'!AA41)</f>
        <v/>
      </c>
      <c r="AC12">
        <f>IF((E12+F12+G12+H12+J12+K12+O12+P12+R12+S12+T12+U12+V12+W12+X12)&gt;0,0,'aq1_morgado'!AW41)</f>
        <v/>
      </c>
      <c r="AD12">
        <f>'gg_main'!AW23</f>
        <v/>
      </c>
      <c r="AE12">
        <f>'gg_main'!BS23</f>
        <v/>
      </c>
      <c r="AF12">
        <f>IF((E12+F12+G12+H12+J12+K12+O12+P12+R12+S12+T12+U12+V12+W12+X12)&gt;0,0,'aq2_qtaperu'!AA54)</f>
        <v/>
      </c>
      <c r="AG12">
        <f>IF((E12+F12+G12+H12+J12+K12+O12+P12+R12+S12+T12+U12+V12+W12+X12)&gt;0,0,'aq2_qtaperu'!AW54)</f>
        <v/>
      </c>
      <c r="AH12">
        <f>'dt3_tejo_se'!AA18</f>
        <v/>
      </c>
      <c r="AI12">
        <f>'dt3_tejo_se'!AW18</f>
        <v/>
      </c>
      <c r="AJ12">
        <f>'dt4_tejo_lisbon'!AA22</f>
        <v/>
      </c>
      <c r="AK12">
        <f>'pja_aroeira_masters'!AA29</f>
        <v/>
      </c>
      <c r="AL12">
        <f>'pja_aroeira_masters'!AW29</f>
        <v/>
      </c>
    </row>
    <row r="13">
      <c r="A13" s="7">
        <f>RANK(Z13,$Z$6:$Z$30)</f>
        <v/>
      </c>
      <c r="B13" t="inlineStr">
        <is>
          <t>William Gao</t>
        </is>
      </c>
      <c r="C13" s="8" t="inlineStr">
        <is>
          <t>51524</t>
        </is>
      </c>
      <c r="D13" s="8" t="inlineStr">
        <is>
          <t>Sub 14</t>
        </is>
      </c>
      <c r="E13" s="8" t="n">
        <v>0</v>
      </c>
      <c r="F13" s="8">
        <f>'dt1_tejo_montado'!AB21</f>
        <v/>
      </c>
      <c r="G13" s="8" t="n">
        <v>0</v>
      </c>
      <c r="H13" s="8" t="n">
        <v>0</v>
      </c>
      <c r="I13" s="8">
        <f>IF((E13+F13+G13+H13+J13+K13+O13+P13+R13+S13+T13+U13+V13+W13+X13)&gt;0,0,'aq1_morgado'!AX78)</f>
        <v/>
      </c>
      <c r="J13" s="8" t="n">
        <v>0</v>
      </c>
      <c r="K13" s="8" t="n">
        <v>0</v>
      </c>
      <c r="L13" s="8" t="n">
        <v>0</v>
      </c>
      <c r="M13" s="8">
        <f>'gg_u14'!AX18</f>
        <v/>
      </c>
      <c r="N13" s="8" t="n">
        <v>0</v>
      </c>
      <c r="O13" s="8" t="n">
        <v>0</v>
      </c>
      <c r="P13" s="8" t="n">
        <v>0</v>
      </c>
      <c r="Q13" s="8">
        <f>IF((E13+F13+G13+H13+J13+K13+O13+P13+R13+S13+T13+U13+V13+W13+X13)&gt;0,0,'aq2_qtaperu'!AX93)</f>
        <v/>
      </c>
      <c r="R13" s="8" t="n">
        <v>0</v>
      </c>
      <c r="S13" s="8">
        <f>'dt3_tejo_se'!AX23</f>
        <v/>
      </c>
      <c r="T13" s="8" t="n">
        <v>0</v>
      </c>
      <c r="U13" s="8" t="n">
        <v>0</v>
      </c>
      <c r="V13" s="8" t="n">
        <v>0</v>
      </c>
      <c r="W13" s="8">
        <f>'dt4_tejo_lisbon'!AB21</f>
        <v/>
      </c>
      <c r="X13" s="8" t="n">
        <v>0</v>
      </c>
      <c r="Y13" s="8">
        <f>'pja_aroeira_masters'!AX20</f>
        <v/>
      </c>
      <c r="Z13" s="9">
        <f>IFERROR(LARGE(AA13:AL13,1),0)+IFERROR(LARGE(AA13:AL13,2),0)+IFERROR(LARGE(AA13:AL13,3),0)+IFERROR(LARGE(AA13:AL13,4),0)+IFERROR(LARGE(AA13:AL13,5),0)+IFERROR(LARGE(AA13:AL13,6),0)+IFERROR(LARGE(AA13:AL13,7),0)+IFERROR(LARGE(AA13:AL13,8),0)+IFERROR(LARGE(AA13:AL13,9),0)+IFERROR(LARGE(AA13:AL13,10),0)+IFERROR(LARGE(AA13:AL13,11),0)+IFERROR(LARGE(AA13:AL13,12),0)+IFERROR(LARGE(AA13:AL13,13),0)+IFERROR(LARGE(AA13:AL13,14),0)</f>
        <v/>
      </c>
      <c r="AA13">
        <f>'dt1_tejo_montado'!AA21</f>
        <v/>
      </c>
      <c r="AB13">
        <f>IF((E13+F13+G13+H13+J13+K13+O13+P13+R13+S13+T13+U13+V13+W13+X13)&gt;0,0,'aq1_morgado'!AA78)</f>
        <v/>
      </c>
      <c r="AC13">
        <f>IF((E13+F13+G13+H13+J13+K13+O13+P13+R13+S13+T13+U13+V13+W13+X13)&gt;0,0,'aq1_morgado'!AW78)</f>
        <v/>
      </c>
      <c r="AD13">
        <f>'gg_u14'!AA18</f>
        <v/>
      </c>
      <c r="AE13">
        <f>'gg_u14'!AW18</f>
        <v/>
      </c>
      <c r="AF13">
        <f>IF((E13+F13+G13+H13+J13+K13+O13+P13+R13+S13+T13+U13+V13+W13+X13)&gt;0,0,'aq2_qtaperu'!AA93)</f>
        <v/>
      </c>
      <c r="AG13">
        <f>IF((E13+F13+G13+H13+J13+K13+O13+P13+R13+S13+T13+U13+V13+W13+X13)&gt;0,0,'aq2_qtaperu'!AW93)</f>
        <v/>
      </c>
      <c r="AH13">
        <f>'dt3_tejo_se'!AA23</f>
        <v/>
      </c>
      <c r="AI13">
        <f>'dt3_tejo_se'!AW23</f>
        <v/>
      </c>
      <c r="AJ13">
        <f>'dt4_tejo_lisbon'!AA21</f>
        <v/>
      </c>
      <c r="AK13">
        <f>'pja_aroeira_masters'!AA20</f>
        <v/>
      </c>
      <c r="AL13">
        <f>'pja_aroeira_masters'!AW20</f>
        <v/>
      </c>
    </row>
    <row r="14">
      <c r="A14" s="7">
        <f>RANK(Z14,$Z$6:$Z$30)</f>
        <v/>
      </c>
      <c r="B14" t="inlineStr">
        <is>
          <t>Madalena Figueiredo</t>
        </is>
      </c>
      <c r="C14" s="8" t="inlineStr">
        <is>
          <t>52011</t>
        </is>
      </c>
      <c r="D14" s="8" t="inlineStr">
        <is>
          <t>Sub 16</t>
        </is>
      </c>
      <c r="E14" s="8" t="n">
        <v>0</v>
      </c>
      <c r="F14" s="8">
        <f>'dt1_tejo_montado'!AB23</f>
        <v/>
      </c>
      <c r="G14" s="8" t="n">
        <v>0</v>
      </c>
      <c r="H14" s="8" t="n">
        <v>0</v>
      </c>
      <c r="I14" s="8">
        <f>IF((E14+F14+G14+H14+J14+K14+O14+P14+R14+S14+T14+U14+V14+W14+X14)&gt;0,0,'aq1_morgado'!AX83)</f>
        <v/>
      </c>
      <c r="J14" s="8" t="n">
        <v>0</v>
      </c>
      <c r="K14" s="8" t="n">
        <v>0</v>
      </c>
      <c r="L14" s="8">
        <f>'gg_main'!BT36</f>
        <v/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>
        <f>'dt3_tejo_se'!AX27</f>
        <v/>
      </c>
      <c r="T14" s="8" t="n">
        <v>0</v>
      </c>
      <c r="U14" s="8" t="n">
        <v>0</v>
      </c>
      <c r="V14" s="8" t="n">
        <v>0</v>
      </c>
      <c r="W14" s="8">
        <f>'dt4_tejo_lisbon'!AB34</f>
        <v/>
      </c>
      <c r="X14" s="8" t="n">
        <v>0</v>
      </c>
      <c r="Y14" s="8">
        <f>'pja_aroeira_masters'!AX19</f>
        <v/>
      </c>
      <c r="Z14" s="9">
        <f>IFERROR(LARGE(AA14:AJ14,1),0)+IFERROR(LARGE(AA14:AJ14,2),0)+IFERROR(LARGE(AA14:AJ14,3),0)+IFERROR(LARGE(AA14:AJ14,4),0)+IFERROR(LARGE(AA14:AJ14,5),0)+IFERROR(LARGE(AA14:AJ14,6),0)+IFERROR(LARGE(AA14:AJ14,7),0)+IFERROR(LARGE(AA14:AJ14,8),0)+IFERROR(LARGE(AA14:AJ14,9),0)+IFERROR(LARGE(AA14:AJ14,10),0)+IFERROR(LARGE(AA14:AJ14,11),0)+IFERROR(LARGE(AA14:AJ14,12),0)+IFERROR(LARGE(AA14:AJ14,13),0)+IFERROR(LARGE(AA14:AJ14,14),0)</f>
        <v/>
      </c>
      <c r="AA14">
        <f>'dt1_tejo_montado'!AA23</f>
        <v/>
      </c>
      <c r="AB14">
        <f>IF((E14+F14+G14+H14+J14+K14+O14+P14+R14+S14+T14+U14+V14+W14+X14)&gt;0,0,'aq1_morgado'!AA83)</f>
        <v/>
      </c>
      <c r="AC14">
        <f>IF((E14+F14+G14+H14+J14+K14+O14+P14+R14+S14+T14+U14+V14+W14+X14)&gt;0,0,'aq1_morgado'!AW83)</f>
        <v/>
      </c>
      <c r="AD14">
        <f>'gg_main'!AW36</f>
        <v/>
      </c>
      <c r="AE14">
        <f>'gg_main'!BS36</f>
        <v/>
      </c>
      <c r="AF14">
        <f>'dt3_tejo_se'!AA27</f>
        <v/>
      </c>
      <c r="AG14">
        <f>'dt3_tejo_se'!AW27</f>
        <v/>
      </c>
      <c r="AH14">
        <f>'dt4_tejo_lisbon'!AA34</f>
        <v/>
      </c>
      <c r="AI14">
        <f>'pja_aroeira_masters'!AA19</f>
        <v/>
      </c>
      <c r="AJ14">
        <f>'pja_aroeira_masters'!AW19</f>
        <v/>
      </c>
    </row>
    <row r="15">
      <c r="A15" s="7">
        <f>RANK(Z15,$Z$6:$Z$30)</f>
        <v/>
      </c>
      <c r="B15" t="inlineStr">
        <is>
          <t>Martim Sousa de Morais</t>
        </is>
      </c>
      <c r="C15" s="8" t="inlineStr">
        <is>
          <t>41609</t>
        </is>
      </c>
      <c r="D15" s="8" t="inlineStr">
        <is>
          <t>Sub 23</t>
        </is>
      </c>
      <c r="E15" s="8" t="n">
        <v>0</v>
      </c>
      <c r="F15" s="8">
        <f>'dt1_tejo_montado'!AB25</f>
        <v/>
      </c>
      <c r="G15" s="8" t="n">
        <v>0</v>
      </c>
      <c r="H15" s="8" t="n">
        <v>0</v>
      </c>
      <c r="I15" s="8">
        <f>IF((E15+F15+G15+H15+J15+K15+O15+P15+R15+S15+T15+U15+V15+W15+X15)&gt;0,0,'aq1_morgado'!AX56)</f>
        <v/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>
        <f>IF((E15+F15+G15+H15+J15+K15+O15+P15+R15+S15+T15+U15+V15+W15+X15)&gt;0,0,'aq2_qtaperu'!AX25)</f>
        <v/>
      </c>
      <c r="R15" s="8" t="n">
        <v>0</v>
      </c>
      <c r="S15" s="8">
        <f>'dt3_tejo_se'!AX21</f>
        <v/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9">
        <f>IFERROR(LARGE(AA15:AG15,1),0)+IFERROR(LARGE(AA15:AG15,2),0)+IFERROR(LARGE(AA15:AG15,3),0)+IFERROR(LARGE(AA15:AG15,4),0)+IFERROR(LARGE(AA15:AG15,5),0)+IFERROR(LARGE(AA15:AG15,6),0)+IFERROR(LARGE(AA15:AG15,7),0)+IFERROR(LARGE(AA15:AG15,8),0)+IFERROR(LARGE(AA15:AG15,9),0)+IFERROR(LARGE(AA15:AG15,10),0)+IFERROR(LARGE(AA15:AG15,11),0)+IFERROR(LARGE(AA15:AG15,12),0)+IFERROR(LARGE(AA15:AG15,13),0)+IFERROR(LARGE(AA15:AG15,14),0)</f>
        <v/>
      </c>
      <c r="AA15">
        <f>'dt1_tejo_montado'!AA25</f>
        <v/>
      </c>
      <c r="AB15">
        <f>IF((E15+F15+G15+H15+J15+K15+O15+P15+R15+S15+T15+U15+V15+W15+X15)&gt;0,0,'aq1_morgado'!AA56)</f>
        <v/>
      </c>
      <c r="AC15">
        <f>IF((E15+F15+G15+H15+J15+K15+O15+P15+R15+S15+T15+U15+V15+W15+X15)&gt;0,0,'aq1_morgado'!AW56)</f>
        <v/>
      </c>
      <c r="AD15">
        <f>IF((E15+F15+G15+H15+J15+K15+O15+P15+R15+S15+T15+U15+V15+W15+X15)&gt;0,0,'aq2_qtaperu'!AA25)</f>
        <v/>
      </c>
      <c r="AE15">
        <f>IF((E15+F15+G15+H15+J15+K15+O15+P15+R15+S15+T15+U15+V15+W15+X15)&gt;0,0,'aq2_qtaperu'!AW25)</f>
        <v/>
      </c>
      <c r="AF15">
        <f>'dt3_tejo_se'!AA21</f>
        <v/>
      </c>
      <c r="AG15">
        <f>'dt3_tejo_se'!AW21</f>
        <v/>
      </c>
    </row>
    <row r="16">
      <c r="A16" s="7">
        <f>RANK(Z16,$Z$6:$Z$30)</f>
        <v/>
      </c>
      <c r="B16" t="inlineStr">
        <is>
          <t>Clara Trindade</t>
        </is>
      </c>
      <c r="C16" s="8" t="inlineStr">
        <is>
          <t>45812</t>
        </is>
      </c>
      <c r="D16" s="8" t="inlineStr">
        <is>
          <t>Sub 16</t>
        </is>
      </c>
      <c r="E16" s="8" t="n">
        <v>0</v>
      </c>
      <c r="F16" s="8">
        <f>'dt1_tejo_montado'!AB27</f>
        <v/>
      </c>
      <c r="G16" s="8" t="n">
        <v>0</v>
      </c>
      <c r="H16" s="8" t="n">
        <v>0</v>
      </c>
      <c r="I16" s="8">
        <f>IF((E16+F16+G16+H16+J16+K16+O16+P16+R16+S16+T16+U16+V16+W16+X16)&gt;0,0,'aq1_morgado'!AX87)</f>
        <v/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>
        <f>IF((E16+F16+G16+H16+J16+K16+O16+P16+R16+S16+T16+U16+V16+W16+X16)&gt;0,0,'aq2_qtaperu'!AX85)</f>
        <v/>
      </c>
      <c r="R16" s="8" t="n">
        <v>0</v>
      </c>
      <c r="S16" s="8">
        <f>'dt3_tejo_se'!AX25</f>
        <v/>
      </c>
      <c r="T16" s="8" t="n">
        <v>0</v>
      </c>
      <c r="U16" s="8" t="n">
        <v>0</v>
      </c>
      <c r="V16" s="8" t="n">
        <v>0</v>
      </c>
      <c r="W16" s="8">
        <f>'dt4_tejo_lisbon'!AB37</f>
        <v/>
      </c>
      <c r="X16" s="8" t="n">
        <v>0</v>
      </c>
      <c r="Y16" s="8" t="n">
        <v>0</v>
      </c>
      <c r="Z16" s="9">
        <f>IFERROR(LARGE(AA16:AH16,1),0)+IFERROR(LARGE(AA16:AH16,2),0)+IFERROR(LARGE(AA16:AH16,3),0)+IFERROR(LARGE(AA16:AH16,4),0)+IFERROR(LARGE(AA16:AH16,5),0)+IFERROR(LARGE(AA16:AH16,6),0)+IFERROR(LARGE(AA16:AH16,7),0)+IFERROR(LARGE(AA16:AH16,8),0)+IFERROR(LARGE(AA16:AH16,9),0)+IFERROR(LARGE(AA16:AH16,10),0)+IFERROR(LARGE(AA16:AH16,11),0)+IFERROR(LARGE(AA16:AH16,12),0)+IFERROR(LARGE(AA16:AH16,13),0)+IFERROR(LARGE(AA16:AH16,14),0)</f>
        <v/>
      </c>
      <c r="AA16">
        <f>'dt1_tejo_montado'!AA27</f>
        <v/>
      </c>
      <c r="AB16">
        <f>IF((E16+F16+G16+H16+J16+K16+O16+P16+R16+S16+T16+U16+V16+W16+X16)&gt;0,0,'aq1_morgado'!AA87)</f>
        <v/>
      </c>
      <c r="AC16">
        <f>IF((E16+F16+G16+H16+J16+K16+O16+P16+R16+S16+T16+U16+V16+W16+X16)&gt;0,0,'aq1_morgado'!AW87)</f>
        <v/>
      </c>
      <c r="AD16">
        <f>IF((E16+F16+G16+H16+J16+K16+O16+P16+R16+S16+T16+U16+V16+W16+X16)&gt;0,0,'aq2_qtaperu'!AA85)</f>
        <v/>
      </c>
      <c r="AE16">
        <f>IF((E16+F16+G16+H16+J16+K16+O16+P16+R16+S16+T16+U16+V16+W16+X16)&gt;0,0,'aq2_qtaperu'!AW85)</f>
        <v/>
      </c>
      <c r="AF16">
        <f>'dt3_tejo_se'!AA25</f>
        <v/>
      </c>
      <c r="AG16">
        <f>'dt3_tejo_se'!AW25</f>
        <v/>
      </c>
      <c r="AH16">
        <f>'dt4_tejo_lisbon'!AA37</f>
        <v/>
      </c>
    </row>
    <row r="17">
      <c r="A17" s="7">
        <f>RANK(Z17,$Z$6:$Z$30)</f>
        <v/>
      </c>
      <c r="B17" t="inlineStr">
        <is>
          <t>Rafael Gonçales Benesi</t>
        </is>
      </c>
      <c r="C17" s="8" t="inlineStr">
        <is>
          <t>54774</t>
        </is>
      </c>
      <c r="D17" s="8" t="inlineStr">
        <is>
          <t>Sub 16</t>
        </is>
      </c>
      <c r="E17" s="8" t="n">
        <v>0</v>
      </c>
      <c r="F17" s="8">
        <f>'dt1_tejo_montado'!AB29</f>
        <v/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>
        <f>IF((E17+F17+G17+H17+J17+K17+O17+P17+R17+S17+T17+U17+V17+W17+X17)&gt;0,0,'aq2_qtaperu'!AX92)</f>
        <v/>
      </c>
      <c r="R17" s="8" t="n">
        <v>0</v>
      </c>
      <c r="S17" s="8">
        <f>'dt3_tejo_se'!AX20</f>
        <v/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>
        <f>'pja_aroeira_masters'!AX26</f>
        <v/>
      </c>
      <c r="Z17" s="9">
        <f>IFERROR(LARGE(AA17:AG17,1),0)+IFERROR(LARGE(AA17:AG17,2),0)+IFERROR(LARGE(AA17:AG17,3),0)+IFERROR(LARGE(AA17:AG17,4),0)+IFERROR(LARGE(AA17:AG17,5),0)+IFERROR(LARGE(AA17:AG17,6),0)+IFERROR(LARGE(AA17:AG17,7),0)+IFERROR(LARGE(AA17:AG17,8),0)+IFERROR(LARGE(AA17:AG17,9),0)+IFERROR(LARGE(AA17:AG17,10),0)+IFERROR(LARGE(AA17:AG17,11),0)+IFERROR(LARGE(AA17:AG17,12),0)+IFERROR(LARGE(AA17:AG17,13),0)+IFERROR(LARGE(AA17:AG17,14),0)</f>
        <v/>
      </c>
      <c r="AA17">
        <f>'dt1_tejo_montado'!AA29</f>
        <v/>
      </c>
      <c r="AB17">
        <f>IF((E17+F17+G17+H17+J17+K17+O17+P17+R17+S17+T17+U17+V17+W17+X17)&gt;0,0,'aq2_qtaperu'!AA92)</f>
        <v/>
      </c>
      <c r="AC17">
        <f>IF((E17+F17+G17+H17+J17+K17+O17+P17+R17+S17+T17+U17+V17+W17+X17)&gt;0,0,'aq2_qtaperu'!AW92)</f>
        <v/>
      </c>
      <c r="AD17">
        <f>'dt3_tejo_se'!AA20</f>
        <v/>
      </c>
      <c r="AE17">
        <f>'dt3_tejo_se'!AW20</f>
        <v/>
      </c>
      <c r="AF17">
        <f>'pja_aroeira_masters'!AA26</f>
        <v/>
      </c>
      <c r="AG17">
        <f>'pja_aroeira_masters'!AW26</f>
        <v/>
      </c>
    </row>
    <row r="18">
      <c r="A18" s="7">
        <f>RANK(Z18,$Z$6:$Z$30)</f>
        <v/>
      </c>
      <c r="B18" t="inlineStr">
        <is>
          <t>Ryan Dantas</t>
        </is>
      </c>
      <c r="C18" s="8" t="inlineStr">
        <is>
          <t>45439</t>
        </is>
      </c>
      <c r="D18" s="8" t="inlineStr">
        <is>
          <t>Sub 16</t>
        </is>
      </c>
      <c r="E18" s="8" t="n">
        <v>0</v>
      </c>
      <c r="F18" s="8">
        <f>'dt1_tejo_montado'!AB37</f>
        <v/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>
        <f>'gg_main'!BT27</f>
        <v/>
      </c>
      <c r="M18" s="8" t="n">
        <v>0</v>
      </c>
      <c r="N18" s="8" t="n">
        <v>0</v>
      </c>
      <c r="O18" s="8" t="n">
        <v>0</v>
      </c>
      <c r="P18" s="8" t="n">
        <v>0</v>
      </c>
      <c r="Q18" s="8">
        <f>IF((E18+F18+G18+H18+J18+K18+O18+P18+R18+S18+T18+U18+V18+W18+X18)&gt;0,0,'aq2_qtaperu'!AX79)</f>
        <v/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>
        <f>'pja_aroeira_masters'!AX28</f>
        <v/>
      </c>
      <c r="Z18" s="9">
        <f>IFERROR(LARGE(AA18:AG18,1),0)+IFERROR(LARGE(AA18:AG18,2),0)+IFERROR(LARGE(AA18:AG18,3),0)+IFERROR(LARGE(AA18:AG18,4),0)+IFERROR(LARGE(AA18:AG18,5),0)+IFERROR(LARGE(AA18:AG18,6),0)+IFERROR(LARGE(AA18:AG18,7),0)+IFERROR(LARGE(AA18:AG18,8),0)+IFERROR(LARGE(AA18:AG18,9),0)+IFERROR(LARGE(AA18:AG18,10),0)+IFERROR(LARGE(AA18:AG18,11),0)+IFERROR(LARGE(AA18:AG18,12),0)+IFERROR(LARGE(AA18:AG18,13),0)+IFERROR(LARGE(AA18:AG18,14),0)</f>
        <v/>
      </c>
      <c r="AA18">
        <f>'dt1_tejo_montado'!AA37</f>
        <v/>
      </c>
      <c r="AB18">
        <f>'gg_main'!AW27</f>
        <v/>
      </c>
      <c r="AC18">
        <f>'gg_main'!BS27</f>
        <v/>
      </c>
      <c r="AD18">
        <f>IF((E18+F18+G18+H18+J18+K18+O18+P18+R18+S18+T18+U18+V18+W18+X18)&gt;0,0,'aq2_qtaperu'!AA79)</f>
        <v/>
      </c>
      <c r="AE18">
        <f>IF((E18+F18+G18+H18+J18+K18+O18+P18+R18+S18+T18+U18+V18+W18+X18)&gt;0,0,'aq2_qtaperu'!AW79)</f>
        <v/>
      </c>
      <c r="AF18">
        <f>'pja_aroeira_masters'!AA28</f>
        <v/>
      </c>
      <c r="AG18">
        <f>'pja_aroeira_masters'!AW28</f>
        <v/>
      </c>
    </row>
    <row r="19">
      <c r="A19" s="7">
        <f>RANK(Z19,$Z$6:$Z$30)</f>
        <v/>
      </c>
      <c r="B19" t="inlineStr">
        <is>
          <t>Santiago Dias</t>
        </is>
      </c>
      <c r="C19" s="8" t="inlineStr">
        <is>
          <t>42908</t>
        </is>
      </c>
      <c r="D19" s="8" t="inlineStr">
        <is>
          <t>Sub 14</t>
        </is>
      </c>
      <c r="E19" s="8" t="n">
        <v>0</v>
      </c>
      <c r="F19" s="8" t="n">
        <v>0</v>
      </c>
      <c r="G19" s="8">
        <f>'dt1_norte_estela'!AB14</f>
        <v/>
      </c>
      <c r="H19" s="8" t="n">
        <v>0</v>
      </c>
      <c r="I19" s="8">
        <f>IF((E19+F19+G19+H19+J19+K19+O19+P19+R19+S19+T19+U19+V19+W19+X19)&gt;0,0,'aq1_morgado'!AX48)</f>
        <v/>
      </c>
      <c r="J19" s="8" t="n">
        <v>0</v>
      </c>
      <c r="K19" s="8" t="n">
        <v>0</v>
      </c>
      <c r="L19" s="8">
        <f>'gg_main'!BT18</f>
        <v/>
      </c>
      <c r="M19" s="8" t="n">
        <v>0</v>
      </c>
      <c r="N19" s="8" t="n">
        <v>0</v>
      </c>
      <c r="O19" s="8">
        <f>'dt3_norte_valepisao'!AX13</f>
        <v/>
      </c>
      <c r="P19" s="8" t="n">
        <v>0</v>
      </c>
      <c r="Q19" s="8">
        <f>IF((E19+F19+G19+H19+J19+K19+O19+P19+R19+S19+T19+U19+V19+W19+X19)&gt;0,0,'aq2_qtaperu'!AX21)</f>
        <v/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9">
        <f>IFERROR(LARGE(AA19:AI19,1),0)+IFERROR(LARGE(AA19:AI19,2),0)+IFERROR(LARGE(AA19:AI19,3),0)+IFERROR(LARGE(AA19:AI19,4),0)+IFERROR(LARGE(AA19:AI19,5),0)+IFERROR(LARGE(AA19:AI19,6),0)+IFERROR(LARGE(AA19:AI19,7),0)+IFERROR(LARGE(AA19:AI19,8),0)+IFERROR(LARGE(AA19:AI19,9),0)+IFERROR(LARGE(AA19:AI19,10),0)+IFERROR(LARGE(AA19:AI19,11),0)+IFERROR(LARGE(AA19:AI19,12),0)+IFERROR(LARGE(AA19:AI19,13),0)+IFERROR(LARGE(AA19:AI19,14),0)</f>
        <v/>
      </c>
      <c r="AA19">
        <f>'dt1_norte_estela'!AA14</f>
        <v/>
      </c>
      <c r="AB19">
        <f>IF((E19+F19+G19+H19+J19+K19+O19+P19+R19+S19+T19+U19+V19+W19+X19)&gt;0,0,'aq1_morgado'!AA48)</f>
        <v/>
      </c>
      <c r="AC19">
        <f>IF((E19+F19+G19+H19+J19+K19+O19+P19+R19+S19+T19+U19+V19+W19+X19)&gt;0,0,'aq1_morgado'!AW48)</f>
        <v/>
      </c>
      <c r="AD19">
        <f>'gg_main'!AW18</f>
        <v/>
      </c>
      <c r="AE19">
        <f>'gg_main'!BS18</f>
        <v/>
      </c>
      <c r="AF19">
        <f>'dt3_norte_valepisao'!AA13</f>
        <v/>
      </c>
      <c r="AG19">
        <f>'dt3_norte_valepisao'!AW13</f>
        <v/>
      </c>
      <c r="AH19">
        <f>IF((E19+F19+G19+H19+J19+K19+O19+P19+R19+S19+T19+U19+V19+W19+X19)&gt;0,0,'aq2_qtaperu'!AA21)</f>
        <v/>
      </c>
      <c r="AI19">
        <f>IF((E19+F19+G19+H19+J19+K19+O19+P19+R19+S19+T19+U19+V19+W19+X19)&gt;0,0,'aq2_qtaperu'!AW21)</f>
        <v/>
      </c>
    </row>
    <row r="20">
      <c r="A20" s="7">
        <f>RANK(Z20,$Z$6:$Z$30)</f>
        <v/>
      </c>
      <c r="B20" t="inlineStr">
        <is>
          <t>Rodrigo Sousa Correia</t>
        </is>
      </c>
      <c r="C20" s="8" t="inlineStr">
        <is>
          <t>44934</t>
        </is>
      </c>
      <c r="D20" s="8" t="inlineStr">
        <is>
          <t>Sub 16</t>
        </is>
      </c>
      <c r="E20" s="8" t="n">
        <v>0</v>
      </c>
      <c r="F20" s="8" t="n">
        <v>0</v>
      </c>
      <c r="G20" s="8" t="n">
        <v>0</v>
      </c>
      <c r="H20" s="8">
        <f>'dt1_sul_laguna'!AB13</f>
        <v/>
      </c>
      <c r="I20" s="8">
        <f>IF((E20+F20+G20+H20+J20+K20+O20+P20+R20+S20+T20+U20+V20+W20+X20)&gt;0,0,'aq1_morgado'!AX30)</f>
        <v/>
      </c>
      <c r="J20" s="8" t="n">
        <v>0</v>
      </c>
      <c r="K20" s="8" t="n">
        <v>0</v>
      </c>
      <c r="L20" s="8">
        <f>'gg_main'!BT24</f>
        <v/>
      </c>
      <c r="M20" s="8" t="n">
        <v>0</v>
      </c>
      <c r="N20" s="8" t="n">
        <v>0</v>
      </c>
      <c r="O20" s="8" t="n">
        <v>0</v>
      </c>
      <c r="P20" s="8" t="n">
        <v>0</v>
      </c>
      <c r="Q20" s="8">
        <f>IF((E20+F20+G20+H20+J20+K20+O20+P20+R20+S20+T20+U20+V20+W20+X20)&gt;0,0,'aq2_qtaperu'!AX51)</f>
        <v/>
      </c>
      <c r="R20" s="8" t="n">
        <v>0</v>
      </c>
      <c r="S20" s="8" t="n">
        <v>0</v>
      </c>
      <c r="T20" s="8">
        <f>'dt3_sul_qvale'!AB14</f>
        <v/>
      </c>
      <c r="U20" s="8" t="n">
        <v>0</v>
      </c>
      <c r="V20" s="8" t="n">
        <v>0</v>
      </c>
      <c r="W20" s="8" t="n">
        <v>0</v>
      </c>
      <c r="X20" s="8" t="n">
        <v>0</v>
      </c>
      <c r="Y20" s="8">
        <f>'pja_aroeira_masters'!AX22</f>
        <v/>
      </c>
      <c r="Z20" s="9">
        <f>IFERROR(LARGE(AA20:AJ20,1),0)+IFERROR(LARGE(AA20:AJ20,2),0)+IFERROR(LARGE(AA20:AJ20,3),0)+IFERROR(LARGE(AA20:AJ20,4),0)+IFERROR(LARGE(AA20:AJ20,5),0)+IFERROR(LARGE(AA20:AJ20,6),0)+IFERROR(LARGE(AA20:AJ20,7),0)+IFERROR(LARGE(AA20:AJ20,8),0)+IFERROR(LARGE(AA20:AJ20,9),0)+IFERROR(LARGE(AA20:AJ20,10),0)+IFERROR(LARGE(AA20:AJ20,11),0)+IFERROR(LARGE(AA20:AJ20,12),0)+IFERROR(LARGE(AA20:AJ20,13),0)+IFERROR(LARGE(AA20:AJ20,14),0)</f>
        <v/>
      </c>
      <c r="AA20">
        <f>'dt1_sul_laguna'!AA13</f>
        <v/>
      </c>
      <c r="AB20">
        <f>IF((E20+F20+G20+H20+J20+K20+O20+P20+R20+S20+T20+U20+V20+W20+X20)&gt;0,0,'aq1_morgado'!AA30)</f>
        <v/>
      </c>
      <c r="AC20">
        <f>IF((E20+F20+G20+H20+J20+K20+O20+P20+R20+S20+T20+U20+V20+W20+X20)&gt;0,0,'aq1_morgado'!AW30)</f>
        <v/>
      </c>
      <c r="AD20">
        <f>'gg_main'!AW24</f>
        <v/>
      </c>
      <c r="AE20">
        <f>'gg_main'!BS24</f>
        <v/>
      </c>
      <c r="AF20">
        <f>IF((E20+F20+G20+H20+J20+K20+O20+P20+R20+S20+T20+U20+V20+W20+X20)&gt;0,0,'aq2_qtaperu'!AA51)</f>
        <v/>
      </c>
      <c r="AG20">
        <f>IF((E20+F20+G20+H20+J20+K20+O20+P20+R20+S20+T20+U20+V20+W20+X20)&gt;0,0,'aq2_qtaperu'!AW51)</f>
        <v/>
      </c>
      <c r="AH20">
        <f>'dt3_sul_qvale'!AA14</f>
        <v/>
      </c>
      <c r="AI20">
        <f>'pja_aroeira_masters'!AA22</f>
        <v/>
      </c>
      <c r="AJ20">
        <f>'pja_aroeira_masters'!AW22</f>
        <v/>
      </c>
    </row>
    <row r="21">
      <c r="A21" s="7">
        <f>RANK(Z21,$Z$6:$Z$30)</f>
        <v/>
      </c>
      <c r="B21" t="inlineStr">
        <is>
          <t>Sabrina Ribeiro Crisóstomo</t>
        </is>
      </c>
      <c r="C21" s="8" t="inlineStr">
        <is>
          <t>48971</t>
        </is>
      </c>
      <c r="D21" s="8" t="inlineStr">
        <is>
          <t>Sub 12</t>
        </is>
      </c>
      <c r="E21" s="8" t="n">
        <v>0</v>
      </c>
      <c r="F21" s="8" t="n">
        <v>0</v>
      </c>
      <c r="G21" s="8" t="n">
        <v>0</v>
      </c>
      <c r="H21" s="8">
        <f>'dt1_sul_laguna'!AB22</f>
        <v/>
      </c>
      <c r="I21" s="8">
        <f>IF((E21+F21+G21+H21+J21+K21+O21+P21+R21+S21+T21+U21+V21+W21+X21)&gt;0,0,'aq1_morgado'!AX88)</f>
        <v/>
      </c>
      <c r="J21" s="8">
        <f>'dt2_sul_vilasol'!AB26</f>
        <v/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>
        <f>IF((E21+F21+G21+H21+J21+K21+O21+P21+R21+S21+T21+U21+V21+W21+X21)&gt;0,0,'aq2_qtaperu'!AX57)</f>
        <v/>
      </c>
      <c r="R21" s="8" t="n">
        <v>0</v>
      </c>
      <c r="S21" s="8" t="n">
        <v>0</v>
      </c>
      <c r="T21" s="8">
        <f>'dt3_sul_qvale'!AB20</f>
        <v/>
      </c>
      <c r="U21" s="8" t="n">
        <v>0</v>
      </c>
      <c r="V21" s="8" t="n">
        <v>0</v>
      </c>
      <c r="W21" s="8" t="n">
        <v>0</v>
      </c>
      <c r="X21" s="8" t="n">
        <v>0</v>
      </c>
      <c r="Y21" s="8">
        <f>'pja_aroeira_masters'!AX27</f>
        <v/>
      </c>
      <c r="Z21" s="9">
        <f>IFERROR(LARGE(AA21:AI21,1),0)+IFERROR(LARGE(AA21:AI21,2),0)+IFERROR(LARGE(AA21:AI21,3),0)+IFERROR(LARGE(AA21:AI21,4),0)+IFERROR(LARGE(AA21:AI21,5),0)+IFERROR(LARGE(AA21:AI21,6),0)+IFERROR(LARGE(AA21:AI21,7),0)+IFERROR(LARGE(AA21:AI21,8),0)+IFERROR(LARGE(AA21:AI21,9),0)+IFERROR(LARGE(AA21:AI21,10),0)+IFERROR(LARGE(AA21:AI21,11),0)+IFERROR(LARGE(AA21:AI21,12),0)+IFERROR(LARGE(AA21:AI21,13),0)+IFERROR(LARGE(AA21:AI21,14),0)</f>
        <v/>
      </c>
      <c r="AA21">
        <f>'dt1_sul_laguna'!AA22</f>
        <v/>
      </c>
      <c r="AB21">
        <f>IF((E21+F21+G21+H21+J21+K21+O21+P21+R21+S21+T21+U21+V21+W21+X21)&gt;0,0,'aq1_morgado'!AA88)</f>
        <v/>
      </c>
      <c r="AC21">
        <f>IF((E21+F21+G21+H21+J21+K21+O21+P21+R21+S21+T21+U21+V21+W21+X21)&gt;0,0,'aq1_morgado'!AW88)</f>
        <v/>
      </c>
      <c r="AD21">
        <f>'dt2_sul_vilasol'!AA26</f>
        <v/>
      </c>
      <c r="AE21">
        <f>IF((E21+F21+G21+H21+J21+K21+O21+P21+R21+S21+T21+U21+V21+W21+X21)&gt;0,0,'aq2_qtaperu'!AA57)</f>
        <v/>
      </c>
      <c r="AF21">
        <f>IF((E21+F21+G21+H21+J21+K21+O21+P21+R21+S21+T21+U21+V21+W21+X21)&gt;0,0,'aq2_qtaperu'!AW57)</f>
        <v/>
      </c>
      <c r="AG21">
        <f>'dt3_sul_qvale'!AA20</f>
        <v/>
      </c>
      <c r="AH21">
        <f>'pja_aroeira_masters'!AA27</f>
        <v/>
      </c>
      <c r="AI21">
        <f>'pja_aroeira_masters'!AW27</f>
        <v/>
      </c>
    </row>
    <row r="22">
      <c r="A22" s="7">
        <f>RANK(Z22,$Z$6:$Z$30)</f>
        <v/>
      </c>
      <c r="B22" t="inlineStr">
        <is>
          <t>Tomás Lima Pinto</t>
        </is>
      </c>
      <c r="C22" s="8" t="inlineStr">
        <is>
          <t>46037</t>
        </is>
      </c>
      <c r="D22" s="8" t="inlineStr">
        <is>
          <t>Sub 14</t>
        </is>
      </c>
      <c r="E22" s="8" t="n">
        <v>0</v>
      </c>
      <c r="F22" s="8" t="n">
        <v>0</v>
      </c>
      <c r="G22" s="8" t="n">
        <v>0</v>
      </c>
      <c r="H22" s="8">
        <f>'dt1_sul_laguna'!AB25</f>
        <v/>
      </c>
      <c r="I22" s="8" t="n">
        <v>0</v>
      </c>
      <c r="J22" s="8" t="n">
        <v>0</v>
      </c>
      <c r="K22" s="8" t="n">
        <v>0</v>
      </c>
      <c r="L22" s="8" t="n">
        <v>0</v>
      </c>
      <c r="M22" s="8">
        <f>'gg_u14'!AX15</f>
        <v/>
      </c>
      <c r="N22" s="8" t="n">
        <v>0</v>
      </c>
      <c r="O22" s="8" t="n">
        <v>0</v>
      </c>
      <c r="P22" s="8" t="n">
        <v>0</v>
      </c>
      <c r="Q22" s="8">
        <f>IF((E22+F22+G22+H22+J22+K22+O22+P22+R22+S22+T22+U22+V22+W22+X22)&gt;0,0,'aq2_qtaperu'!AX81)</f>
        <v/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>
        <f>'pja_aroeira_masters'!AX24</f>
        <v/>
      </c>
      <c r="Z22" s="9">
        <f>IFERROR(LARGE(AA22:AG22,1),0)+IFERROR(LARGE(AA22:AG22,2),0)+IFERROR(LARGE(AA22:AG22,3),0)+IFERROR(LARGE(AA22:AG22,4),0)+IFERROR(LARGE(AA22:AG22,5),0)+IFERROR(LARGE(AA22:AG22,6),0)+IFERROR(LARGE(AA22:AG22,7),0)+IFERROR(LARGE(AA22:AG22,8),0)+IFERROR(LARGE(AA22:AG22,9),0)+IFERROR(LARGE(AA22:AG22,10),0)+IFERROR(LARGE(AA22:AG22,11),0)+IFERROR(LARGE(AA22:AG22,12),0)+IFERROR(LARGE(AA22:AG22,13),0)+IFERROR(LARGE(AA22:AG22,14),0)</f>
        <v/>
      </c>
      <c r="AA22">
        <f>'dt1_sul_laguna'!AA25</f>
        <v/>
      </c>
      <c r="AB22">
        <f>'gg_u14'!AA15</f>
        <v/>
      </c>
      <c r="AC22">
        <f>'gg_u14'!AW15</f>
        <v/>
      </c>
      <c r="AD22">
        <f>IF((E22+F22+G22+H22+J22+K22+O22+P22+R22+S22+T22+U22+V22+W22+X22)&gt;0,0,'aq2_qtaperu'!AA81)</f>
        <v/>
      </c>
      <c r="AE22">
        <f>IF((E22+F22+G22+H22+J22+K22+O22+P22+R22+S22+T22+U22+V22+W22+X22)&gt;0,0,'aq2_qtaperu'!AW81)</f>
        <v/>
      </c>
      <c r="AF22">
        <f>'pja_aroeira_masters'!AA24</f>
        <v/>
      </c>
      <c r="AG22">
        <f>'pja_aroeira_masters'!AW24</f>
        <v/>
      </c>
    </row>
    <row r="23">
      <c r="A23" s="7">
        <f>RANK(Z23,$Z$6:$Z$30)</f>
        <v/>
      </c>
      <c r="B23" t="inlineStr">
        <is>
          <t>Rodrigo Faria Constantino</t>
        </is>
      </c>
      <c r="C23" s="8" t="inlineStr">
        <is>
          <t>45278</t>
        </is>
      </c>
      <c r="D23" s="8" t="inlineStr">
        <is>
          <t>Sub 23</t>
        </is>
      </c>
      <c r="E23" s="8" t="n">
        <v>0</v>
      </c>
      <c r="F23" s="8" t="n">
        <v>0</v>
      </c>
      <c r="G23" s="8" t="n">
        <v>0</v>
      </c>
      <c r="H23" s="8" t="n">
        <v>0</v>
      </c>
      <c r="I23" s="8">
        <f>IF((E23+F23+G23+H23+J23+K23+O23+P23+R23+S23+T23+U23+V23+W23+X23)&gt;0,0,'aq1_morgado'!AX21)</f>
        <v/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>
        <f>IF((E23+F23+G23+H23+J23+K23+O23+P23+R23+S23+T23+U23+V23+W23+X23)&gt;0,0,'aq2_qtaperu'!AX35)</f>
        <v/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>
        <f>'pja_aroeira_masters'!AX21</f>
        <v/>
      </c>
      <c r="Z23" s="9">
        <f>IFERROR(LARGE(AA23:AF23,1),0)+IFERROR(LARGE(AA23:AF23,2),0)+IFERROR(LARGE(AA23:AF23,3),0)+IFERROR(LARGE(AA23:AF23,4),0)+IFERROR(LARGE(AA23:AF23,5),0)+IFERROR(LARGE(AA23:AF23,6),0)+IFERROR(LARGE(AA23:AF23,7),0)+IFERROR(LARGE(AA23:AF23,8),0)+IFERROR(LARGE(AA23:AF23,9),0)+IFERROR(LARGE(AA23:AF23,10),0)+IFERROR(LARGE(AA23:AF23,11),0)+IFERROR(LARGE(AA23:AF23,12),0)+IFERROR(LARGE(AA23:AF23,13),0)+IFERROR(LARGE(AA23:AF23,14),0)</f>
        <v/>
      </c>
      <c r="AA23">
        <f>IF((E23+F23+G23+H23+J23+K23+O23+P23+R23+S23+T23+U23+V23+W23+X23)&gt;0,0,'aq1_morgado'!AA21)</f>
        <v/>
      </c>
      <c r="AB23">
        <f>IF((E23+F23+G23+H23+J23+K23+O23+P23+R23+S23+T23+U23+V23+W23+X23)&gt;0,0,'aq1_morgado'!AW21)</f>
        <v/>
      </c>
      <c r="AC23">
        <f>IF((E23+F23+G23+H23+J23+K23+O23+P23+R23+S23+T23+U23+V23+W23+X23)&gt;0,0,'aq2_qtaperu'!AA35)</f>
        <v/>
      </c>
      <c r="AD23">
        <f>IF((E23+F23+G23+H23+J23+K23+O23+P23+R23+S23+T23+U23+V23+W23+X23)&gt;0,0,'aq2_qtaperu'!AW35)</f>
        <v/>
      </c>
      <c r="AE23">
        <f>'pja_aroeira_masters'!AA21</f>
        <v/>
      </c>
      <c r="AF23">
        <f>'pja_aroeira_masters'!AW21</f>
        <v/>
      </c>
    </row>
    <row r="24">
      <c r="A24" s="7">
        <f>RANK(Z24,$Z$6:$Z$30)</f>
        <v/>
      </c>
      <c r="B24" t="inlineStr">
        <is>
          <t>João Maria Ivo de Carvalho</t>
        </is>
      </c>
      <c r="C24" s="8" t="inlineStr">
        <is>
          <t>38334</t>
        </is>
      </c>
      <c r="D24" s="8" t="inlineStr">
        <is>
          <t>Sub 23</t>
        </is>
      </c>
      <c r="E24" s="8" t="n">
        <v>0</v>
      </c>
      <c r="F24" s="8" t="n">
        <v>0</v>
      </c>
      <c r="G24" s="8" t="n">
        <v>0</v>
      </c>
      <c r="H24" s="8" t="n">
        <v>0</v>
      </c>
      <c r="I24" s="8">
        <f>IF((E24+F24+G24+H24+J24+K24+O24+P24+R24+S24+T24+U24+V24+W24+X24)&gt;0,0,'aq1_morgado'!AX29)</f>
        <v/>
      </c>
      <c r="J24" s="8" t="n">
        <v>0</v>
      </c>
      <c r="K24" s="8" t="n">
        <v>0</v>
      </c>
      <c r="L24" s="8">
        <f>'gg_main'!BT19</f>
        <v/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>
        <f>'dt4_tejo_lisbon'!AB14</f>
        <v/>
      </c>
      <c r="X24" s="8" t="n">
        <v>0</v>
      </c>
      <c r="Y24" s="8">
        <f>'pja_aroeira_masters'!AX18</f>
        <v/>
      </c>
      <c r="Z24" s="9">
        <f>IFERROR(LARGE(AA24:AG24,1),0)+IFERROR(LARGE(AA24:AG24,2),0)+IFERROR(LARGE(AA24:AG24,3),0)+IFERROR(LARGE(AA24:AG24,4),0)+IFERROR(LARGE(AA24:AG24,5),0)+IFERROR(LARGE(AA24:AG24,6),0)+IFERROR(LARGE(AA24:AG24,7),0)+IFERROR(LARGE(AA24:AG24,8),0)+IFERROR(LARGE(AA24:AG24,9),0)+IFERROR(LARGE(AA24:AG24,10),0)+IFERROR(LARGE(AA24:AG24,11),0)+IFERROR(LARGE(AA24:AG24,12),0)+IFERROR(LARGE(AA24:AG24,13),0)+IFERROR(LARGE(AA24:AG24,14),0)</f>
        <v/>
      </c>
      <c r="AA24">
        <f>IF((E24+F24+G24+H24+J24+K24+O24+P24+R24+S24+T24+U24+V24+W24+X24)&gt;0,0,'aq1_morgado'!AA29)</f>
        <v/>
      </c>
      <c r="AB24">
        <f>IF((E24+F24+G24+H24+J24+K24+O24+P24+R24+S24+T24+U24+V24+W24+X24)&gt;0,0,'aq1_morgado'!AW29)</f>
        <v/>
      </c>
      <c r="AC24">
        <f>'gg_main'!AW19</f>
        <v/>
      </c>
      <c r="AD24">
        <f>'gg_main'!BS19</f>
        <v/>
      </c>
      <c r="AE24">
        <f>'dt4_tejo_lisbon'!AA14</f>
        <v/>
      </c>
      <c r="AF24">
        <f>'pja_aroeira_masters'!AA18</f>
        <v/>
      </c>
      <c r="AG24">
        <f>'pja_aroeira_masters'!AW18</f>
        <v/>
      </c>
    </row>
    <row r="25">
      <c r="A25" s="7">
        <f>RANK(Z25,$Z$6:$Z$30)</f>
        <v/>
      </c>
      <c r="B25" t="inlineStr">
        <is>
          <t>Salvador Ivo de Carvalho</t>
        </is>
      </c>
      <c r="C25" s="8" t="inlineStr">
        <is>
          <t>43968</t>
        </is>
      </c>
      <c r="D25" s="8" t="inlineStr">
        <is>
          <t>Sub 14</t>
        </is>
      </c>
      <c r="E25" s="8" t="n">
        <v>0</v>
      </c>
      <c r="F25" s="8" t="n">
        <v>0</v>
      </c>
      <c r="G25" s="8" t="n">
        <v>0</v>
      </c>
      <c r="H25" s="8" t="n">
        <v>0</v>
      </c>
      <c r="I25" s="8">
        <f>IF((E25+F25+G25+H25+J25+K25+O25+P25+R25+S25+T25+U25+V25+W25+X25)&gt;0,0,'aq1_morgado'!AX77)</f>
        <v/>
      </c>
      <c r="J25" s="8" t="n">
        <v>0</v>
      </c>
      <c r="K25" s="8" t="n">
        <v>0</v>
      </c>
      <c r="L25" s="8" t="n">
        <v>0</v>
      </c>
      <c r="M25" s="8">
        <f>'gg_u14'!AX17</f>
        <v/>
      </c>
      <c r="N25" s="8" t="n">
        <v>0</v>
      </c>
      <c r="O25" s="8" t="n">
        <v>0</v>
      </c>
      <c r="P25" s="8" t="n">
        <v>0</v>
      </c>
      <c r="Q25" s="8">
        <f>IF((E25+F25+G25+H25+J25+K25+O25+P25+R25+S25+T25+U25+V25+W25+X25)&gt;0,0,'aq2_qtaperu'!AX67)</f>
        <v/>
      </c>
      <c r="R25" s="8" t="n">
        <v>0</v>
      </c>
      <c r="S25" s="8">
        <f>'dt3_tejo_se'!AX28</f>
        <v/>
      </c>
      <c r="T25" s="8" t="n">
        <v>0</v>
      </c>
      <c r="U25" s="8" t="n">
        <v>0</v>
      </c>
      <c r="V25" s="8" t="n">
        <v>0</v>
      </c>
      <c r="W25" s="8">
        <f>'dt4_tejo_lisbon'!AB16</f>
        <v/>
      </c>
      <c r="X25" s="8" t="n">
        <v>0</v>
      </c>
      <c r="Y25" s="8">
        <f>'pja_aroeira_masters'!AX17</f>
        <v/>
      </c>
      <c r="Z25" s="9">
        <f>IFERROR(LARGE(AA25:AK25,1),0)+IFERROR(LARGE(AA25:AK25,2),0)+IFERROR(LARGE(AA25:AK25,3),0)+IFERROR(LARGE(AA25:AK25,4),0)+IFERROR(LARGE(AA25:AK25,5),0)+IFERROR(LARGE(AA25:AK25,6),0)+IFERROR(LARGE(AA25:AK25,7),0)+IFERROR(LARGE(AA25:AK25,8),0)+IFERROR(LARGE(AA25:AK25,9),0)+IFERROR(LARGE(AA25:AK25,10),0)+IFERROR(LARGE(AA25:AK25,11),0)+IFERROR(LARGE(AA25:AK25,12),0)+IFERROR(LARGE(AA25:AK25,13),0)+IFERROR(LARGE(AA25:AK25,14),0)</f>
        <v/>
      </c>
      <c r="AA25">
        <f>IF((E25+F25+G25+H25+J25+K25+O25+P25+R25+S25+T25+U25+V25+W25+X25)&gt;0,0,'aq1_morgado'!AA77)</f>
        <v/>
      </c>
      <c r="AB25">
        <f>IF((E25+F25+G25+H25+J25+K25+O25+P25+R25+S25+T25+U25+V25+W25+X25)&gt;0,0,'aq1_morgado'!AW77)</f>
        <v/>
      </c>
      <c r="AC25">
        <f>'gg_u14'!AA17</f>
        <v/>
      </c>
      <c r="AD25">
        <f>'gg_u14'!AW17</f>
        <v/>
      </c>
      <c r="AE25">
        <f>IF((E25+F25+G25+H25+J25+K25+O25+P25+R25+S25+T25+U25+V25+W25+X25)&gt;0,0,'aq2_qtaperu'!AA67)</f>
        <v/>
      </c>
      <c r="AF25">
        <f>IF((E25+F25+G25+H25+J25+K25+O25+P25+R25+S25+T25+U25+V25+W25+X25)&gt;0,0,'aq2_qtaperu'!AW67)</f>
        <v/>
      </c>
      <c r="AG25">
        <f>'dt3_tejo_se'!AA28</f>
        <v/>
      </c>
      <c r="AH25">
        <f>'dt3_tejo_se'!AW28</f>
        <v/>
      </c>
      <c r="AI25">
        <f>'dt4_tejo_lisbon'!AA16</f>
        <v/>
      </c>
      <c r="AJ25">
        <f>'pja_aroeira_masters'!AA17</f>
        <v/>
      </c>
      <c r="AK25">
        <f>'pja_aroeira_masters'!AW17</f>
        <v/>
      </c>
    </row>
    <row r="26">
      <c r="A26" s="7">
        <f>RANK(Z26,$Z$6:$Z$30)</f>
        <v/>
      </c>
      <c r="B26" t="inlineStr">
        <is>
          <t>David Filip Jun.</t>
        </is>
      </c>
      <c r="C26" s="8" t="inlineStr">
        <is>
          <t>51949</t>
        </is>
      </c>
      <c r="D26" s="8" t="inlineStr">
        <is>
          <t>Sub 14</t>
        </is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>
        <f>'gg_u14'!AX25</f>
        <v/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>
        <f>'dt3_tejo_se'!AX24</f>
        <v/>
      </c>
      <c r="T26" s="8" t="n">
        <v>0</v>
      </c>
      <c r="U26" s="8" t="n">
        <v>0</v>
      </c>
      <c r="V26" s="8" t="n">
        <v>0</v>
      </c>
      <c r="W26" s="8">
        <f>'dt4_tejo_lisbon'!AB17</f>
        <v/>
      </c>
      <c r="X26" s="8" t="n">
        <v>0</v>
      </c>
      <c r="Y26" s="8">
        <f>'pja_aroeira_masters'!AX31</f>
        <v/>
      </c>
      <c r="Z26" s="9">
        <f>IFERROR(LARGE(AA26:AG26,1),0)+IFERROR(LARGE(AA26:AG26,2),0)+IFERROR(LARGE(AA26:AG26,3),0)+IFERROR(LARGE(AA26:AG26,4),0)+IFERROR(LARGE(AA26:AG26,5),0)+IFERROR(LARGE(AA26:AG26,6),0)+IFERROR(LARGE(AA26:AG26,7),0)+IFERROR(LARGE(AA26:AG26,8),0)+IFERROR(LARGE(AA26:AG26,9),0)+IFERROR(LARGE(AA26:AG26,10),0)+IFERROR(LARGE(AA26:AG26,11),0)+IFERROR(LARGE(AA26:AG26,12),0)+IFERROR(LARGE(AA26:AG26,13),0)+IFERROR(LARGE(AA26:AG26,14),0)</f>
        <v/>
      </c>
      <c r="AA26">
        <f>'gg_u14'!AA25</f>
        <v/>
      </c>
      <c r="AB26">
        <f>'gg_u14'!AW25</f>
        <v/>
      </c>
      <c r="AC26">
        <f>'dt3_tejo_se'!AA24</f>
        <v/>
      </c>
      <c r="AD26">
        <f>'dt3_tejo_se'!AW24</f>
        <v/>
      </c>
      <c r="AE26">
        <f>'dt4_tejo_lisbon'!AA17</f>
        <v/>
      </c>
      <c r="AF26">
        <f>'pja_aroeira_masters'!AA31</f>
        <v/>
      </c>
      <c r="AG26">
        <f>'pja_aroeira_masters'!AW31</f>
        <v/>
      </c>
    </row>
    <row r="27">
      <c r="A27" s="7">
        <f>RANK(Z27,$Z$6:$Z$30)</f>
        <v/>
      </c>
      <c r="B27" t="inlineStr">
        <is>
          <t>Guo Ziyang</t>
        </is>
      </c>
      <c r="C27" s="8" t="inlineStr">
        <is>
          <t>57904</t>
        </is>
      </c>
      <c r="D27" s="8" t="inlineStr">
        <is>
          <t>Sub 12</t>
        </is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>
        <f>'gg_u12'!AX15</f>
        <v/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>
        <f>'dt4_tejo_lisbon'!AB20</f>
        <v/>
      </c>
      <c r="X27" s="8" t="n">
        <v>0</v>
      </c>
      <c r="Y27" s="8">
        <f>'pja_aroeira_masters'!AX15</f>
        <v/>
      </c>
      <c r="Z27" s="9">
        <f>IFERROR(LARGE(AA27:AE27,1),0)+IFERROR(LARGE(AA27:AE27,2),0)+IFERROR(LARGE(AA27:AE27,3),0)+IFERROR(LARGE(AA27:AE27,4),0)+IFERROR(LARGE(AA27:AE27,5),0)+IFERROR(LARGE(AA27:AE27,6),0)+IFERROR(LARGE(AA27:AE27,7),0)+IFERROR(LARGE(AA27:AE27,8),0)+IFERROR(LARGE(AA27:AE27,9),0)+IFERROR(LARGE(AA27:AE27,10),0)+IFERROR(LARGE(AA27:AE27,11),0)+IFERROR(LARGE(AA27:AE27,12),0)+IFERROR(LARGE(AA27:AE27,13),0)+IFERROR(LARGE(AA27:AE27,14),0)</f>
        <v/>
      </c>
      <c r="AA27">
        <f>'gg_u12'!AA15</f>
        <v/>
      </c>
      <c r="AB27">
        <f>'gg_u12'!AW15</f>
        <v/>
      </c>
      <c r="AC27">
        <f>'dt4_tejo_lisbon'!AA20</f>
        <v/>
      </c>
      <c r="AD27">
        <f>'pja_aroeira_masters'!AA15</f>
        <v/>
      </c>
      <c r="AE27">
        <f>'pja_aroeira_masters'!AW15</f>
        <v/>
      </c>
    </row>
    <row r="28">
      <c r="A28" s="7">
        <f>RANK(Z28,$Z$6:$Z$30)</f>
        <v/>
      </c>
      <c r="B28" t="inlineStr">
        <is>
          <t>Rafaela Pinto</t>
        </is>
      </c>
      <c r="C28" s="8" t="inlineStr">
        <is>
          <t>40390</t>
        </is>
      </c>
      <c r="D28" s="8" t="inlineStr">
        <is>
          <t>Sub 23</t>
        </is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>
        <f>IF((E28+F28+G28+H28+J28+K28+O28+P28+R28+S28+T28+U28+V28+W28+X28)&gt;0,0,'aq2_qtaperu'!AX89)</f>
        <v/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9">
        <f>IFERROR(LARGE(AA28:AB28,1),0)+IFERROR(LARGE(AA28:AB28,2),0)+IFERROR(LARGE(AA28:AB28,3),0)+IFERROR(LARGE(AA28:AB28,4),0)+IFERROR(LARGE(AA28:AB28,5),0)+IFERROR(LARGE(AA28:AB28,6),0)+IFERROR(LARGE(AA28:AB28,7),0)+IFERROR(LARGE(AA28:AB28,8),0)+IFERROR(LARGE(AA28:AB28,9),0)+IFERROR(LARGE(AA28:AB28,10),0)+IFERROR(LARGE(AA28:AB28,11),0)+IFERROR(LARGE(AA28:AB28,12),0)+IFERROR(LARGE(AA28:AB28,13),0)+IFERROR(LARGE(AA28:AB28,14),0)</f>
        <v/>
      </c>
      <c r="AA28">
        <f>IF((E28+F28+G28+H28+J28+K28+O28+P28+R28+S28+T28+U28+V28+W28+X28)&gt;0,0,'aq2_qtaperu'!AA89)</f>
        <v/>
      </c>
      <c r="AB28">
        <f>IF((E28+F28+G28+H28+J28+K28+O28+P28+R28+S28+T28+U28+V28+W28+X28)&gt;0,0,'aq2_qtaperu'!AW89)</f>
        <v/>
      </c>
    </row>
    <row r="29">
      <c r="A29" s="7">
        <f>RANK(Z29,$Z$6:$Z$30)</f>
        <v/>
      </c>
      <c r="B29" t="inlineStr">
        <is>
          <t>Francisco Vilardell Carvalho</t>
        </is>
      </c>
      <c r="C29" s="8" t="inlineStr">
        <is>
          <t>52856</t>
        </is>
      </c>
      <c r="D29" s="8" t="inlineStr">
        <is>
          <t>Sub 14</t>
        </is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>
        <f>'pja_aroeira_masters'!AX30</f>
        <v/>
      </c>
      <c r="Z29" s="9">
        <f>IFERROR(LARGE(AA29:AB29,1),0)+IFERROR(LARGE(AA29:AB29,2),0)+IFERROR(LARGE(AA29:AB29,3),0)+IFERROR(LARGE(AA29:AB29,4),0)+IFERROR(LARGE(AA29:AB29,5),0)+IFERROR(LARGE(AA29:AB29,6),0)+IFERROR(LARGE(AA29:AB29,7),0)+IFERROR(LARGE(AA29:AB29,8),0)+IFERROR(LARGE(AA29:AB29,9),0)+IFERROR(LARGE(AA29:AB29,10),0)+IFERROR(LARGE(AA29:AB29,11),0)+IFERROR(LARGE(AA29:AB29,12),0)+IFERROR(LARGE(AA29:AB29,13),0)+IFERROR(LARGE(AA29:AB29,14),0)</f>
        <v/>
      </c>
      <c r="AA29">
        <f>'pja_aroeira_masters'!AA30</f>
        <v/>
      </c>
      <c r="AB29">
        <f>'pja_aroeira_masters'!AW30</f>
        <v/>
      </c>
    </row>
    <row r="30">
      <c r="A30" s="7">
        <f>RANK(Z30,$Z$6:$Z$30)</f>
        <v/>
      </c>
      <c r="B30" t="inlineStr">
        <is>
          <t>Martim Moreira</t>
        </is>
      </c>
      <c r="C30" s="8" t="inlineStr">
        <is>
          <t>42985</t>
        </is>
      </c>
      <c r="D30" s="8" t="inlineStr">
        <is>
          <t>Sub 14</t>
        </is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>
        <f>'pja_aroeira_masters'!AX33</f>
        <v/>
      </c>
      <c r="Z30" s="9">
        <f>IFERROR(LARGE(AA30:AB30,1),0)+IFERROR(LARGE(AA30:AB30,2),0)+IFERROR(LARGE(AA30:AB30,3),0)+IFERROR(LARGE(AA30:AB30,4),0)+IFERROR(LARGE(AA30:AB30,5),0)+IFERROR(LARGE(AA30:AB30,6),0)+IFERROR(LARGE(AA30:AB30,7),0)+IFERROR(LARGE(AA30:AB30,8),0)+IFERROR(LARGE(AA30:AB30,9),0)+IFERROR(LARGE(AA30:AB30,10),0)+IFERROR(LARGE(AA30:AB30,11),0)+IFERROR(LARGE(AA30:AB30,12),0)+IFERROR(LARGE(AA30:AB30,13),0)+IFERROR(LARGE(AA30:AB30,14),0)</f>
        <v/>
      </c>
      <c r="AA30">
        <f>'pja_aroeira_masters'!AA33</f>
        <v/>
      </c>
      <c r="AB30">
        <f>'pja_aroeira_masters'!AW33</f>
        <v/>
      </c>
    </row>
  </sheetData>
  <mergeCells count="3">
    <mergeCell ref="A1:Z1"/>
    <mergeCell ref="A3:Z3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2026 — Ranking Sub 12</t>
        </is>
      </c>
    </row>
    <row r="2">
      <c r="A2" s="2" t="inlineStr">
        <is>
          <t>Sub-ranking automático filtrado por escalão Sub 12.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RANK(E5,$E$5:$E$8)</f>
        <v/>
      </c>
      <c r="B5" t="inlineStr">
        <is>
          <t>Ricardo Castro Ferreira</t>
        </is>
      </c>
      <c r="C5" s="8" t="inlineStr">
        <is>
          <t>49085</t>
        </is>
      </c>
      <c r="D5" s="8" t="inlineStr">
        <is>
          <t>Sub 12</t>
        </is>
      </c>
      <c r="E5" s="7">
        <f>IFERROR(VLOOKUP("49085",Ranking!$C:$Z,24,FALSE),0)</f>
        <v/>
      </c>
    </row>
    <row r="6">
      <c r="A6" s="7">
        <f>RANK(E6,$E$5:$E$8)</f>
        <v/>
      </c>
      <c r="B6" t="inlineStr">
        <is>
          <t>Manuel Goulartt Medeiros</t>
        </is>
      </c>
      <c r="C6" s="8" t="inlineStr">
        <is>
          <t>52884</t>
        </is>
      </c>
      <c r="D6" s="8" t="inlineStr">
        <is>
          <t>Sub 12</t>
        </is>
      </c>
      <c r="E6" s="7">
        <f>IFERROR(VLOOKUP("52884",Ranking!$C:$Z,24,FALSE),0)</f>
        <v/>
      </c>
    </row>
    <row r="7">
      <c r="A7" s="7">
        <f>RANK(E7,$E$5:$E$8)</f>
        <v/>
      </c>
      <c r="B7" t="inlineStr">
        <is>
          <t>Guo Ziyang</t>
        </is>
      </c>
      <c r="C7" s="8" t="inlineStr">
        <is>
          <t>57904</t>
        </is>
      </c>
      <c r="D7" s="8" t="inlineStr">
        <is>
          <t>Sub 12</t>
        </is>
      </c>
      <c r="E7" s="7">
        <f>IFERROR(VLOOKUP("57904",Ranking!$C:$Z,24,FALSE),0)</f>
        <v/>
      </c>
    </row>
    <row r="8">
      <c r="A8" s="7">
        <f>RANK(E8,$E$5:$E$8)</f>
        <v/>
      </c>
      <c r="B8" t="inlineStr">
        <is>
          <t>Sabrina Ribeiro Crisóstomo</t>
        </is>
      </c>
      <c r="C8" s="8" t="inlineStr">
        <is>
          <t>48971</t>
        </is>
      </c>
      <c r="D8" s="8" t="inlineStr">
        <is>
          <t>Sub 12</t>
        </is>
      </c>
      <c r="E8" s="7">
        <f>IFERROR(VLOOKUP("48971",Ranking!$C:$Z,24,FALSE),0)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2026 — Ranking Sub 14</t>
        </is>
      </c>
    </row>
    <row r="2">
      <c r="A2" s="2" t="inlineStr">
        <is>
          <t>Sub-ranking automático filtrado por escalão Sub 14.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RANK(E5,$E$5:$E$13)</f>
        <v/>
      </c>
      <c r="B5" t="inlineStr">
        <is>
          <t>Nuno Palmares Jr.</t>
        </is>
      </c>
      <c r="C5" s="8" t="inlineStr">
        <is>
          <t>49124</t>
        </is>
      </c>
      <c r="D5" s="8" t="inlineStr">
        <is>
          <t>Sub 14</t>
        </is>
      </c>
      <c r="E5" s="7">
        <f>IFERROR(VLOOKUP("49124",Ranking!$C:$Z,24,FALSE),0)</f>
        <v/>
      </c>
    </row>
    <row r="6">
      <c r="A6" s="7">
        <f>RANK(E6,$E$5:$E$13)</f>
        <v/>
      </c>
      <c r="B6" t="inlineStr">
        <is>
          <t>João Rocha</t>
        </is>
      </c>
      <c r="C6" s="8" t="inlineStr">
        <is>
          <t>48297</t>
        </is>
      </c>
      <c r="D6" s="8" t="inlineStr">
        <is>
          <t>Sub 14</t>
        </is>
      </c>
      <c r="E6" s="7">
        <f>IFERROR(VLOOKUP("48297",Ranking!$C:$Z,24,FALSE),0)</f>
        <v/>
      </c>
    </row>
    <row r="7">
      <c r="A7" s="7">
        <f>RANK(E7,$E$5:$E$13)</f>
        <v/>
      </c>
      <c r="B7" t="inlineStr">
        <is>
          <t>Santiago Dias</t>
        </is>
      </c>
      <c r="C7" s="8" t="inlineStr">
        <is>
          <t>42908</t>
        </is>
      </c>
      <c r="D7" s="8" t="inlineStr">
        <is>
          <t>Sub 14</t>
        </is>
      </c>
      <c r="E7" s="7">
        <f>IFERROR(VLOOKUP("42908",Ranking!$C:$Z,24,FALSE),0)</f>
        <v/>
      </c>
    </row>
    <row r="8">
      <c r="A8" s="7">
        <f>RANK(E8,$E$5:$E$13)</f>
        <v/>
      </c>
      <c r="B8" t="inlineStr">
        <is>
          <t>William Gao</t>
        </is>
      </c>
      <c r="C8" s="8" t="inlineStr">
        <is>
          <t>51524</t>
        </is>
      </c>
      <c r="D8" s="8" t="inlineStr">
        <is>
          <t>Sub 14</t>
        </is>
      </c>
      <c r="E8" s="7">
        <f>IFERROR(VLOOKUP("51524",Ranking!$C:$Z,24,FALSE),0)</f>
        <v/>
      </c>
    </row>
    <row r="9">
      <c r="A9" s="7">
        <f>RANK(E9,$E$5:$E$13)</f>
        <v/>
      </c>
      <c r="B9" t="inlineStr">
        <is>
          <t>Salvador Ivo de Carvalho</t>
        </is>
      </c>
      <c r="C9" s="8" t="inlineStr">
        <is>
          <t>43968</t>
        </is>
      </c>
      <c r="D9" s="8" t="inlineStr">
        <is>
          <t>Sub 14</t>
        </is>
      </c>
      <c r="E9" s="7">
        <f>IFERROR(VLOOKUP("43968",Ranking!$C:$Z,24,FALSE),0)</f>
        <v/>
      </c>
    </row>
    <row r="10">
      <c r="A10" s="7">
        <f>RANK(E10,$E$5:$E$13)</f>
        <v/>
      </c>
      <c r="B10" t="inlineStr">
        <is>
          <t>David Filip Jun.</t>
        </is>
      </c>
      <c r="C10" s="8" t="inlineStr">
        <is>
          <t>51949</t>
        </is>
      </c>
      <c r="D10" s="8" t="inlineStr">
        <is>
          <t>Sub 14</t>
        </is>
      </c>
      <c r="E10" s="7">
        <f>IFERROR(VLOOKUP("51949",Ranking!$C:$Z,24,FALSE),0)</f>
        <v/>
      </c>
    </row>
    <row r="11">
      <c r="A11" s="7">
        <f>RANK(E11,$E$5:$E$13)</f>
        <v/>
      </c>
      <c r="B11" t="inlineStr">
        <is>
          <t>Tomás Lima Pinto</t>
        </is>
      </c>
      <c r="C11" s="8" t="inlineStr">
        <is>
          <t>46037</t>
        </is>
      </c>
      <c r="D11" s="8" t="inlineStr">
        <is>
          <t>Sub 14</t>
        </is>
      </c>
      <c r="E11" s="7">
        <f>IFERROR(VLOOKUP("46037",Ranking!$C:$Z,24,FALSE),0)</f>
        <v/>
      </c>
    </row>
    <row r="12">
      <c r="A12" s="7">
        <f>RANK(E12,$E$5:$E$13)</f>
        <v/>
      </c>
      <c r="B12" t="inlineStr">
        <is>
          <t>Francisco Vilardell Carvalho</t>
        </is>
      </c>
      <c r="C12" s="8" t="inlineStr">
        <is>
          <t>52856</t>
        </is>
      </c>
      <c r="D12" s="8" t="inlineStr">
        <is>
          <t>Sub 14</t>
        </is>
      </c>
      <c r="E12" s="7">
        <f>IFERROR(VLOOKUP("52856",Ranking!$C:$Z,24,FALSE),0)</f>
        <v/>
      </c>
    </row>
    <row r="13">
      <c r="A13" s="7">
        <f>RANK(E13,$E$5:$E$13)</f>
        <v/>
      </c>
      <c r="B13" t="inlineStr">
        <is>
          <t>Martim Moreira</t>
        </is>
      </c>
      <c r="C13" s="8" t="inlineStr">
        <is>
          <t>42985</t>
        </is>
      </c>
      <c r="D13" s="8" t="inlineStr">
        <is>
          <t>Sub 14</t>
        </is>
      </c>
      <c r="E13" s="7">
        <f>IFERROR(VLOOKUP("42985",Ranking!$C:$Z,24,FALSE),0)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2026 — Ranking Sub 16</t>
        </is>
      </c>
    </row>
    <row r="2">
      <c r="A2" s="2" t="inlineStr">
        <is>
          <t>Sub-ranking automático filtrado por escalão Sub 16.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RANK(E5,$E$5:$E$12)</f>
        <v/>
      </c>
      <c r="B5" t="inlineStr">
        <is>
          <t>Pedro Costa Alemão</t>
        </is>
      </c>
      <c r="C5" s="8" t="inlineStr">
        <is>
          <t>46706</t>
        </is>
      </c>
      <c r="D5" s="8" t="inlineStr">
        <is>
          <t>Sub 16</t>
        </is>
      </c>
      <c r="E5" s="7">
        <f>IFERROR(VLOOKUP("46706",Ranking!$C:$Z,24,FALSE),0)</f>
        <v/>
      </c>
    </row>
    <row r="6">
      <c r="A6" s="7">
        <f>RANK(E6,$E$5:$E$12)</f>
        <v/>
      </c>
      <c r="B6" t="inlineStr">
        <is>
          <t>Rodrigo Sousa Correia</t>
        </is>
      </c>
      <c r="C6" s="8" t="inlineStr">
        <is>
          <t>44934</t>
        </is>
      </c>
      <c r="D6" s="8" t="inlineStr">
        <is>
          <t>Sub 16</t>
        </is>
      </c>
      <c r="E6" s="7">
        <f>IFERROR(VLOOKUP("44934",Ranking!$C:$Z,24,FALSE),0)</f>
        <v/>
      </c>
    </row>
    <row r="7">
      <c r="A7" s="7">
        <f>RANK(E7,$E$5:$E$12)</f>
        <v/>
      </c>
      <c r="B7" t="inlineStr">
        <is>
          <t>Angelina Gao</t>
        </is>
      </c>
      <c r="C7" s="8" t="inlineStr">
        <is>
          <t>51523</t>
        </is>
      </c>
      <c r="D7" s="8" t="inlineStr">
        <is>
          <t>Sub 16</t>
        </is>
      </c>
      <c r="E7" s="7">
        <f>IFERROR(VLOOKUP("51523",Ranking!$C:$Z,24,FALSE),0)</f>
        <v/>
      </c>
    </row>
    <row r="8">
      <c r="A8" s="7">
        <f>RANK(E8,$E$5:$E$12)</f>
        <v/>
      </c>
      <c r="B8" t="inlineStr">
        <is>
          <t>Madalena Figueiredo</t>
        </is>
      </c>
      <c r="C8" s="8" t="inlineStr">
        <is>
          <t>52011</t>
        </is>
      </c>
      <c r="D8" s="8" t="inlineStr">
        <is>
          <t>Sub 16</t>
        </is>
      </c>
      <c r="E8" s="7">
        <f>IFERROR(VLOOKUP("52011",Ranking!$C:$Z,24,FALSE),0)</f>
        <v/>
      </c>
    </row>
    <row r="9">
      <c r="A9" s="7">
        <f>RANK(E9,$E$5:$E$12)</f>
        <v/>
      </c>
      <c r="B9" t="inlineStr">
        <is>
          <t>Ryan Dantas</t>
        </is>
      </c>
      <c r="C9" s="8" t="inlineStr">
        <is>
          <t>45439</t>
        </is>
      </c>
      <c r="D9" s="8" t="inlineStr">
        <is>
          <t>Sub 16</t>
        </is>
      </c>
      <c r="E9" s="7">
        <f>IFERROR(VLOOKUP("45439",Ranking!$C:$Z,24,FALSE),0)</f>
        <v/>
      </c>
    </row>
    <row r="10">
      <c r="A10" s="7">
        <f>RANK(E10,$E$5:$E$12)</f>
        <v/>
      </c>
      <c r="B10" t="inlineStr">
        <is>
          <t>Diogo Sequeira</t>
        </is>
      </c>
      <c r="C10" s="8" t="inlineStr">
        <is>
          <t>56654</t>
        </is>
      </c>
      <c r="D10" s="8" t="inlineStr">
        <is>
          <t>Sub 16</t>
        </is>
      </c>
      <c r="E10" s="7">
        <f>IFERROR(VLOOKUP("56654",Ranking!$C:$Z,24,FALSE),0)</f>
        <v/>
      </c>
    </row>
    <row r="11">
      <c r="A11" s="7">
        <f>RANK(E11,$E$5:$E$12)</f>
        <v/>
      </c>
      <c r="B11" t="inlineStr">
        <is>
          <t>Rafael Gonçales Benesi</t>
        </is>
      </c>
      <c r="C11" s="8" t="inlineStr">
        <is>
          <t>54774</t>
        </is>
      </c>
      <c r="D11" s="8" t="inlineStr">
        <is>
          <t>Sub 16</t>
        </is>
      </c>
      <c r="E11" s="7">
        <f>IFERROR(VLOOKUP("54774",Ranking!$C:$Z,24,FALSE),0)</f>
        <v/>
      </c>
    </row>
    <row r="12">
      <c r="A12" s="7">
        <f>RANK(E12,$E$5:$E$12)</f>
        <v/>
      </c>
      <c r="B12" t="inlineStr">
        <is>
          <t>Clara Trindade</t>
        </is>
      </c>
      <c r="C12" s="8" t="inlineStr">
        <is>
          <t>45812</t>
        </is>
      </c>
      <c r="D12" s="8" t="inlineStr">
        <is>
          <t>Sub 16</t>
        </is>
      </c>
      <c r="E12" s="7">
        <f>IFERROR(VLOOKUP("45812",Ranking!$C:$Z,24,FALSE),0)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8" customWidth="1" min="4" max="4"/>
    <col width="12" customWidth="1" min="5" max="5"/>
  </cols>
  <sheetData>
    <row r="1" ht="22" customHeight="1">
      <c r="A1" s="1" t="inlineStr">
        <is>
          <t>PJA TOUR 2026 — Ranking Sub 23</t>
        </is>
      </c>
    </row>
    <row r="2">
      <c r="A2" s="2" t="inlineStr">
        <is>
          <t>Sub-ranking automático filtrado por escalão Sub 23. Totais referenciados directamente do Ranking principal — actualizam dinamicamente.</t>
        </is>
      </c>
    </row>
    <row r="4">
      <c r="A4" s="5" t="inlineStr">
        <is>
          <t>Pos</t>
        </is>
      </c>
      <c r="B4" s="5" t="inlineStr">
        <is>
          <t>Jogador</t>
        </is>
      </c>
      <c r="C4" s="5" t="inlineStr">
        <is>
          <t>FedCode</t>
        </is>
      </c>
      <c r="D4" s="5" t="inlineStr">
        <is>
          <t>Escalão</t>
        </is>
      </c>
      <c r="E4" s="5" t="inlineStr">
        <is>
          <t>TOTAL</t>
        </is>
      </c>
    </row>
    <row r="5">
      <c r="A5" s="7">
        <f>RANK(E5,$E$5:$E$8)</f>
        <v/>
      </c>
      <c r="B5" t="inlineStr">
        <is>
          <t>Rodrigo Faria Constantino</t>
        </is>
      </c>
      <c r="C5" s="8" t="inlineStr">
        <is>
          <t>45278</t>
        </is>
      </c>
      <c r="D5" s="8" t="inlineStr">
        <is>
          <t>Sub 23</t>
        </is>
      </c>
      <c r="E5" s="7">
        <f>IFERROR(VLOOKUP("45278",Ranking!$C:$Z,24,FALSE),0)</f>
        <v/>
      </c>
    </row>
    <row r="6">
      <c r="A6" s="7">
        <f>RANK(E6,$E$5:$E$8)</f>
        <v/>
      </c>
      <c r="B6" t="inlineStr">
        <is>
          <t>João Maria Ivo de Carvalho</t>
        </is>
      </c>
      <c r="C6" s="8" t="inlineStr">
        <is>
          <t>38334</t>
        </is>
      </c>
      <c r="D6" s="8" t="inlineStr">
        <is>
          <t>Sub 23</t>
        </is>
      </c>
      <c r="E6" s="7">
        <f>IFERROR(VLOOKUP("38334",Ranking!$C:$Z,24,FALSE),0)</f>
        <v/>
      </c>
    </row>
    <row r="7">
      <c r="A7" s="7">
        <f>RANK(E7,$E$5:$E$8)</f>
        <v/>
      </c>
      <c r="B7" t="inlineStr">
        <is>
          <t>Martim Sousa de Morais</t>
        </is>
      </c>
      <c r="C7" s="8" t="inlineStr">
        <is>
          <t>41609</t>
        </is>
      </c>
      <c r="D7" s="8" t="inlineStr">
        <is>
          <t>Sub 23</t>
        </is>
      </c>
      <c r="E7" s="7">
        <f>IFERROR(VLOOKUP("41609",Ranking!$C:$Z,24,FALSE),0)</f>
        <v/>
      </c>
    </row>
    <row r="8">
      <c r="A8" s="7">
        <f>RANK(E8,$E$5:$E$8)</f>
        <v/>
      </c>
      <c r="B8" t="inlineStr">
        <is>
          <t>Rafaela Pinto</t>
        </is>
      </c>
      <c r="C8" s="8" t="inlineStr">
        <is>
          <t>40390</t>
        </is>
      </c>
      <c r="D8" s="8" t="inlineStr">
        <is>
          <t>Sub 23</t>
        </is>
      </c>
      <c r="E8" s="7">
        <f>IFERROR(VLOOKUP("40390",Ranking!$C:$Z,24,FALSE),0)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1º Drive Tour Madeira — Palheiro</t>
        </is>
      </c>
    </row>
    <row r="2">
      <c r="A2" s="10" t="inlineStr">
        <is>
          <t>Data:</t>
        </is>
      </c>
      <c r="B2" t="inlineStr">
        <is>
          <t>2026-01-03</t>
        </is>
      </c>
    </row>
    <row r="3">
      <c r="A3" s="10" t="inlineStr">
        <is>
          <t>Campo:</t>
        </is>
      </c>
      <c r="B3" t="inlineStr">
        <is>
          <t>Palheiro Golf</t>
        </is>
      </c>
    </row>
    <row r="4">
      <c r="A4" s="10" t="inlineStr">
        <is>
          <t>ccode/tcode:</t>
        </is>
      </c>
      <c r="B4" t="inlineStr">
        <is>
          <t>982/10198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https://scoring.datagolf.pt/pt/Classifications.aspx?ccode=982&amp;tcode=10198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4</v>
      </c>
      <c r="H11" s="14" t="n">
        <v>3</v>
      </c>
      <c r="I11" s="14" t="n">
        <v>4</v>
      </c>
      <c r="J11" s="14" t="n">
        <v>3</v>
      </c>
      <c r="K11" s="14" t="n">
        <v>5</v>
      </c>
      <c r="L11" s="14" t="n">
        <v>3</v>
      </c>
      <c r="M11" s="14" t="n">
        <v>4</v>
      </c>
      <c r="N11" s="14" t="n">
        <v>4</v>
      </c>
      <c r="O11" s="14" t="n">
        <v>5</v>
      </c>
      <c r="P11" s="14" t="n">
        <v>3</v>
      </c>
      <c r="Q11" s="14" t="n">
        <v>5</v>
      </c>
      <c r="R11" s="14" t="n">
        <v>3</v>
      </c>
      <c r="S11" s="14" t="n">
        <v>4</v>
      </c>
      <c r="T11" s="14" t="n">
        <v>5</v>
      </c>
      <c r="U11" s="14" t="n">
        <v>4</v>
      </c>
      <c r="V11" s="14" t="n">
        <v>4</v>
      </c>
      <c r="W11" s="14" t="n">
        <v>5</v>
      </c>
      <c r="Y11" s="15">
        <f>SUM(F11:W11)</f>
        <v/>
      </c>
    </row>
    <row r="12">
      <c r="A12" s="13" t="inlineStr">
        <is>
          <t>—SI—</t>
        </is>
      </c>
      <c r="F12" s="16" t="n">
        <v>2</v>
      </c>
      <c r="G12" s="16" t="n">
        <v>16</v>
      </c>
      <c r="H12" s="16" t="n">
        <v>8</v>
      </c>
      <c r="I12" s="16" t="n">
        <v>12</v>
      </c>
      <c r="J12" s="16" t="n">
        <v>18</v>
      </c>
      <c r="K12" s="16" t="n">
        <v>4</v>
      </c>
      <c r="L12" s="16" t="n">
        <v>10</v>
      </c>
      <c r="M12" s="16" t="n">
        <v>6</v>
      </c>
      <c r="N12" s="16" t="n">
        <v>14</v>
      </c>
      <c r="O12" s="16" t="n">
        <v>9</v>
      </c>
      <c r="P12" s="16" t="n">
        <v>17</v>
      </c>
      <c r="Q12" s="16" t="n">
        <v>3</v>
      </c>
      <c r="R12" s="16" t="n">
        <v>15</v>
      </c>
      <c r="S12" s="16" t="n">
        <v>7</v>
      </c>
      <c r="T12" s="16" t="n">
        <v>13</v>
      </c>
      <c r="U12" s="16" t="n">
        <v>5</v>
      </c>
      <c r="V12" s="16" t="n">
        <v>1</v>
      </c>
      <c r="W12" s="16" t="n">
        <v>11</v>
      </c>
    </row>
    <row r="13">
      <c r="A13" s="8" t="n">
        <v>1</v>
      </c>
      <c r="B13" t="inlineStr">
        <is>
          <t>Salvador Rodrigues</t>
        </is>
      </c>
      <c r="C13" s="8" t="inlineStr">
        <is>
          <t>39465</t>
        </is>
      </c>
      <c r="D13" t="inlineStr">
        <is>
          <t>Palheiro</t>
        </is>
      </c>
      <c r="E13" s="8" t="n">
        <v>6.3</v>
      </c>
      <c r="F13" s="17" t="n">
        <v>6</v>
      </c>
      <c r="G13" s="17" t="n">
        <v>5</v>
      </c>
      <c r="H13" s="17" t="n">
        <v>5</v>
      </c>
      <c r="I13" s="17" t="n">
        <v>4</v>
      </c>
      <c r="J13" s="17" t="n">
        <v>3</v>
      </c>
      <c r="K13" s="17" t="n">
        <v>5</v>
      </c>
      <c r="L13" s="17" t="n">
        <v>3</v>
      </c>
      <c r="M13" s="17" t="n">
        <v>6</v>
      </c>
      <c r="N13" s="17" t="n">
        <v>4</v>
      </c>
      <c r="O13" s="17" t="n">
        <v>5</v>
      </c>
      <c r="P13" s="17" t="n">
        <v>3</v>
      </c>
      <c r="Q13" s="17" t="n">
        <v>6</v>
      </c>
      <c r="R13" s="17" t="n">
        <v>4</v>
      </c>
      <c r="S13" s="17" t="n">
        <v>3</v>
      </c>
      <c r="T13" s="17" t="n">
        <v>5</v>
      </c>
      <c r="U13" s="17" t="n">
        <v>3</v>
      </c>
      <c r="V13" s="17" t="n">
        <v>4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André Gonçalves</t>
        </is>
      </c>
      <c r="C14" s="8" t="inlineStr">
        <is>
          <t>41121</t>
        </is>
      </c>
      <c r="D14" t="inlineStr">
        <is>
          <t>Palheiro</t>
        </is>
      </c>
      <c r="E14" s="8" t="n">
        <v>6.1</v>
      </c>
      <c r="F14" s="17" t="n">
        <v>5</v>
      </c>
      <c r="G14" s="17" t="n">
        <v>5</v>
      </c>
      <c r="H14" s="17" t="n">
        <v>4</v>
      </c>
      <c r="I14" s="17" t="n">
        <v>4</v>
      </c>
      <c r="J14" s="17" t="n">
        <v>4</v>
      </c>
      <c r="K14" s="17" t="n">
        <v>5</v>
      </c>
      <c r="L14" s="17" t="n">
        <v>4</v>
      </c>
      <c r="M14" s="17" t="n">
        <v>4</v>
      </c>
      <c r="N14" s="17" t="n">
        <v>4</v>
      </c>
      <c r="O14" s="17" t="n">
        <v>5</v>
      </c>
      <c r="P14" s="17" t="n">
        <v>3</v>
      </c>
      <c r="Q14" s="17" t="n">
        <v>5</v>
      </c>
      <c r="R14" s="17" t="n">
        <v>4</v>
      </c>
      <c r="S14" s="17" t="n">
        <v>6</v>
      </c>
      <c r="T14" s="17" t="n">
        <v>5</v>
      </c>
      <c r="U14" s="17" t="n">
        <v>4</v>
      </c>
      <c r="V14" s="17" t="n">
        <v>4</v>
      </c>
      <c r="W14" s="17" t="n">
        <v>5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Manuel Goulartt Medeiros</t>
        </is>
      </c>
      <c r="C15" s="8" t="inlineStr">
        <is>
          <t>52884</t>
        </is>
      </c>
      <c r="D15" t="inlineStr">
        <is>
          <t>Santo da Serra</t>
        </is>
      </c>
      <c r="E15" s="8" t="n">
        <v>12.3</v>
      </c>
      <c r="F15" s="17" t="n">
        <v>6</v>
      </c>
      <c r="G15" s="17" t="n">
        <v>5</v>
      </c>
      <c r="H15" s="17" t="n">
        <v>3</v>
      </c>
      <c r="I15" s="17" t="n">
        <v>4</v>
      </c>
      <c r="J15" s="17" t="n">
        <v>3</v>
      </c>
      <c r="K15" s="17" t="n">
        <v>5</v>
      </c>
      <c r="L15" s="17" t="n">
        <v>4</v>
      </c>
      <c r="M15" s="17" t="n">
        <v>5</v>
      </c>
      <c r="N15" s="17" t="n">
        <v>5</v>
      </c>
      <c r="O15" s="17" t="n">
        <v>4</v>
      </c>
      <c r="P15" s="17" t="n">
        <v>4</v>
      </c>
      <c r="Q15" s="17" t="n">
        <v>6</v>
      </c>
      <c r="R15" s="17" t="n">
        <v>3</v>
      </c>
      <c r="S15" s="17" t="n">
        <v>5</v>
      </c>
      <c r="T15" s="17" t="n">
        <v>5</v>
      </c>
      <c r="U15" s="17" t="n">
        <v>4</v>
      </c>
      <c r="V15" s="17" t="n">
        <v>6</v>
      </c>
      <c r="W15" s="17" t="n">
        <v>6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José Pedro Miranda</t>
        </is>
      </c>
      <c r="C16" s="8" t="inlineStr">
        <is>
          <t>38976</t>
        </is>
      </c>
      <c r="D16" t="inlineStr">
        <is>
          <t>Palheiro</t>
        </is>
      </c>
      <c r="E16" s="8" t="n">
        <v>6.9</v>
      </c>
      <c r="F16" s="17" t="n">
        <v>5</v>
      </c>
      <c r="G16" s="17" t="n">
        <v>4</v>
      </c>
      <c r="H16" s="17" t="n">
        <v>4</v>
      </c>
      <c r="I16" s="17" t="n">
        <v>4</v>
      </c>
      <c r="J16" s="17" t="n">
        <v>2</v>
      </c>
      <c r="K16" s="17" t="n">
        <v>6</v>
      </c>
      <c r="L16" s="17" t="n">
        <v>6</v>
      </c>
      <c r="M16" s="17" t="n">
        <v>5</v>
      </c>
      <c r="N16" s="17" t="n">
        <v>5</v>
      </c>
      <c r="O16" s="17" t="n">
        <v>7</v>
      </c>
      <c r="P16" s="17" t="n">
        <v>4</v>
      </c>
      <c r="Q16" s="17" t="n">
        <v>5</v>
      </c>
      <c r="R16" s="17" t="n">
        <v>4</v>
      </c>
      <c r="S16" s="17" t="n">
        <v>5</v>
      </c>
      <c r="T16" s="17" t="n">
        <v>5</v>
      </c>
      <c r="U16" s="17" t="n">
        <v>4</v>
      </c>
      <c r="V16" s="17" t="n">
        <v>4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Marcelo Gaspar</t>
        </is>
      </c>
      <c r="C17" s="8" t="inlineStr">
        <is>
          <t>38006</t>
        </is>
      </c>
      <c r="D17" t="inlineStr">
        <is>
          <t>Santo da Serra</t>
        </is>
      </c>
      <c r="E17" s="8" t="n">
        <v>7.2</v>
      </c>
      <c r="F17" s="17" t="n">
        <v>5</v>
      </c>
      <c r="G17" s="17" t="n">
        <v>6</v>
      </c>
      <c r="H17" s="17" t="n">
        <v>6</v>
      </c>
      <c r="I17" s="17" t="n">
        <v>4</v>
      </c>
      <c r="J17" s="17" t="n">
        <v>4</v>
      </c>
      <c r="K17" s="17" t="n">
        <v>6</v>
      </c>
      <c r="L17" s="17" t="n">
        <v>4</v>
      </c>
      <c r="M17" s="17" t="n">
        <v>7</v>
      </c>
      <c r="N17" s="17" t="n">
        <v>5</v>
      </c>
      <c r="O17" s="17" t="n">
        <v>6</v>
      </c>
      <c r="P17" s="17" t="n">
        <v>2</v>
      </c>
      <c r="Q17" s="17" t="n">
        <v>6</v>
      </c>
      <c r="R17" s="17" t="n">
        <v>3</v>
      </c>
      <c r="S17" s="17" t="n">
        <v>5</v>
      </c>
      <c r="T17" s="17" t="n">
        <v>6</v>
      </c>
      <c r="U17" s="17" t="n">
        <v>5</v>
      </c>
      <c r="V17" s="17" t="n">
        <v>5</v>
      </c>
      <c r="W17" s="17" t="n">
        <v>5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Rodrigo Abreu</t>
        </is>
      </c>
      <c r="C18" s="8" t="inlineStr">
        <is>
          <t>42684</t>
        </is>
      </c>
      <c r="D18" t="inlineStr">
        <is>
          <t>Palheiro</t>
        </is>
      </c>
      <c r="E18" s="8" t="n">
        <v>9.300000000000001</v>
      </c>
      <c r="F18" s="17" t="n">
        <v>6</v>
      </c>
      <c r="G18" s="17" t="n">
        <v>6</v>
      </c>
      <c r="H18" s="17" t="n">
        <v>5</v>
      </c>
      <c r="I18" s="17" t="n">
        <v>5</v>
      </c>
      <c r="J18" s="17" t="n">
        <v>6</v>
      </c>
      <c r="K18" s="17" t="n">
        <v>6</v>
      </c>
      <c r="L18" s="17" t="n">
        <v>2</v>
      </c>
      <c r="M18" s="17" t="n">
        <v>4</v>
      </c>
      <c r="N18" s="17" t="n">
        <v>5</v>
      </c>
      <c r="O18" s="17" t="n">
        <v>5</v>
      </c>
      <c r="P18" s="17" t="n">
        <v>2</v>
      </c>
      <c r="Q18" s="17" t="n">
        <v>6</v>
      </c>
      <c r="R18" s="17" t="n">
        <v>4</v>
      </c>
      <c r="S18" s="17" t="n">
        <v>6</v>
      </c>
      <c r="T18" s="17" t="n">
        <v>6</v>
      </c>
      <c r="U18" s="17" t="n">
        <v>4</v>
      </c>
      <c r="V18" s="17" t="n">
        <v>5</v>
      </c>
      <c r="W18" s="17" t="n">
        <v>7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Mateus Penucho</t>
        </is>
      </c>
      <c r="C19" s="8" t="inlineStr">
        <is>
          <t>52393</t>
        </is>
      </c>
      <c r="D19" t="inlineStr">
        <is>
          <t>Santo da Serra</t>
        </is>
      </c>
      <c r="E19" s="8" t="n">
        <v>16.8</v>
      </c>
      <c r="F19" s="17" t="n">
        <v>5</v>
      </c>
      <c r="G19" s="17" t="n">
        <v>5</v>
      </c>
      <c r="H19" s="17" t="n">
        <v>3</v>
      </c>
      <c r="I19" s="17" t="n">
        <v>3</v>
      </c>
      <c r="J19" s="17" t="n">
        <v>5</v>
      </c>
      <c r="K19" s="17" t="n">
        <v>7</v>
      </c>
      <c r="L19" s="17" t="n">
        <v>4</v>
      </c>
      <c r="M19" s="17" t="n">
        <v>5</v>
      </c>
      <c r="N19" s="17" t="n">
        <v>6</v>
      </c>
      <c r="O19" s="17" t="n">
        <v>5</v>
      </c>
      <c r="P19" s="17" t="n">
        <v>4</v>
      </c>
      <c r="Q19" s="17" t="n">
        <v>6</v>
      </c>
      <c r="R19" s="17" t="n">
        <v>3</v>
      </c>
      <c r="S19" s="17" t="n">
        <v>5</v>
      </c>
      <c r="T19" s="17" t="n">
        <v>6</v>
      </c>
      <c r="U19" s="17" t="n">
        <v>5</v>
      </c>
      <c r="V19" s="17" t="n">
        <v>7</v>
      </c>
      <c r="W19" s="17" t="n">
        <v>6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inlineStr">
        <is>
          <t>NS</t>
        </is>
      </c>
      <c r="B20" t="inlineStr">
        <is>
          <t>Manuel Gouveia</t>
        </is>
      </c>
      <c r="C20" s="8" t="inlineStr"/>
      <c r="D20" t="inlineStr">
        <is>
          <t>Santo da Serra</t>
        </is>
      </c>
      <c r="E20" s="8" t="n">
        <v>22.1</v>
      </c>
      <c r="AA20" s="8" t="n">
        <v>0</v>
      </c>
      <c r="AB20" s="18">
        <f>AA20</f>
        <v/>
      </c>
    </row>
  </sheetData>
  <mergeCells count="1">
    <mergeCell ref="A1:H1"/>
  </mergeCells>
  <conditionalFormatting sqref="F13:F20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20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20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20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20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20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20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20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20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20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20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20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20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20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20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20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20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20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1º Drive Tour Tejo — Montado</t>
        </is>
      </c>
    </row>
    <row r="2">
      <c r="A2" s="10" t="inlineStr">
        <is>
          <t>Data:</t>
        </is>
      </c>
      <c r="B2" t="inlineStr">
        <is>
          <t>2026-01-04</t>
        </is>
      </c>
    </row>
    <row r="3">
      <c r="A3" s="10" t="inlineStr">
        <is>
          <t>Campo:</t>
        </is>
      </c>
      <c r="B3" t="inlineStr">
        <is>
          <t>Montado</t>
        </is>
      </c>
    </row>
    <row r="4">
      <c r="A4" s="10" t="inlineStr">
        <is>
          <t>ccode/tcode:</t>
        </is>
      </c>
      <c r="B4" t="inlineStr">
        <is>
          <t>985/10202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https://scoring.datagolf.pt/pt/Classifications.aspx?ccode=985&amp;tcode=10202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5</v>
      </c>
      <c r="H11" s="14" t="n">
        <v>3</v>
      </c>
      <c r="I11" s="14" t="n">
        <v>4</v>
      </c>
      <c r="J11" s="14" t="n">
        <v>4</v>
      </c>
      <c r="K11" s="14" t="n">
        <v>4</v>
      </c>
      <c r="L11" s="14" t="n">
        <v>5</v>
      </c>
      <c r="M11" s="14" t="n">
        <v>3</v>
      </c>
      <c r="N11" s="14" t="n">
        <v>4</v>
      </c>
      <c r="O11" s="14" t="n">
        <v>4</v>
      </c>
      <c r="P11" s="14" t="n">
        <v>4</v>
      </c>
      <c r="Q11" s="14" t="n">
        <v>3</v>
      </c>
      <c r="R11" s="14" t="n">
        <v>4</v>
      </c>
      <c r="S11" s="14" t="n">
        <v>4</v>
      </c>
      <c r="T11" s="14" t="n">
        <v>5</v>
      </c>
      <c r="U11" s="14" t="n">
        <v>4</v>
      </c>
      <c r="V11" s="14" t="n">
        <v>5</v>
      </c>
      <c r="W11" s="14" t="n">
        <v>3</v>
      </c>
      <c r="Y11" s="15">
        <f>SUM(F11:W11)</f>
        <v/>
      </c>
    </row>
    <row r="12">
      <c r="A12" s="13" t="inlineStr">
        <is>
          <t>—SI—</t>
        </is>
      </c>
      <c r="F12" s="16" t="n">
        <v>16</v>
      </c>
      <c r="G12" s="16" t="n">
        <v>6</v>
      </c>
      <c r="H12" s="16" t="n">
        <v>18</v>
      </c>
      <c r="I12" s="16" t="n">
        <v>12</v>
      </c>
      <c r="J12" s="16" t="n">
        <v>10</v>
      </c>
      <c r="K12" s="16" t="n">
        <v>8</v>
      </c>
      <c r="L12" s="16" t="n">
        <v>4</v>
      </c>
      <c r="M12" s="16" t="n">
        <v>14</v>
      </c>
      <c r="N12" s="16" t="n">
        <v>2</v>
      </c>
      <c r="O12" s="16" t="n">
        <v>17</v>
      </c>
      <c r="P12" s="16" t="n">
        <v>1</v>
      </c>
      <c r="Q12" s="16" t="n">
        <v>15</v>
      </c>
      <c r="R12" s="16" t="n">
        <v>3</v>
      </c>
      <c r="S12" s="16" t="n">
        <v>7</v>
      </c>
      <c r="T12" s="16" t="n">
        <v>5</v>
      </c>
      <c r="U12" s="16" t="n">
        <v>13</v>
      </c>
      <c r="V12" s="16" t="n">
        <v>9</v>
      </c>
      <c r="W12" s="16" t="n">
        <v>11</v>
      </c>
    </row>
    <row r="13">
      <c r="A13" s="8" t="n">
        <v>1</v>
      </c>
      <c r="B13" t="inlineStr">
        <is>
          <t>Ruiqi Li</t>
        </is>
      </c>
      <c r="C13" s="8" t="inlineStr">
        <is>
          <t>49076</t>
        </is>
      </c>
      <c r="D13" t="inlineStr">
        <is>
          <t>Estoril</t>
        </is>
      </c>
      <c r="E13" s="8" t="n">
        <v>4.7</v>
      </c>
      <c r="F13" s="17" t="n">
        <v>4</v>
      </c>
      <c r="G13" s="17" t="n">
        <v>5</v>
      </c>
      <c r="H13" s="17" t="n">
        <v>3</v>
      </c>
      <c r="I13" s="17" t="n">
        <v>3</v>
      </c>
      <c r="J13" s="17" t="n">
        <v>5</v>
      </c>
      <c r="K13" s="17" t="n">
        <v>6</v>
      </c>
      <c r="L13" s="17" t="n">
        <v>5</v>
      </c>
      <c r="M13" s="17" t="n">
        <v>3</v>
      </c>
      <c r="N13" s="17" t="n">
        <v>4</v>
      </c>
      <c r="O13" s="17" t="n">
        <v>4</v>
      </c>
      <c r="P13" s="17" t="n">
        <v>5</v>
      </c>
      <c r="Q13" s="17" t="n">
        <v>3</v>
      </c>
      <c r="R13" s="17" t="n">
        <v>4</v>
      </c>
      <c r="S13" s="17" t="n">
        <v>5</v>
      </c>
      <c r="T13" s="17" t="n">
        <v>4</v>
      </c>
      <c r="U13" s="17" t="n">
        <v>4</v>
      </c>
      <c r="V13" s="17" t="n">
        <v>4</v>
      </c>
      <c r="W13" s="17" t="n">
        <v>3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Ricardo Castro Ferreira</t>
        </is>
      </c>
      <c r="C14" s="8" t="inlineStr">
        <is>
          <t>49085</t>
        </is>
      </c>
      <c r="D14" t="inlineStr">
        <is>
          <t>Estoril</t>
        </is>
      </c>
      <c r="E14" s="8" t="n">
        <v>7.7</v>
      </c>
      <c r="F14" s="17" t="n">
        <v>4</v>
      </c>
      <c r="G14" s="17" t="n">
        <v>5</v>
      </c>
      <c r="H14" s="17" t="n">
        <v>3</v>
      </c>
      <c r="I14" s="17" t="n">
        <v>4</v>
      </c>
      <c r="J14" s="17" t="n">
        <v>3</v>
      </c>
      <c r="K14" s="17" t="n">
        <v>5</v>
      </c>
      <c r="L14" s="17" t="n">
        <v>4</v>
      </c>
      <c r="M14" s="17" t="n">
        <v>3</v>
      </c>
      <c r="N14" s="17" t="n">
        <v>4</v>
      </c>
      <c r="O14" s="17" t="n">
        <v>4</v>
      </c>
      <c r="P14" s="17" t="n">
        <v>4</v>
      </c>
      <c r="Q14" s="17" t="n">
        <v>4</v>
      </c>
      <c r="R14" s="17" t="n">
        <v>4</v>
      </c>
      <c r="S14" s="17" t="n">
        <v>7</v>
      </c>
      <c r="T14" s="17" t="n">
        <v>5</v>
      </c>
      <c r="U14" s="17" t="n">
        <v>5</v>
      </c>
      <c r="V14" s="17" t="n">
        <v>5</v>
      </c>
      <c r="W14" s="17" t="n">
        <v>3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Nuno Palmares Jr.</t>
        </is>
      </c>
      <c r="C15" s="8" t="inlineStr">
        <is>
          <t>49124</t>
        </is>
      </c>
      <c r="D15" t="inlineStr">
        <is>
          <t>Estoril</t>
        </is>
      </c>
      <c r="E15" s="8" t="n">
        <v>4.1</v>
      </c>
      <c r="F15" s="17" t="n">
        <v>5</v>
      </c>
      <c r="G15" s="17" t="n">
        <v>5</v>
      </c>
      <c r="H15" s="17" t="n">
        <v>4</v>
      </c>
      <c r="I15" s="17" t="n">
        <v>4</v>
      </c>
      <c r="J15" s="17" t="n">
        <v>4</v>
      </c>
      <c r="K15" s="17" t="n">
        <v>5</v>
      </c>
      <c r="L15" s="17" t="n">
        <v>6</v>
      </c>
      <c r="M15" s="17" t="n">
        <v>3</v>
      </c>
      <c r="N15" s="17" t="n">
        <v>4</v>
      </c>
      <c r="O15" s="17" t="n">
        <v>4</v>
      </c>
      <c r="P15" s="17" t="n">
        <v>5</v>
      </c>
      <c r="Q15" s="17" t="n">
        <v>3</v>
      </c>
      <c r="R15" s="17" t="n">
        <v>3</v>
      </c>
      <c r="S15" s="17" t="n">
        <v>4</v>
      </c>
      <c r="T15" s="17" t="n">
        <v>6</v>
      </c>
      <c r="U15" s="17" t="n">
        <v>4</v>
      </c>
      <c r="V15" s="17" t="n">
        <v>5</v>
      </c>
      <c r="W15" s="17" t="n">
        <v>3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Francisca Salgado</t>
        </is>
      </c>
      <c r="C16" s="8" t="inlineStr">
        <is>
          <t>43832</t>
        </is>
      </c>
      <c r="D16" t="inlineStr">
        <is>
          <t>Vale de Janelas</t>
        </is>
      </c>
      <c r="E16" s="8" t="n">
        <v>0.5</v>
      </c>
      <c r="F16" s="17" t="n">
        <v>5</v>
      </c>
      <c r="G16" s="17" t="n">
        <v>5</v>
      </c>
      <c r="H16" s="17" t="n">
        <v>3</v>
      </c>
      <c r="I16" s="17" t="n">
        <v>4</v>
      </c>
      <c r="J16" s="17" t="n">
        <v>4</v>
      </c>
      <c r="K16" s="17" t="n">
        <v>5</v>
      </c>
      <c r="L16" s="17" t="n">
        <v>5</v>
      </c>
      <c r="M16" s="17" t="n">
        <v>2</v>
      </c>
      <c r="N16" s="17" t="n">
        <v>5</v>
      </c>
      <c r="O16" s="17" t="n">
        <v>4</v>
      </c>
      <c r="P16" s="17" t="n">
        <v>4</v>
      </c>
      <c r="Q16" s="17" t="n">
        <v>3</v>
      </c>
      <c r="R16" s="17" t="n">
        <v>5</v>
      </c>
      <c r="S16" s="17" t="n">
        <v>5</v>
      </c>
      <c r="T16" s="17" t="n">
        <v>6</v>
      </c>
      <c r="U16" s="17" t="n">
        <v>5</v>
      </c>
      <c r="V16" s="17" t="n">
        <v>5</v>
      </c>
      <c r="W16" s="17" t="n">
        <v>3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João Rocha</t>
        </is>
      </c>
      <c r="C17" s="8" t="inlineStr">
        <is>
          <t>48297</t>
        </is>
      </c>
      <c r="D17" t="inlineStr">
        <is>
          <t>Estoril</t>
        </is>
      </c>
      <c r="E17" s="8" t="n">
        <v>3.9</v>
      </c>
      <c r="F17" s="17" t="n">
        <v>4</v>
      </c>
      <c r="G17" s="17" t="n">
        <v>5</v>
      </c>
      <c r="H17" s="17" t="n">
        <v>3</v>
      </c>
      <c r="I17" s="17" t="n">
        <v>5</v>
      </c>
      <c r="J17" s="17" t="n">
        <v>4</v>
      </c>
      <c r="K17" s="17" t="n">
        <v>5</v>
      </c>
      <c r="L17" s="17" t="n">
        <v>6</v>
      </c>
      <c r="M17" s="17" t="n">
        <v>4</v>
      </c>
      <c r="N17" s="17" t="n">
        <v>5</v>
      </c>
      <c r="O17" s="17" t="n">
        <v>3</v>
      </c>
      <c r="P17" s="17" t="n">
        <v>5</v>
      </c>
      <c r="Q17" s="17" t="n">
        <v>3</v>
      </c>
      <c r="R17" s="17" t="n">
        <v>4</v>
      </c>
      <c r="S17" s="17" t="n">
        <v>5</v>
      </c>
      <c r="T17" s="17" t="n">
        <v>6</v>
      </c>
      <c r="U17" s="17" t="n">
        <v>4</v>
      </c>
      <c r="V17" s="17" t="n">
        <v>5</v>
      </c>
      <c r="W17" s="17" t="n">
        <v>3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Pedro Costa Alemão</t>
        </is>
      </c>
      <c r="C18" s="8" t="inlineStr">
        <is>
          <t>46706</t>
        </is>
      </c>
      <c r="D18" t="inlineStr">
        <is>
          <t>Estoril</t>
        </is>
      </c>
      <c r="E18" s="8" t="n">
        <v>4</v>
      </c>
      <c r="F18" s="17" t="n">
        <v>4</v>
      </c>
      <c r="G18" s="17" t="n">
        <v>5</v>
      </c>
      <c r="H18" s="17" t="n">
        <v>4</v>
      </c>
      <c r="I18" s="17" t="n">
        <v>4</v>
      </c>
      <c r="J18" s="17" t="n">
        <v>6</v>
      </c>
      <c r="K18" s="17" t="n">
        <v>4</v>
      </c>
      <c r="L18" s="17" t="n">
        <v>6</v>
      </c>
      <c r="M18" s="17" t="n">
        <v>3</v>
      </c>
      <c r="N18" s="17" t="n">
        <v>4</v>
      </c>
      <c r="O18" s="17" t="n">
        <v>4</v>
      </c>
      <c r="P18" s="17" t="n">
        <v>4</v>
      </c>
      <c r="Q18" s="17" t="n">
        <v>3</v>
      </c>
      <c r="R18" s="17" t="n">
        <v>4</v>
      </c>
      <c r="S18" s="17" t="n">
        <v>6</v>
      </c>
      <c r="T18" s="17" t="n">
        <v>5</v>
      </c>
      <c r="U18" s="17" t="n">
        <v>6</v>
      </c>
      <c r="V18" s="17" t="n">
        <v>5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Diogo Sequeira</t>
        </is>
      </c>
      <c r="C19" s="8" t="inlineStr">
        <is>
          <t>56654</t>
        </is>
      </c>
      <c r="D19" t="inlineStr">
        <is>
          <t>Quinta do Peru</t>
        </is>
      </c>
      <c r="E19" s="8" t="n">
        <v>5.6</v>
      </c>
      <c r="F19" s="17" t="n">
        <v>5</v>
      </c>
      <c r="G19" s="17" t="n">
        <v>5</v>
      </c>
      <c r="H19" s="17" t="n">
        <v>5</v>
      </c>
      <c r="I19" s="17" t="n">
        <v>4</v>
      </c>
      <c r="J19" s="17" t="n">
        <v>4</v>
      </c>
      <c r="K19" s="17" t="n">
        <v>4</v>
      </c>
      <c r="L19" s="17" t="n">
        <v>6</v>
      </c>
      <c r="M19" s="17" t="n">
        <v>5</v>
      </c>
      <c r="N19" s="17" t="n">
        <v>5</v>
      </c>
      <c r="O19" s="17" t="n">
        <v>4</v>
      </c>
      <c r="P19" s="17" t="n">
        <v>5</v>
      </c>
      <c r="Q19" s="17" t="n">
        <v>3</v>
      </c>
      <c r="R19" s="17" t="n">
        <v>4</v>
      </c>
      <c r="S19" s="17" t="n">
        <v>4</v>
      </c>
      <c r="T19" s="17" t="n">
        <v>6</v>
      </c>
      <c r="U19" s="17" t="n">
        <v>4</v>
      </c>
      <c r="V19" s="17" t="n">
        <v>6</v>
      </c>
      <c r="W19" s="17" t="n">
        <v>3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Angelina Gao</t>
        </is>
      </c>
      <c r="C20" s="8" t="inlineStr">
        <is>
          <t>51523</t>
        </is>
      </c>
      <c r="D20" t="inlineStr">
        <is>
          <t>Quinta do Peru</t>
        </is>
      </c>
      <c r="E20" s="8" t="n">
        <v>3.9</v>
      </c>
      <c r="F20" s="17" t="n">
        <v>5</v>
      </c>
      <c r="G20" s="17" t="n">
        <v>5</v>
      </c>
      <c r="H20" s="17" t="n">
        <v>4</v>
      </c>
      <c r="I20" s="17" t="n">
        <v>5</v>
      </c>
      <c r="J20" s="17" t="n">
        <v>5</v>
      </c>
      <c r="K20" s="17" t="n">
        <v>5</v>
      </c>
      <c r="L20" s="17" t="n">
        <v>7</v>
      </c>
      <c r="M20" s="17" t="n">
        <v>3</v>
      </c>
      <c r="N20" s="17" t="n">
        <v>6</v>
      </c>
      <c r="O20" s="17" t="n">
        <v>5</v>
      </c>
      <c r="P20" s="17" t="n">
        <v>4</v>
      </c>
      <c r="Q20" s="17" t="n">
        <v>3</v>
      </c>
      <c r="R20" s="17" t="n">
        <v>5</v>
      </c>
      <c r="S20" s="17" t="n">
        <v>4</v>
      </c>
      <c r="T20" s="17" t="n">
        <v>6</v>
      </c>
      <c r="U20" s="17" t="n">
        <v>5</v>
      </c>
      <c r="V20" s="17" t="n">
        <v>5</v>
      </c>
      <c r="W20" s="17" t="n">
        <v>3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William Gao</t>
        </is>
      </c>
      <c r="C21" s="8" t="inlineStr">
        <is>
          <t>51524</t>
        </is>
      </c>
      <c r="D21" t="inlineStr">
        <is>
          <t>Quinta do Peru</t>
        </is>
      </c>
      <c r="E21" s="8" t="n">
        <v>8.699999999999999</v>
      </c>
      <c r="F21" s="17" t="n">
        <v>5</v>
      </c>
      <c r="G21" s="17" t="n">
        <v>6</v>
      </c>
      <c r="H21" s="17" t="n">
        <v>3</v>
      </c>
      <c r="I21" s="17" t="n">
        <v>5</v>
      </c>
      <c r="J21" s="17" t="n">
        <v>5</v>
      </c>
      <c r="K21" s="17" t="n">
        <v>6</v>
      </c>
      <c r="L21" s="17" t="n">
        <v>6</v>
      </c>
      <c r="M21" s="17" t="n">
        <v>3</v>
      </c>
      <c r="N21" s="17" t="n">
        <v>6</v>
      </c>
      <c r="O21" s="17" t="n">
        <v>5</v>
      </c>
      <c r="P21" s="17" t="n">
        <v>5</v>
      </c>
      <c r="Q21" s="17" t="n">
        <v>4</v>
      </c>
      <c r="R21" s="17" t="n">
        <v>5</v>
      </c>
      <c r="S21" s="17" t="n">
        <v>5</v>
      </c>
      <c r="T21" s="17" t="n">
        <v>6</v>
      </c>
      <c r="U21" s="17" t="n">
        <v>3</v>
      </c>
      <c r="V21" s="17" t="n">
        <v>5</v>
      </c>
      <c r="W21" s="17" t="n">
        <v>3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João Gomes</t>
        </is>
      </c>
      <c r="C22" s="8" t="inlineStr">
        <is>
          <t>53715</t>
        </is>
      </c>
      <c r="D22" t="inlineStr">
        <is>
          <t>Lisbon SC</t>
        </is>
      </c>
      <c r="E22" s="8" t="n">
        <v>10.7</v>
      </c>
      <c r="F22" s="17" t="n">
        <v>5</v>
      </c>
      <c r="G22" s="17" t="n">
        <v>5</v>
      </c>
      <c r="H22" s="17" t="n">
        <v>3</v>
      </c>
      <c r="I22" s="17" t="n">
        <v>5</v>
      </c>
      <c r="J22" s="17" t="n">
        <v>5</v>
      </c>
      <c r="K22" s="17" t="n">
        <v>5</v>
      </c>
      <c r="L22" s="17" t="n">
        <v>5</v>
      </c>
      <c r="M22" s="17" t="n">
        <v>4</v>
      </c>
      <c r="N22" s="17" t="n">
        <v>6</v>
      </c>
      <c r="O22" s="17" t="n">
        <v>5</v>
      </c>
      <c r="P22" s="17" t="n">
        <v>5</v>
      </c>
      <c r="Q22" s="17" t="n">
        <v>5</v>
      </c>
      <c r="R22" s="17" t="n">
        <v>5</v>
      </c>
      <c r="S22" s="17" t="n">
        <v>5</v>
      </c>
      <c r="T22" s="17" t="n">
        <v>5</v>
      </c>
      <c r="U22" s="17" t="n">
        <v>4</v>
      </c>
      <c r="V22" s="17" t="n">
        <v>6</v>
      </c>
      <c r="W22" s="17" t="n">
        <v>3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Madalena Figueiredo</t>
        </is>
      </c>
      <c r="C23" s="8" t="inlineStr">
        <is>
          <t>52011</t>
        </is>
      </c>
      <c r="D23" t="inlineStr">
        <is>
          <t>Belas</t>
        </is>
      </c>
      <c r="E23" s="8" t="n">
        <v>9.4</v>
      </c>
      <c r="F23" s="17" t="n">
        <v>5</v>
      </c>
      <c r="G23" s="17" t="n">
        <v>6</v>
      </c>
      <c r="H23" s="17" t="n">
        <v>3</v>
      </c>
      <c r="I23" s="17" t="n">
        <v>6</v>
      </c>
      <c r="J23" s="17" t="n">
        <v>4</v>
      </c>
      <c r="K23" s="17" t="n">
        <v>5</v>
      </c>
      <c r="L23" s="17" t="n">
        <v>5</v>
      </c>
      <c r="M23" s="17" t="n">
        <v>6</v>
      </c>
      <c r="N23" s="17" t="n">
        <v>5</v>
      </c>
      <c r="O23" s="17" t="n">
        <v>4</v>
      </c>
      <c r="P23" s="17" t="n">
        <v>4</v>
      </c>
      <c r="Q23" s="17" t="n">
        <v>4</v>
      </c>
      <c r="R23" s="17" t="n">
        <v>5</v>
      </c>
      <c r="S23" s="17" t="n">
        <v>5</v>
      </c>
      <c r="T23" s="17" t="n">
        <v>6</v>
      </c>
      <c r="U23" s="17" t="n">
        <v>5</v>
      </c>
      <c r="V23" s="17" t="n">
        <v>6</v>
      </c>
      <c r="W23" s="17" t="n">
        <v>3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Duarte Soares Franco</t>
        </is>
      </c>
      <c r="C24" s="8" t="inlineStr">
        <is>
          <t>48531</t>
        </is>
      </c>
      <c r="D24" t="inlineStr">
        <is>
          <t>Estoril</t>
        </is>
      </c>
      <c r="E24" s="8" t="n">
        <v>8.800000000000001</v>
      </c>
      <c r="F24" s="17" t="n">
        <v>5</v>
      </c>
      <c r="G24" s="17" t="n">
        <v>4</v>
      </c>
      <c r="H24" s="17" t="n">
        <v>5</v>
      </c>
      <c r="I24" s="17" t="n">
        <v>4</v>
      </c>
      <c r="J24" s="17" t="n">
        <v>5</v>
      </c>
      <c r="K24" s="17" t="n">
        <v>4</v>
      </c>
      <c r="L24" s="17" t="n">
        <v>5</v>
      </c>
      <c r="M24" s="17" t="n">
        <v>3</v>
      </c>
      <c r="N24" s="17" t="n">
        <v>5</v>
      </c>
      <c r="O24" s="17" t="n">
        <v>6</v>
      </c>
      <c r="P24" s="17" t="n">
        <v>5</v>
      </c>
      <c r="Q24" s="17" t="n">
        <v>5</v>
      </c>
      <c r="R24" s="17" t="n">
        <v>6</v>
      </c>
      <c r="S24" s="17" t="n">
        <v>4</v>
      </c>
      <c r="T24" s="17" t="n">
        <v>6</v>
      </c>
      <c r="U24" s="17" t="n">
        <v>4</v>
      </c>
      <c r="V24" s="17" t="n">
        <v>5</v>
      </c>
      <c r="W24" s="17" t="n">
        <v>6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Martim Sousa de Morais</t>
        </is>
      </c>
      <c r="C25" s="8" t="inlineStr">
        <is>
          <t>41609</t>
        </is>
      </c>
      <c r="D25" t="inlineStr">
        <is>
          <t>Belas</t>
        </is>
      </c>
      <c r="E25" s="8" t="n">
        <v>4.5</v>
      </c>
      <c r="F25" s="17" t="n">
        <v>4</v>
      </c>
      <c r="G25" s="17" t="n">
        <v>5</v>
      </c>
      <c r="H25" s="17" t="n">
        <v>3</v>
      </c>
      <c r="I25" s="17" t="n">
        <v>4</v>
      </c>
      <c r="J25" s="17" t="n">
        <v>4</v>
      </c>
      <c r="K25" s="17" t="n">
        <v>4</v>
      </c>
      <c r="L25" s="17" t="n">
        <v>6</v>
      </c>
      <c r="M25" s="17" t="n">
        <v>3</v>
      </c>
      <c r="N25" s="17" t="n">
        <v>5</v>
      </c>
      <c r="O25" s="17" t="n">
        <v>5</v>
      </c>
      <c r="P25" s="17" t="n">
        <v>5</v>
      </c>
      <c r="Q25" s="17" t="n">
        <v>4</v>
      </c>
      <c r="R25" s="17" t="n">
        <v>4</v>
      </c>
      <c r="S25" s="17" t="n">
        <v>5</v>
      </c>
      <c r="T25" s="17" t="n">
        <v>7</v>
      </c>
      <c r="U25" s="17" t="n">
        <v>6</v>
      </c>
      <c r="V25" s="17" t="n">
        <v>7</v>
      </c>
      <c r="W25" s="17" t="n">
        <v>6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  <row r="26">
      <c r="A26" s="8" t="n">
        <v>14</v>
      </c>
      <c r="B26" t="inlineStr">
        <is>
          <t>Tomás Valério</t>
        </is>
      </c>
      <c r="C26" s="8" t="inlineStr">
        <is>
          <t>50011</t>
        </is>
      </c>
      <c r="D26" t="inlineStr">
        <is>
          <t>Vilamoura, C. G</t>
        </is>
      </c>
      <c r="E26" s="8" t="n">
        <v>26.7</v>
      </c>
      <c r="F26" s="17" t="n">
        <v>6</v>
      </c>
      <c r="G26" s="17" t="n">
        <v>6</v>
      </c>
      <c r="H26" s="17" t="n">
        <v>4</v>
      </c>
      <c r="I26" s="17" t="n">
        <v>6</v>
      </c>
      <c r="J26" s="17" t="n">
        <v>4</v>
      </c>
      <c r="K26" s="17" t="n">
        <v>6</v>
      </c>
      <c r="L26" s="17" t="n">
        <v>4</v>
      </c>
      <c r="M26" s="17" t="n">
        <v>4</v>
      </c>
      <c r="N26" s="17" t="n">
        <v>6</v>
      </c>
      <c r="O26" s="17" t="n">
        <v>6</v>
      </c>
      <c r="P26" s="17" t="n">
        <v>4</v>
      </c>
      <c r="Q26" s="17" t="n">
        <v>4</v>
      </c>
      <c r="R26" s="17" t="n">
        <v>5</v>
      </c>
      <c r="S26" s="17" t="n">
        <v>4</v>
      </c>
      <c r="T26" s="17" t="n">
        <v>6</v>
      </c>
      <c r="U26" s="17" t="n">
        <v>5</v>
      </c>
      <c r="V26" s="17" t="n">
        <v>5</v>
      </c>
      <c r="W26" s="17" t="n">
        <v>3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8">
        <f>AA26</f>
        <v/>
      </c>
    </row>
    <row r="27">
      <c r="A27" s="8" t="n">
        <v>15</v>
      </c>
      <c r="B27" t="inlineStr">
        <is>
          <t>Clara Trindade</t>
        </is>
      </c>
      <c r="C27" s="8" t="inlineStr">
        <is>
          <t>45812</t>
        </is>
      </c>
      <c r="D27" t="inlineStr">
        <is>
          <t>Belas</t>
        </is>
      </c>
      <c r="E27" s="8" t="n">
        <v>7.4</v>
      </c>
      <c r="F27" s="17" t="n">
        <v>6</v>
      </c>
      <c r="G27" s="17" t="n">
        <v>5</v>
      </c>
      <c r="H27" s="17" t="n">
        <v>4</v>
      </c>
      <c r="I27" s="17" t="n">
        <v>5</v>
      </c>
      <c r="J27" s="17" t="n">
        <v>5</v>
      </c>
      <c r="K27" s="17" t="n">
        <v>3</v>
      </c>
      <c r="L27" s="17" t="n">
        <v>7</v>
      </c>
      <c r="M27" s="17" t="n">
        <v>3</v>
      </c>
      <c r="N27" s="17" t="n">
        <v>5</v>
      </c>
      <c r="O27" s="17" t="n">
        <v>5</v>
      </c>
      <c r="P27" s="17" t="n">
        <v>4</v>
      </c>
      <c r="Q27" s="17" t="n">
        <v>5</v>
      </c>
      <c r="R27" s="17" t="n">
        <v>8</v>
      </c>
      <c r="S27" s="17" t="n">
        <v>5</v>
      </c>
      <c r="T27" s="17" t="n">
        <v>6</v>
      </c>
      <c r="U27" s="17" t="n">
        <v>4</v>
      </c>
      <c r="V27" s="17" t="n">
        <v>5</v>
      </c>
      <c r="W27" s="17" t="n">
        <v>5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8">
        <f>AA27</f>
        <v/>
      </c>
    </row>
    <row r="28">
      <c r="A28" s="8" t="n">
        <v>16</v>
      </c>
      <c r="B28" t="inlineStr">
        <is>
          <t>Joaquim Gomes</t>
        </is>
      </c>
      <c r="C28" s="8" t="inlineStr">
        <is>
          <t>53714</t>
        </is>
      </c>
      <c r="D28" t="inlineStr">
        <is>
          <t>Lisbon SC</t>
        </is>
      </c>
      <c r="E28" s="8" t="n">
        <v>11.1</v>
      </c>
      <c r="F28" s="17" t="n">
        <v>5</v>
      </c>
      <c r="G28" s="17" t="n">
        <v>6</v>
      </c>
      <c r="H28" s="17" t="n">
        <v>4</v>
      </c>
      <c r="I28" s="17" t="n">
        <v>5</v>
      </c>
      <c r="J28" s="17" t="n">
        <v>6</v>
      </c>
      <c r="K28" s="17" t="n">
        <v>5</v>
      </c>
      <c r="L28" s="17" t="n">
        <v>5</v>
      </c>
      <c r="M28" s="17" t="n">
        <v>4</v>
      </c>
      <c r="N28" s="17" t="n">
        <v>5</v>
      </c>
      <c r="O28" s="17" t="n">
        <v>6</v>
      </c>
      <c r="P28" s="17" t="n">
        <v>6</v>
      </c>
      <c r="Q28" s="17" t="n">
        <v>3</v>
      </c>
      <c r="R28" s="17" t="n">
        <v>5</v>
      </c>
      <c r="S28" s="17" t="n">
        <v>5</v>
      </c>
      <c r="T28" s="17" t="n">
        <v>6</v>
      </c>
      <c r="U28" s="17" t="n">
        <v>5</v>
      </c>
      <c r="V28" s="17" t="n">
        <v>6</v>
      </c>
      <c r="W28" s="17" t="n">
        <v>4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8">
        <f>AA28</f>
        <v/>
      </c>
    </row>
    <row r="29">
      <c r="A29" s="8" t="n">
        <v>17</v>
      </c>
      <c r="B29" t="inlineStr">
        <is>
          <t>Rafael Gonçales Benesi</t>
        </is>
      </c>
      <c r="C29" s="8" t="inlineStr">
        <is>
          <t>54774</t>
        </is>
      </c>
      <c r="D29" t="inlineStr">
        <is>
          <t>Estoril</t>
        </is>
      </c>
      <c r="E29" s="8" t="n">
        <v>6.4</v>
      </c>
      <c r="F29" s="17" t="n">
        <v>6</v>
      </c>
      <c r="G29" s="17" t="n">
        <v>5</v>
      </c>
      <c r="H29" s="17" t="n">
        <v>3</v>
      </c>
      <c r="I29" s="17" t="n">
        <v>5</v>
      </c>
      <c r="J29" s="17" t="n">
        <v>4</v>
      </c>
      <c r="K29" s="17" t="n">
        <v>4</v>
      </c>
      <c r="L29" s="17" t="n">
        <v>7</v>
      </c>
      <c r="M29" s="17" t="n">
        <v>3</v>
      </c>
      <c r="N29" s="17" t="n">
        <v>8</v>
      </c>
      <c r="O29" s="17" t="n">
        <v>5</v>
      </c>
      <c r="P29" s="17" t="n">
        <v>6</v>
      </c>
      <c r="Q29" s="17" t="n">
        <v>3</v>
      </c>
      <c r="R29" s="17" t="n">
        <v>4</v>
      </c>
      <c r="S29" s="17" t="n">
        <v>8</v>
      </c>
      <c r="T29" s="17" t="n">
        <v>5</v>
      </c>
      <c r="U29" s="17" t="n">
        <v>5</v>
      </c>
      <c r="V29" s="17" t="n">
        <v>7</v>
      </c>
      <c r="W29" s="17" t="n">
        <v>3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8">
        <f>AA29</f>
        <v/>
      </c>
    </row>
    <row r="30">
      <c r="A30" s="8" t="n">
        <v>18</v>
      </c>
      <c r="B30" t="inlineStr">
        <is>
          <t>Miguel Santos Pereira</t>
        </is>
      </c>
      <c r="C30" s="8" t="inlineStr">
        <is>
          <t>48946</t>
        </is>
      </c>
      <c r="D30" t="inlineStr">
        <is>
          <t>Vilamoura, C. G</t>
        </is>
      </c>
      <c r="E30" s="8" t="n">
        <v>21.3</v>
      </c>
      <c r="F30" s="17" t="n">
        <v>5</v>
      </c>
      <c r="G30" s="17" t="n">
        <v>6</v>
      </c>
      <c r="H30" s="17" t="n">
        <v>4</v>
      </c>
      <c r="I30" s="17" t="n">
        <v>5</v>
      </c>
      <c r="J30" s="17" t="n">
        <v>4</v>
      </c>
      <c r="K30" s="17" t="n">
        <v>7</v>
      </c>
      <c r="L30" s="17" t="n">
        <v>7</v>
      </c>
      <c r="M30" s="17" t="n">
        <v>4</v>
      </c>
      <c r="N30" s="17" t="n">
        <v>5</v>
      </c>
      <c r="O30" s="17" t="n">
        <v>5</v>
      </c>
      <c r="P30" s="17" t="n">
        <v>6</v>
      </c>
      <c r="Q30" s="17" t="n">
        <v>3</v>
      </c>
      <c r="R30" s="17" t="n">
        <v>6</v>
      </c>
      <c r="S30" s="17" t="n">
        <v>5</v>
      </c>
      <c r="T30" s="17" t="n">
        <v>7</v>
      </c>
      <c r="U30" s="17" t="n">
        <v>5</v>
      </c>
      <c r="V30" s="17" t="n">
        <v>5</v>
      </c>
      <c r="W30" s="17" t="n">
        <v>3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8">
        <f>AA30</f>
        <v/>
      </c>
    </row>
    <row r="31">
      <c r="A31" s="8" t="n">
        <v>19</v>
      </c>
      <c r="B31" t="inlineStr">
        <is>
          <t>Gabriel Costa</t>
        </is>
      </c>
      <c r="C31" s="8" t="inlineStr">
        <is>
          <t>53838</t>
        </is>
      </c>
      <c r="D31" t="inlineStr">
        <is>
          <t>Amendoeira</t>
        </is>
      </c>
      <c r="E31" s="8" t="n">
        <v>21.5</v>
      </c>
      <c r="F31" s="17" t="n">
        <v>7</v>
      </c>
      <c r="G31" s="17" t="n">
        <v>5</v>
      </c>
      <c r="H31" s="17" t="n">
        <v>4</v>
      </c>
      <c r="I31" s="17" t="n">
        <v>5</v>
      </c>
      <c r="J31" s="17" t="n">
        <v>4</v>
      </c>
      <c r="K31" s="17" t="n">
        <v>5</v>
      </c>
      <c r="L31" s="17" t="n">
        <v>7</v>
      </c>
      <c r="M31" s="17" t="n">
        <v>4</v>
      </c>
      <c r="N31" s="17" t="n">
        <v>7</v>
      </c>
      <c r="O31" s="17" t="n">
        <v>4</v>
      </c>
      <c r="P31" s="17" t="n">
        <v>7</v>
      </c>
      <c r="Q31" s="17" t="n">
        <v>3</v>
      </c>
      <c r="R31" s="17" t="n">
        <v>6</v>
      </c>
      <c r="S31" s="17" t="n">
        <v>4</v>
      </c>
      <c r="T31" s="17" t="n">
        <v>6</v>
      </c>
      <c r="U31" s="17" t="n">
        <v>5</v>
      </c>
      <c r="V31" s="17" t="n">
        <v>7</v>
      </c>
      <c r="W31" s="17" t="n">
        <v>4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8">
        <f>AA31</f>
        <v/>
      </c>
    </row>
    <row r="32">
      <c r="A32" s="8" t="n">
        <v>20</v>
      </c>
      <c r="B32" t="inlineStr">
        <is>
          <t>Francisca Vilela</t>
        </is>
      </c>
      <c r="C32" s="8" t="inlineStr">
        <is>
          <t>36700</t>
        </is>
      </c>
      <c r="D32" t="inlineStr">
        <is>
          <t>Lisbon SC</t>
        </is>
      </c>
      <c r="E32" s="8" t="n">
        <v>15.8</v>
      </c>
      <c r="F32" s="17" t="n">
        <v>7</v>
      </c>
      <c r="G32" s="17" t="n">
        <v>6</v>
      </c>
      <c r="H32" s="17" t="n">
        <v>4</v>
      </c>
      <c r="I32" s="17" t="n">
        <v>5</v>
      </c>
      <c r="J32" s="17" t="n">
        <v>7</v>
      </c>
      <c r="K32" s="17" t="n">
        <v>5</v>
      </c>
      <c r="L32" s="17" t="n">
        <v>6</v>
      </c>
      <c r="M32" s="17" t="n">
        <v>3</v>
      </c>
      <c r="N32" s="17" t="n">
        <v>7</v>
      </c>
      <c r="O32" s="17" t="n">
        <v>4</v>
      </c>
      <c r="P32" s="17" t="n">
        <v>6</v>
      </c>
      <c r="Q32" s="17" t="n">
        <v>3</v>
      </c>
      <c r="R32" s="17" t="n">
        <v>6</v>
      </c>
      <c r="S32" s="17" t="n">
        <v>6</v>
      </c>
      <c r="T32" s="17" t="n">
        <v>7</v>
      </c>
      <c r="U32" s="17" t="n">
        <v>4</v>
      </c>
      <c r="V32" s="17" t="n">
        <v>6</v>
      </c>
      <c r="W32" s="17" t="n">
        <v>3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8">
        <f>AA32</f>
        <v/>
      </c>
    </row>
    <row r="33">
      <c r="A33" s="8" t="n">
        <v>21</v>
      </c>
      <c r="B33" t="inlineStr">
        <is>
          <t>Tiago Lúcio</t>
        </is>
      </c>
      <c r="C33" s="8" t="inlineStr">
        <is>
          <t>44844</t>
        </is>
      </c>
      <c r="D33" t="inlineStr">
        <is>
          <t>Jamor C.G.</t>
        </is>
      </c>
      <c r="E33" s="8" t="n">
        <v>21.7</v>
      </c>
      <c r="F33" s="17" t="n">
        <v>5</v>
      </c>
      <c r="G33" s="17" t="n">
        <v>6</v>
      </c>
      <c r="H33" s="17" t="n">
        <v>4</v>
      </c>
      <c r="I33" s="17" t="n">
        <v>6</v>
      </c>
      <c r="J33" s="17" t="n">
        <v>4</v>
      </c>
      <c r="K33" s="17" t="n">
        <v>5</v>
      </c>
      <c r="L33" s="17" t="n">
        <v>6</v>
      </c>
      <c r="M33" s="17" t="n">
        <v>4</v>
      </c>
      <c r="N33" s="17" t="n">
        <v>6</v>
      </c>
      <c r="O33" s="17" t="n">
        <v>5</v>
      </c>
      <c r="P33" s="17" t="n">
        <v>6</v>
      </c>
      <c r="Q33" s="17" t="n">
        <v>6</v>
      </c>
      <c r="R33" s="17" t="n">
        <v>5</v>
      </c>
      <c r="S33" s="17" t="n">
        <v>5</v>
      </c>
      <c r="T33" s="17" t="n">
        <v>8</v>
      </c>
      <c r="U33" s="17" t="n">
        <v>5</v>
      </c>
      <c r="V33" s="17" t="n">
        <v>7</v>
      </c>
      <c r="W33" s="17" t="n">
        <v>4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8">
        <f>AA33</f>
        <v/>
      </c>
    </row>
    <row r="34">
      <c r="A34" s="8" t="n">
        <v>22</v>
      </c>
      <c r="B34" t="inlineStr">
        <is>
          <t>Marek Pejas</t>
        </is>
      </c>
      <c r="C34" s="8" t="inlineStr">
        <is>
          <t>52069</t>
        </is>
      </c>
      <c r="D34" t="inlineStr">
        <is>
          <t>Vilamoura, C. G</t>
        </is>
      </c>
      <c r="E34" s="8" t="n">
        <v>20.1</v>
      </c>
      <c r="F34" s="17" t="n">
        <v>6</v>
      </c>
      <c r="G34" s="17" t="n">
        <v>6</v>
      </c>
      <c r="H34" s="17" t="n">
        <v>6</v>
      </c>
      <c r="I34" s="17" t="n">
        <v>7</v>
      </c>
      <c r="J34" s="17" t="n">
        <v>7</v>
      </c>
      <c r="K34" s="17" t="n">
        <v>6</v>
      </c>
      <c r="L34" s="17" t="n">
        <v>8</v>
      </c>
      <c r="M34" s="17" t="n">
        <v>3</v>
      </c>
      <c r="N34" s="17" t="n">
        <v>6</v>
      </c>
      <c r="O34" s="17" t="n">
        <v>5</v>
      </c>
      <c r="P34" s="17" t="n">
        <v>4</v>
      </c>
      <c r="Q34" s="17" t="n">
        <v>3</v>
      </c>
      <c r="R34" s="17" t="n">
        <v>5</v>
      </c>
      <c r="S34" s="17" t="n">
        <v>6</v>
      </c>
      <c r="T34" s="17" t="n">
        <v>7</v>
      </c>
      <c r="U34" s="17" t="n">
        <v>4</v>
      </c>
      <c r="V34" s="17" t="n">
        <v>5</v>
      </c>
      <c r="W34" s="17" t="n">
        <v>4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8">
        <f>AA34</f>
        <v/>
      </c>
    </row>
    <row r="35">
      <c r="A35" s="8" t="n">
        <v>23</v>
      </c>
      <c r="B35" t="inlineStr">
        <is>
          <t>Manuel Vaz Pinto</t>
        </is>
      </c>
      <c r="C35" s="8" t="inlineStr">
        <is>
          <t>51430</t>
        </is>
      </c>
      <c r="D35" t="inlineStr">
        <is>
          <t>Lisbon SC</t>
        </is>
      </c>
      <c r="E35" s="8" t="n">
        <v>20.9</v>
      </c>
      <c r="F35" s="17" t="n">
        <v>7</v>
      </c>
      <c r="G35" s="17" t="n">
        <v>5</v>
      </c>
      <c r="H35" s="17" t="n">
        <v>4</v>
      </c>
      <c r="I35" s="17" t="n">
        <v>4</v>
      </c>
      <c r="J35" s="17" t="n">
        <v>4</v>
      </c>
      <c r="K35" s="17" t="n">
        <v>5</v>
      </c>
      <c r="L35" s="17" t="n">
        <v>7</v>
      </c>
      <c r="M35" s="17" t="n">
        <v>4</v>
      </c>
      <c r="N35" s="17" t="n">
        <v>8</v>
      </c>
      <c r="O35" s="17" t="n">
        <v>5</v>
      </c>
      <c r="P35" s="17" t="n">
        <v>6</v>
      </c>
      <c r="Q35" s="17" t="n">
        <v>4</v>
      </c>
      <c r="R35" s="17" t="n">
        <v>7</v>
      </c>
      <c r="S35" s="17" t="n">
        <v>7</v>
      </c>
      <c r="T35" s="17" t="n">
        <v>6</v>
      </c>
      <c r="U35" s="17" t="n">
        <v>4</v>
      </c>
      <c r="V35" s="17" t="n">
        <v>5</v>
      </c>
      <c r="W35" s="17" t="n">
        <v>7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8">
        <f>AA35</f>
        <v/>
      </c>
    </row>
    <row r="36">
      <c r="A36" s="8" t="n">
        <v>24</v>
      </c>
      <c r="B36" t="inlineStr">
        <is>
          <t>Catarina Valério</t>
        </is>
      </c>
      <c r="C36" s="8" t="inlineStr">
        <is>
          <t>46873</t>
        </is>
      </c>
      <c r="D36" t="inlineStr">
        <is>
          <t>Vilamoura, C. G</t>
        </is>
      </c>
      <c r="E36" s="8" t="n">
        <v>17.9</v>
      </c>
      <c r="F36" s="17" t="n">
        <v>6</v>
      </c>
      <c r="G36" s="17" t="n">
        <v>8</v>
      </c>
      <c r="H36" s="17" t="n">
        <v>3</v>
      </c>
      <c r="I36" s="17" t="n">
        <v>6</v>
      </c>
      <c r="J36" s="17" t="n">
        <v>5</v>
      </c>
      <c r="K36" s="17" t="n">
        <v>8</v>
      </c>
      <c r="L36" s="17" t="n">
        <v>6</v>
      </c>
      <c r="M36" s="17" t="n">
        <v>4</v>
      </c>
      <c r="N36" s="17" t="n">
        <v>5</v>
      </c>
      <c r="O36" s="17" t="n">
        <v>5</v>
      </c>
      <c r="P36" s="17" t="n">
        <v>6</v>
      </c>
      <c r="Q36" s="17" t="n">
        <v>5</v>
      </c>
      <c r="R36" s="17" t="n">
        <v>6</v>
      </c>
      <c r="S36" s="17" t="n">
        <v>7</v>
      </c>
      <c r="T36" s="17" t="n">
        <v>8</v>
      </c>
      <c r="U36" s="17" t="n">
        <v>5</v>
      </c>
      <c r="V36" s="17" t="n">
        <v>6</v>
      </c>
      <c r="W36" s="17" t="n">
        <v>4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8">
        <f>AA36</f>
        <v/>
      </c>
    </row>
    <row r="37">
      <c r="A37" s="8" t="n">
        <v>25</v>
      </c>
      <c r="B37" t="inlineStr">
        <is>
          <t>Ryan Dantas</t>
        </is>
      </c>
      <c r="C37" s="8" t="inlineStr">
        <is>
          <t>45439</t>
        </is>
      </c>
      <c r="D37" t="inlineStr">
        <is>
          <t>Belas</t>
        </is>
      </c>
      <c r="E37" s="8" t="n">
        <v>6.4</v>
      </c>
      <c r="F37" s="17" t="n">
        <v>8</v>
      </c>
      <c r="G37" s="17" t="n">
        <v>5</v>
      </c>
      <c r="H37" s="17" t="n">
        <v>3</v>
      </c>
      <c r="I37" s="17" t="n">
        <v>6</v>
      </c>
      <c r="J37" s="17" t="n">
        <v>5</v>
      </c>
      <c r="K37" s="17" t="n">
        <v>7</v>
      </c>
      <c r="L37" s="17" t="n">
        <v>6</v>
      </c>
      <c r="M37" s="17" t="n">
        <v>3</v>
      </c>
      <c r="N37" s="17" t="n">
        <v>10</v>
      </c>
      <c r="O37" s="17" t="n">
        <v>10</v>
      </c>
      <c r="P37" s="17" t="n">
        <v>7</v>
      </c>
      <c r="Q37" s="17" t="n">
        <v>3</v>
      </c>
      <c r="R37" s="17" t="n">
        <v>4</v>
      </c>
      <c r="S37" s="17" t="n">
        <v>6</v>
      </c>
      <c r="T37" s="17" t="n">
        <v>5</v>
      </c>
      <c r="U37" s="17" t="n">
        <v>6</v>
      </c>
      <c r="V37" s="17" t="n">
        <v>6</v>
      </c>
      <c r="W37" s="17" t="n">
        <v>4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8">
        <f>AA37</f>
        <v/>
      </c>
    </row>
    <row r="38">
      <c r="A38" s="8" t="n">
        <v>26</v>
      </c>
      <c r="B38" t="inlineStr">
        <is>
          <t>Alfie Kelley</t>
        </is>
      </c>
      <c r="C38" s="8" t="inlineStr">
        <is>
          <t>58043</t>
        </is>
      </c>
      <c r="D38" t="inlineStr">
        <is>
          <t>Belas</t>
        </is>
      </c>
      <c r="E38" s="8" t="n">
        <v>17.8</v>
      </c>
      <c r="F38" s="17" t="n">
        <v>6</v>
      </c>
      <c r="G38" s="17" t="n">
        <v>4</v>
      </c>
      <c r="H38" s="17" t="n">
        <v>4</v>
      </c>
      <c r="I38" s="17" t="n">
        <v>6</v>
      </c>
      <c r="J38" s="17" t="n">
        <v>5</v>
      </c>
      <c r="K38" s="17" t="n">
        <v>7</v>
      </c>
      <c r="L38" s="17" t="n">
        <v>6</v>
      </c>
      <c r="M38" s="17" t="n">
        <v>3</v>
      </c>
      <c r="N38" s="17" t="n">
        <v>6</v>
      </c>
      <c r="O38" s="17" t="n">
        <v>5</v>
      </c>
      <c r="P38" s="17" t="n">
        <v>6</v>
      </c>
      <c r="Q38" s="17" t="n">
        <v>7</v>
      </c>
      <c r="R38" s="17" t="n">
        <v>4</v>
      </c>
      <c r="S38" s="17" t="n">
        <v>10</v>
      </c>
      <c r="T38" s="17" t="n">
        <v>8</v>
      </c>
      <c r="U38" s="17" t="n">
        <v>5</v>
      </c>
      <c r="V38" s="17" t="n">
        <v>6</v>
      </c>
      <c r="W38" s="17" t="n">
        <v>8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8">
        <f>AA38</f>
        <v/>
      </c>
    </row>
    <row r="39">
      <c r="A39" s="8" t="n">
        <v>27</v>
      </c>
      <c r="B39" t="inlineStr">
        <is>
          <t>Tomás de Morais</t>
        </is>
      </c>
      <c r="C39" s="8" t="inlineStr">
        <is>
          <t>55466</t>
        </is>
      </c>
      <c r="D39" t="inlineStr">
        <is>
          <t>Estoril</t>
        </is>
      </c>
      <c r="E39" s="8" t="n">
        <v>21.8</v>
      </c>
      <c r="F39" s="17" t="n">
        <v>7</v>
      </c>
      <c r="G39" s="17" t="n">
        <v>8</v>
      </c>
      <c r="H39" s="17" t="n">
        <v>6</v>
      </c>
      <c r="I39" s="17" t="n">
        <v>8</v>
      </c>
      <c r="J39" s="17" t="n">
        <v>9</v>
      </c>
      <c r="K39" s="17" t="n">
        <v>5</v>
      </c>
      <c r="L39" s="17" t="n">
        <v>10</v>
      </c>
      <c r="M39" s="17" t="n">
        <v>8</v>
      </c>
      <c r="N39" s="17" t="n">
        <v>6</v>
      </c>
      <c r="O39" s="17" t="n">
        <v>6</v>
      </c>
      <c r="P39" s="17" t="n">
        <v>7</v>
      </c>
      <c r="Q39" s="17" t="n">
        <v>4</v>
      </c>
      <c r="R39" s="17" t="n">
        <v>6</v>
      </c>
      <c r="S39" s="17" t="n">
        <v>10</v>
      </c>
      <c r="T39" s="17" t="n">
        <v>9</v>
      </c>
      <c r="U39" s="17" t="n">
        <v>7</v>
      </c>
      <c r="V39" s="17" t="n">
        <v>6</v>
      </c>
      <c r="W39" s="17" t="n">
        <v>4</v>
      </c>
      <c r="X39" s="8">
        <f>SUM(F39:W39)</f>
        <v/>
      </c>
      <c r="Y39" s="8">
        <f>Y11</f>
        <v/>
      </c>
      <c r="Z39" s="8">
        <f>X39-Y39</f>
        <v/>
      </c>
      <c r="AA39" s="8">
        <f>MAX(0,25-Z39)*1.0</f>
        <v/>
      </c>
      <c r="AB39" s="18">
        <f>AA39</f>
        <v/>
      </c>
    </row>
    <row r="40">
      <c r="A40" s="8" t="inlineStr">
        <is>
          <t>NS</t>
        </is>
      </c>
      <c r="B40" t="inlineStr">
        <is>
          <t>Sara Filipa Bastos</t>
        </is>
      </c>
      <c r="C40" s="8" t="inlineStr"/>
      <c r="D40" t="inlineStr">
        <is>
          <t>ACP Golfe</t>
        </is>
      </c>
      <c r="E40" s="8" t="n">
        <v>18.2</v>
      </c>
      <c r="AA40" s="8" t="n">
        <v>0</v>
      </c>
      <c r="AB40" s="18">
        <f>AA40</f>
        <v/>
      </c>
    </row>
  </sheetData>
  <mergeCells count="1">
    <mergeCell ref="A1:H1"/>
  </mergeCells>
  <conditionalFormatting sqref="F13:F40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40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40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40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40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40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40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40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40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40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40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40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40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40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40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40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40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40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1º Drive Tour Norte — Estela</t>
        </is>
      </c>
    </row>
    <row r="2">
      <c r="A2" s="10" t="inlineStr">
        <is>
          <t>Data:</t>
        </is>
      </c>
      <c r="B2" t="inlineStr">
        <is>
          <t>2026-01-04</t>
        </is>
      </c>
    </row>
    <row r="3">
      <c r="A3" s="10" t="inlineStr">
        <is>
          <t>Campo:</t>
        </is>
      </c>
      <c r="B3" t="inlineStr">
        <is>
          <t>Estela GC</t>
        </is>
      </c>
    </row>
    <row r="4">
      <c r="A4" s="10" t="inlineStr">
        <is>
          <t>ccode/tcode:</t>
        </is>
      </c>
      <c r="B4" t="inlineStr">
        <is>
          <t>987/10206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https://scoring.datagolf.pt/pt/Classifications.aspx?ccode=987&amp;tcode=10206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4</v>
      </c>
      <c r="L11" s="14" t="n">
        <v>5</v>
      </c>
      <c r="M11" s="14" t="n">
        <v>4</v>
      </c>
      <c r="N11" s="14" t="n">
        <v>4</v>
      </c>
      <c r="O11" s="14" t="n">
        <v>4</v>
      </c>
      <c r="P11" s="14" t="n">
        <v>4</v>
      </c>
      <c r="Q11" s="14" t="n">
        <v>3</v>
      </c>
      <c r="R11" s="14" t="n">
        <v>5</v>
      </c>
      <c r="S11" s="14" t="n">
        <v>4</v>
      </c>
      <c r="T11" s="14" t="n">
        <v>5</v>
      </c>
      <c r="U11" s="14" t="n">
        <v>4</v>
      </c>
      <c r="V11" s="14" t="n">
        <v>3</v>
      </c>
      <c r="W11" s="14" t="n">
        <v>4</v>
      </c>
      <c r="Y11" s="15">
        <f>SUM(F11:W11)</f>
        <v/>
      </c>
    </row>
    <row r="12">
      <c r="A12" s="13" t="inlineStr">
        <is>
          <t>—SI—</t>
        </is>
      </c>
      <c r="F12" s="16" t="n">
        <v>13</v>
      </c>
      <c r="G12" s="16" t="n">
        <v>17</v>
      </c>
      <c r="H12" s="16" t="n">
        <v>1</v>
      </c>
      <c r="I12" s="16" t="n">
        <v>7</v>
      </c>
      <c r="J12" s="16" t="n">
        <v>4</v>
      </c>
      <c r="K12" s="16" t="n">
        <v>2</v>
      </c>
      <c r="L12" s="16" t="n">
        <v>11</v>
      </c>
      <c r="M12" s="16" t="n">
        <v>15</v>
      </c>
      <c r="N12" s="16" t="n">
        <v>12</v>
      </c>
      <c r="O12" s="16" t="n">
        <v>5</v>
      </c>
      <c r="P12" s="16" t="n">
        <v>16</v>
      </c>
      <c r="Q12" s="16" t="n">
        <v>10</v>
      </c>
      <c r="R12" s="16" t="n">
        <v>14</v>
      </c>
      <c r="S12" s="16" t="n">
        <v>9</v>
      </c>
      <c r="T12" s="16" t="n">
        <v>3</v>
      </c>
      <c r="U12" s="16" t="n">
        <v>8</v>
      </c>
      <c r="V12" s="16" t="n">
        <v>18</v>
      </c>
      <c r="W12" s="16" t="n">
        <v>6</v>
      </c>
    </row>
    <row r="13">
      <c r="A13" s="8" t="n">
        <v>1</v>
      </c>
      <c r="B13" t="inlineStr">
        <is>
          <t>Francisca Ferreira da Costa</t>
        </is>
      </c>
      <c r="C13" s="8" t="inlineStr">
        <is>
          <t>40981</t>
        </is>
      </c>
      <c r="D13" t="inlineStr">
        <is>
          <t>Miramar</t>
        </is>
      </c>
      <c r="E13" s="8" t="n">
        <v>0.5</v>
      </c>
      <c r="F13" s="17" t="n">
        <v>4</v>
      </c>
      <c r="G13" s="17" t="n">
        <v>3</v>
      </c>
      <c r="H13" s="17" t="n">
        <v>4</v>
      </c>
      <c r="I13" s="17" t="n">
        <v>2</v>
      </c>
      <c r="J13" s="17" t="n">
        <v>4</v>
      </c>
      <c r="K13" s="17" t="n">
        <v>4</v>
      </c>
      <c r="L13" s="17" t="n">
        <v>4</v>
      </c>
      <c r="M13" s="17" t="n">
        <v>4</v>
      </c>
      <c r="N13" s="17" t="n">
        <v>4</v>
      </c>
      <c r="O13" s="17" t="n">
        <v>5</v>
      </c>
      <c r="P13" s="17" t="n">
        <v>5</v>
      </c>
      <c r="Q13" s="17" t="n">
        <v>3</v>
      </c>
      <c r="R13" s="17" t="n">
        <v>5</v>
      </c>
      <c r="S13" s="17" t="n">
        <v>3</v>
      </c>
      <c r="T13" s="17" t="n">
        <v>5</v>
      </c>
      <c r="U13" s="17" t="n">
        <v>4</v>
      </c>
      <c r="V13" s="17" t="n">
        <v>3</v>
      </c>
      <c r="W13" s="17" t="n">
        <v>4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Santiago Dias</t>
        </is>
      </c>
      <c r="C14" s="8" t="inlineStr">
        <is>
          <t>42908</t>
        </is>
      </c>
      <c r="D14" t="inlineStr">
        <is>
          <t>Oporto</t>
        </is>
      </c>
      <c r="E14" s="8" t="n">
        <v>1.5</v>
      </c>
      <c r="F14" s="17" t="n">
        <v>5</v>
      </c>
      <c r="G14" s="17" t="n">
        <v>3</v>
      </c>
      <c r="H14" s="17" t="n">
        <v>4</v>
      </c>
      <c r="I14" s="17" t="n">
        <v>3</v>
      </c>
      <c r="J14" s="17" t="n">
        <v>3</v>
      </c>
      <c r="K14" s="17" t="n">
        <v>5</v>
      </c>
      <c r="L14" s="17" t="n">
        <v>5</v>
      </c>
      <c r="M14" s="17" t="n">
        <v>4</v>
      </c>
      <c r="N14" s="17" t="n">
        <v>3</v>
      </c>
      <c r="O14" s="17" t="n">
        <v>7</v>
      </c>
      <c r="P14" s="17" t="n">
        <v>4</v>
      </c>
      <c r="Q14" s="17" t="n">
        <v>3</v>
      </c>
      <c r="R14" s="17" t="n">
        <v>4</v>
      </c>
      <c r="S14" s="17" t="n">
        <v>4</v>
      </c>
      <c r="T14" s="17" t="n">
        <v>4</v>
      </c>
      <c r="U14" s="17" t="n">
        <v>4</v>
      </c>
      <c r="V14" s="17" t="n">
        <v>3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Francisco Nunes (jr)</t>
        </is>
      </c>
      <c r="C15" s="8" t="inlineStr">
        <is>
          <t>46299</t>
        </is>
      </c>
      <c r="D15" t="inlineStr">
        <is>
          <t>Miramar</t>
        </is>
      </c>
      <c r="E15" s="8" t="n">
        <v>6.8</v>
      </c>
      <c r="F15" s="17" t="n">
        <v>5</v>
      </c>
      <c r="G15" s="17" t="n">
        <v>2</v>
      </c>
      <c r="H15" s="17" t="n">
        <v>5</v>
      </c>
      <c r="I15" s="17" t="n">
        <v>3</v>
      </c>
      <c r="J15" s="17" t="n">
        <v>4</v>
      </c>
      <c r="K15" s="17" t="n">
        <v>5</v>
      </c>
      <c r="L15" s="17" t="n">
        <v>5</v>
      </c>
      <c r="M15" s="17" t="n">
        <v>6</v>
      </c>
      <c r="N15" s="17" t="n">
        <v>3</v>
      </c>
      <c r="O15" s="17" t="n">
        <v>4</v>
      </c>
      <c r="P15" s="17" t="n">
        <v>4</v>
      </c>
      <c r="Q15" s="17" t="n">
        <v>2</v>
      </c>
      <c r="R15" s="17" t="n">
        <v>4</v>
      </c>
      <c r="S15" s="17" t="n">
        <v>4</v>
      </c>
      <c r="T15" s="17" t="n">
        <v>4</v>
      </c>
      <c r="U15" s="17" t="n">
        <v>5</v>
      </c>
      <c r="V15" s="17" t="n">
        <v>4</v>
      </c>
      <c r="W15" s="17" t="n">
        <v>4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Pedro Ferreira</t>
        </is>
      </c>
      <c r="C16" s="8" t="inlineStr">
        <is>
          <t>43810</t>
        </is>
      </c>
      <c r="D16" t="inlineStr">
        <is>
          <t>Oporto</t>
        </is>
      </c>
      <c r="E16" s="8" t="n">
        <v>0.7</v>
      </c>
      <c r="F16" s="17" t="n">
        <v>5</v>
      </c>
      <c r="G16" s="17" t="n">
        <v>3</v>
      </c>
      <c r="H16" s="17" t="n">
        <v>4</v>
      </c>
      <c r="I16" s="17" t="n">
        <v>3</v>
      </c>
      <c r="J16" s="17" t="n">
        <v>5</v>
      </c>
      <c r="K16" s="17" t="n">
        <v>4</v>
      </c>
      <c r="L16" s="17" t="n">
        <v>6</v>
      </c>
      <c r="M16" s="17" t="n">
        <v>4</v>
      </c>
      <c r="N16" s="17" t="n">
        <v>4</v>
      </c>
      <c r="O16" s="17" t="n">
        <v>3</v>
      </c>
      <c r="P16" s="17" t="n">
        <v>5</v>
      </c>
      <c r="Q16" s="17" t="n">
        <v>3</v>
      </c>
      <c r="R16" s="17" t="n">
        <v>4</v>
      </c>
      <c r="S16" s="17" t="n">
        <v>5</v>
      </c>
      <c r="T16" s="17" t="n">
        <v>5</v>
      </c>
      <c r="U16" s="17" t="n">
        <v>4</v>
      </c>
      <c r="V16" s="17" t="n">
        <v>4</v>
      </c>
      <c r="W16" s="17" t="n">
        <v>4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Francisco Saraiva</t>
        </is>
      </c>
      <c r="C17" s="8" t="inlineStr">
        <is>
          <t>39097</t>
        </is>
      </c>
      <c r="D17" t="inlineStr">
        <is>
          <t>Oporto</t>
        </is>
      </c>
      <c r="E17" s="8" t="n">
        <v>8.300000000000001</v>
      </c>
      <c r="F17" s="17" t="n">
        <v>4</v>
      </c>
      <c r="G17" s="17" t="n">
        <v>3</v>
      </c>
      <c r="H17" s="17" t="n">
        <v>5</v>
      </c>
      <c r="I17" s="17" t="n">
        <v>3</v>
      </c>
      <c r="J17" s="17" t="n">
        <v>4</v>
      </c>
      <c r="K17" s="17" t="n">
        <v>5</v>
      </c>
      <c r="L17" s="17" t="n">
        <v>7</v>
      </c>
      <c r="M17" s="17" t="n">
        <v>4</v>
      </c>
      <c r="N17" s="17" t="n">
        <v>4</v>
      </c>
      <c r="O17" s="17" t="n">
        <v>5</v>
      </c>
      <c r="P17" s="17" t="n">
        <v>5</v>
      </c>
      <c r="Q17" s="17" t="n">
        <v>3</v>
      </c>
      <c r="R17" s="17" t="n">
        <v>5</v>
      </c>
      <c r="S17" s="17" t="n">
        <v>4</v>
      </c>
      <c r="T17" s="17" t="n">
        <v>6</v>
      </c>
      <c r="U17" s="17" t="n">
        <v>3</v>
      </c>
      <c r="V17" s="17" t="n">
        <v>2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Guilherme Grabner Moreira</t>
        </is>
      </c>
      <c r="C18" s="8" t="inlineStr">
        <is>
          <t>42205</t>
        </is>
      </c>
      <c r="D18" t="inlineStr">
        <is>
          <t>Oporto</t>
        </is>
      </c>
      <c r="E18" s="8" t="n">
        <v>0</v>
      </c>
      <c r="F18" s="17" t="n">
        <v>5</v>
      </c>
      <c r="G18" s="17" t="n">
        <v>3</v>
      </c>
      <c r="H18" s="17" t="n">
        <v>7</v>
      </c>
      <c r="I18" s="17" t="n">
        <v>3</v>
      </c>
      <c r="J18" s="17" t="n">
        <v>5</v>
      </c>
      <c r="K18" s="17" t="n">
        <v>5</v>
      </c>
      <c r="L18" s="17" t="n">
        <v>4</v>
      </c>
      <c r="M18" s="17" t="n">
        <v>4</v>
      </c>
      <c r="N18" s="17" t="n">
        <v>3</v>
      </c>
      <c r="O18" s="17" t="n">
        <v>3</v>
      </c>
      <c r="P18" s="17" t="n">
        <v>4</v>
      </c>
      <c r="Q18" s="17" t="n">
        <v>3</v>
      </c>
      <c r="R18" s="17" t="n">
        <v>5</v>
      </c>
      <c r="S18" s="17" t="n">
        <v>4</v>
      </c>
      <c r="T18" s="17" t="n">
        <v>5</v>
      </c>
      <c r="U18" s="17" t="n">
        <v>4</v>
      </c>
      <c r="V18" s="17" t="n">
        <v>3</v>
      </c>
      <c r="W18" s="17" t="n">
        <v>6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Francisco Costa Mendes</t>
        </is>
      </c>
      <c r="C19" s="8" t="inlineStr">
        <is>
          <t>40318</t>
        </is>
      </c>
      <c r="D19" t="inlineStr">
        <is>
          <t>Citynorte</t>
        </is>
      </c>
      <c r="E19" s="8" t="n">
        <v>6.3</v>
      </c>
      <c r="F19" s="17" t="n">
        <v>5</v>
      </c>
      <c r="G19" s="17" t="n">
        <v>4</v>
      </c>
      <c r="H19" s="17" t="n">
        <v>6</v>
      </c>
      <c r="I19" s="17" t="n">
        <v>3</v>
      </c>
      <c r="J19" s="17" t="n">
        <v>5</v>
      </c>
      <c r="K19" s="17" t="n">
        <v>4</v>
      </c>
      <c r="L19" s="17" t="n">
        <v>6</v>
      </c>
      <c r="M19" s="17" t="n">
        <v>3</v>
      </c>
      <c r="N19" s="17" t="n">
        <v>3</v>
      </c>
      <c r="O19" s="17" t="n">
        <v>4</v>
      </c>
      <c r="P19" s="17" t="n">
        <v>4</v>
      </c>
      <c r="Q19" s="17" t="n">
        <v>4</v>
      </c>
      <c r="R19" s="17" t="n">
        <v>5</v>
      </c>
      <c r="S19" s="17" t="n">
        <v>4</v>
      </c>
      <c r="T19" s="17" t="n">
        <v>5</v>
      </c>
      <c r="U19" s="17" t="n">
        <v>4</v>
      </c>
      <c r="V19" s="17" t="n">
        <v>4</v>
      </c>
      <c r="W19" s="17" t="n">
        <v>4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Camila Pazos</t>
        </is>
      </c>
      <c r="C20" s="8" t="inlineStr">
        <is>
          <t>46297</t>
        </is>
      </c>
      <c r="D20" t="inlineStr">
        <is>
          <t>Miramar</t>
        </is>
      </c>
      <c r="E20" s="8" t="n">
        <v>2.6</v>
      </c>
      <c r="F20" s="17" t="n">
        <v>6</v>
      </c>
      <c r="G20" s="17" t="n">
        <v>3</v>
      </c>
      <c r="H20" s="17" t="n">
        <v>4</v>
      </c>
      <c r="I20" s="17" t="n">
        <v>4</v>
      </c>
      <c r="J20" s="17" t="n">
        <v>6</v>
      </c>
      <c r="K20" s="17" t="n">
        <v>4</v>
      </c>
      <c r="L20" s="17" t="n">
        <v>5</v>
      </c>
      <c r="M20" s="17" t="n">
        <v>4</v>
      </c>
      <c r="N20" s="17" t="n">
        <v>4</v>
      </c>
      <c r="O20" s="17" t="n">
        <v>4</v>
      </c>
      <c r="P20" s="17" t="n">
        <v>4</v>
      </c>
      <c r="Q20" s="17" t="n">
        <v>3</v>
      </c>
      <c r="R20" s="17" t="n">
        <v>6</v>
      </c>
      <c r="S20" s="17" t="n">
        <v>4</v>
      </c>
      <c r="T20" s="17" t="n">
        <v>6</v>
      </c>
      <c r="U20" s="17" t="n">
        <v>4</v>
      </c>
      <c r="V20" s="17" t="n">
        <v>3</v>
      </c>
      <c r="W20" s="17" t="n">
        <v>5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Eva Silva</t>
        </is>
      </c>
      <c r="C21" s="8" t="inlineStr">
        <is>
          <t>46437</t>
        </is>
      </c>
      <c r="D21" t="inlineStr">
        <is>
          <t>Oporto</t>
        </is>
      </c>
      <c r="E21" s="8" t="n">
        <v>0.5</v>
      </c>
      <c r="F21" s="17" t="n">
        <v>5</v>
      </c>
      <c r="G21" s="17" t="n">
        <v>3</v>
      </c>
      <c r="H21" s="17" t="n">
        <v>4</v>
      </c>
      <c r="I21" s="17" t="n">
        <v>3</v>
      </c>
      <c r="J21" s="17" t="n">
        <v>6</v>
      </c>
      <c r="K21" s="17" t="n">
        <v>6</v>
      </c>
      <c r="L21" s="17" t="n">
        <v>5</v>
      </c>
      <c r="M21" s="17" t="n">
        <v>5</v>
      </c>
      <c r="N21" s="17" t="n">
        <v>4</v>
      </c>
      <c r="O21" s="17" t="n">
        <v>5</v>
      </c>
      <c r="P21" s="17" t="n">
        <v>4</v>
      </c>
      <c r="Q21" s="17" t="n">
        <v>3</v>
      </c>
      <c r="R21" s="17" t="n">
        <v>5</v>
      </c>
      <c r="S21" s="17" t="n">
        <v>4</v>
      </c>
      <c r="T21" s="17" t="n">
        <v>5</v>
      </c>
      <c r="U21" s="17" t="n">
        <v>5</v>
      </c>
      <c r="V21" s="17" t="n">
        <v>3</v>
      </c>
      <c r="W21" s="17" t="n">
        <v>5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Gaspard Maes</t>
        </is>
      </c>
      <c r="C22" s="8" t="inlineStr">
        <is>
          <t>51074</t>
        </is>
      </c>
      <c r="D22" t="inlineStr">
        <is>
          <t>Miramar</t>
        </is>
      </c>
      <c r="E22" s="8" t="n">
        <v>0.8</v>
      </c>
      <c r="F22" s="17" t="n">
        <v>4</v>
      </c>
      <c r="G22" s="17" t="n">
        <v>3</v>
      </c>
      <c r="H22" s="17" t="n">
        <v>6</v>
      </c>
      <c r="I22" s="17" t="n">
        <v>4</v>
      </c>
      <c r="J22" s="17" t="n">
        <v>4</v>
      </c>
      <c r="K22" s="17" t="n">
        <v>7</v>
      </c>
      <c r="L22" s="17" t="n">
        <v>4</v>
      </c>
      <c r="M22" s="17" t="n">
        <v>4</v>
      </c>
      <c r="N22" s="17" t="n">
        <v>3</v>
      </c>
      <c r="O22" s="17" t="n">
        <v>4</v>
      </c>
      <c r="P22" s="17" t="n">
        <v>4</v>
      </c>
      <c r="Q22" s="17" t="n">
        <v>4</v>
      </c>
      <c r="R22" s="17" t="n">
        <v>5</v>
      </c>
      <c r="S22" s="17" t="n">
        <v>6</v>
      </c>
      <c r="T22" s="17" t="n">
        <v>5</v>
      </c>
      <c r="U22" s="17" t="n">
        <v>4</v>
      </c>
      <c r="V22" s="17" t="n">
        <v>3</v>
      </c>
      <c r="W22" s="17" t="n">
        <v>6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João Balixa</t>
        </is>
      </c>
      <c r="C23" s="8" t="inlineStr">
        <is>
          <t>46038</t>
        </is>
      </c>
      <c r="D23" t="inlineStr">
        <is>
          <t>Miramar</t>
        </is>
      </c>
      <c r="E23" s="8" t="n">
        <v>10.4</v>
      </c>
      <c r="F23" s="17" t="n">
        <v>4</v>
      </c>
      <c r="G23" s="17" t="n">
        <v>3</v>
      </c>
      <c r="H23" s="17" t="n">
        <v>7</v>
      </c>
      <c r="I23" s="17" t="n">
        <v>4</v>
      </c>
      <c r="J23" s="17" t="n">
        <v>4</v>
      </c>
      <c r="K23" s="17" t="n">
        <v>5</v>
      </c>
      <c r="L23" s="17" t="n">
        <v>5</v>
      </c>
      <c r="M23" s="17" t="n">
        <v>5</v>
      </c>
      <c r="N23" s="17" t="n">
        <v>4</v>
      </c>
      <c r="O23" s="17" t="n">
        <v>4</v>
      </c>
      <c r="P23" s="17" t="n">
        <v>4</v>
      </c>
      <c r="Q23" s="17" t="n">
        <v>4</v>
      </c>
      <c r="R23" s="17" t="n">
        <v>6</v>
      </c>
      <c r="S23" s="17" t="n">
        <v>5</v>
      </c>
      <c r="T23" s="17" t="n">
        <v>6</v>
      </c>
      <c r="U23" s="17" t="n">
        <v>3</v>
      </c>
      <c r="V23" s="17" t="n">
        <v>3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Maria Francisca Santos</t>
        </is>
      </c>
      <c r="C24" s="8" t="inlineStr">
        <is>
          <t>46853</t>
        </is>
      </c>
      <c r="D24" t="inlineStr">
        <is>
          <t>Oporto</t>
        </is>
      </c>
      <c r="E24" s="8" t="n">
        <v>4.9</v>
      </c>
      <c r="F24" s="17" t="n">
        <v>5</v>
      </c>
      <c r="G24" s="17" t="n">
        <v>4</v>
      </c>
      <c r="H24" s="17" t="n">
        <v>5</v>
      </c>
      <c r="I24" s="17" t="n">
        <v>3</v>
      </c>
      <c r="J24" s="17" t="n">
        <v>4</v>
      </c>
      <c r="K24" s="17" t="n">
        <v>6</v>
      </c>
      <c r="L24" s="17" t="n">
        <v>5</v>
      </c>
      <c r="M24" s="17" t="n">
        <v>5</v>
      </c>
      <c r="N24" s="17" t="n">
        <v>4</v>
      </c>
      <c r="O24" s="17" t="n">
        <v>4</v>
      </c>
      <c r="P24" s="17" t="n">
        <v>4</v>
      </c>
      <c r="Q24" s="17" t="n">
        <v>3</v>
      </c>
      <c r="R24" s="17" t="n">
        <v>5</v>
      </c>
      <c r="S24" s="17" t="n">
        <v>5</v>
      </c>
      <c r="T24" s="17" t="n">
        <v>7</v>
      </c>
      <c r="U24" s="17" t="n">
        <v>4</v>
      </c>
      <c r="V24" s="17" t="n">
        <v>3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Afonso Silva Pinto</t>
        </is>
      </c>
      <c r="C25" s="8" t="inlineStr">
        <is>
          <t>46309</t>
        </is>
      </c>
      <c r="D25" t="inlineStr">
        <is>
          <t>Miramar</t>
        </is>
      </c>
      <c r="E25" s="8" t="n">
        <v>5.6</v>
      </c>
      <c r="F25" s="17" t="n">
        <v>5</v>
      </c>
      <c r="G25" s="17" t="n">
        <v>3</v>
      </c>
      <c r="H25" s="17" t="n">
        <v>5</v>
      </c>
      <c r="I25" s="17" t="n">
        <v>5</v>
      </c>
      <c r="J25" s="17" t="n">
        <v>5</v>
      </c>
      <c r="K25" s="17" t="n">
        <v>5</v>
      </c>
      <c r="L25" s="17" t="n">
        <v>6</v>
      </c>
      <c r="M25" s="17" t="n">
        <v>4</v>
      </c>
      <c r="N25" s="17" t="n">
        <v>5</v>
      </c>
      <c r="O25" s="17" t="n">
        <v>4</v>
      </c>
      <c r="P25" s="17" t="n">
        <v>5</v>
      </c>
      <c r="Q25" s="17" t="n">
        <v>4</v>
      </c>
      <c r="R25" s="17" t="n">
        <v>4</v>
      </c>
      <c r="S25" s="17" t="n">
        <v>5</v>
      </c>
      <c r="T25" s="17" t="n">
        <v>5</v>
      </c>
      <c r="U25" s="17" t="n">
        <v>3</v>
      </c>
      <c r="V25" s="17" t="n">
        <v>3</v>
      </c>
      <c r="W25" s="17" t="n">
        <v>6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  <row r="26">
      <c r="A26" s="8" t="n">
        <v>14</v>
      </c>
      <c r="B26" t="inlineStr">
        <is>
          <t>Maria Loureiro</t>
        </is>
      </c>
      <c r="C26" s="8" t="inlineStr">
        <is>
          <t>46489</t>
        </is>
      </c>
      <c r="D26" t="inlineStr">
        <is>
          <t>Oporto</t>
        </is>
      </c>
      <c r="E26" s="8" t="n">
        <v>6.8</v>
      </c>
      <c r="F26" s="17" t="n">
        <v>5</v>
      </c>
      <c r="G26" s="17" t="n">
        <v>2</v>
      </c>
      <c r="H26" s="17" t="n">
        <v>5</v>
      </c>
      <c r="I26" s="17" t="n">
        <v>4</v>
      </c>
      <c r="J26" s="17" t="n">
        <v>4</v>
      </c>
      <c r="K26" s="17" t="n">
        <v>5</v>
      </c>
      <c r="L26" s="17" t="n">
        <v>6</v>
      </c>
      <c r="M26" s="17" t="n">
        <v>4</v>
      </c>
      <c r="N26" s="17" t="n">
        <v>4</v>
      </c>
      <c r="O26" s="17" t="n">
        <v>6</v>
      </c>
      <c r="P26" s="17" t="n">
        <v>4</v>
      </c>
      <c r="Q26" s="17" t="n">
        <v>2</v>
      </c>
      <c r="R26" s="17" t="n">
        <v>5</v>
      </c>
      <c r="S26" s="17" t="n">
        <v>6</v>
      </c>
      <c r="T26" s="17" t="n">
        <v>7</v>
      </c>
      <c r="U26" s="17" t="n">
        <v>4</v>
      </c>
      <c r="V26" s="17" t="n">
        <v>4</v>
      </c>
      <c r="W26" s="17" t="n">
        <v>5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8">
        <f>AA26</f>
        <v/>
      </c>
    </row>
    <row r="27">
      <c r="A27" s="8" t="n">
        <v>15</v>
      </c>
      <c r="B27" t="inlineStr">
        <is>
          <t>Jorge Xavier Graça Silva</t>
        </is>
      </c>
      <c r="C27" s="8" t="inlineStr">
        <is>
          <t>48705</t>
        </is>
      </c>
      <c r="D27" t="inlineStr">
        <is>
          <t>Miramar</t>
        </is>
      </c>
      <c r="E27" s="8" t="n">
        <v>7.3</v>
      </c>
      <c r="F27" s="17" t="n">
        <v>5</v>
      </c>
      <c r="G27" s="17" t="n">
        <v>4</v>
      </c>
      <c r="H27" s="17" t="n">
        <v>7</v>
      </c>
      <c r="I27" s="17" t="n">
        <v>3</v>
      </c>
      <c r="J27" s="17" t="n">
        <v>5</v>
      </c>
      <c r="K27" s="17" t="n">
        <v>7</v>
      </c>
      <c r="L27" s="17" t="n">
        <v>5</v>
      </c>
      <c r="M27" s="17" t="n">
        <v>3</v>
      </c>
      <c r="N27" s="17" t="n">
        <v>5</v>
      </c>
      <c r="O27" s="17" t="n">
        <v>4</v>
      </c>
      <c r="P27" s="17" t="n">
        <v>4</v>
      </c>
      <c r="Q27" s="17" t="n">
        <v>3</v>
      </c>
      <c r="R27" s="17" t="n">
        <v>6</v>
      </c>
      <c r="S27" s="17" t="n">
        <v>4</v>
      </c>
      <c r="T27" s="17" t="n">
        <v>5</v>
      </c>
      <c r="U27" s="17" t="n">
        <v>4</v>
      </c>
      <c r="V27" s="17" t="n">
        <v>3</v>
      </c>
      <c r="W27" s="17" t="n">
        <v>6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8">
        <f>AA27</f>
        <v/>
      </c>
    </row>
    <row r="28">
      <c r="A28" s="8" t="n">
        <v>16</v>
      </c>
      <c r="B28" t="inlineStr">
        <is>
          <t>Ricardo Rocha Ferreira</t>
        </is>
      </c>
      <c r="C28" s="8" t="inlineStr">
        <is>
          <t>51180</t>
        </is>
      </c>
      <c r="D28" t="inlineStr">
        <is>
          <t>Miramar</t>
        </is>
      </c>
      <c r="E28" s="8" t="n">
        <v>21.1</v>
      </c>
      <c r="F28" s="17" t="n">
        <v>4</v>
      </c>
      <c r="G28" s="17" t="n">
        <v>2</v>
      </c>
      <c r="H28" s="17" t="n">
        <v>5</v>
      </c>
      <c r="I28" s="17" t="n">
        <v>3</v>
      </c>
      <c r="J28" s="17" t="n">
        <v>4</v>
      </c>
      <c r="K28" s="17" t="n">
        <v>10</v>
      </c>
      <c r="L28" s="17" t="n">
        <v>6</v>
      </c>
      <c r="M28" s="17" t="n">
        <v>4</v>
      </c>
      <c r="N28" s="17" t="n">
        <v>5</v>
      </c>
      <c r="O28" s="17" t="n">
        <v>5</v>
      </c>
      <c r="P28" s="17" t="n">
        <v>4</v>
      </c>
      <c r="Q28" s="17" t="n">
        <v>4</v>
      </c>
      <c r="R28" s="17" t="n">
        <v>5</v>
      </c>
      <c r="S28" s="17" t="n">
        <v>5</v>
      </c>
      <c r="T28" s="17" t="n">
        <v>5</v>
      </c>
      <c r="U28" s="17" t="n">
        <v>5</v>
      </c>
      <c r="V28" s="17" t="n">
        <v>3</v>
      </c>
      <c r="W28" s="17" t="n">
        <v>4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8">
        <f>AA28</f>
        <v/>
      </c>
    </row>
    <row r="29">
      <c r="A29" s="8" t="n">
        <v>17</v>
      </c>
      <c r="B29" t="inlineStr">
        <is>
          <t>Gabriel Marques Guerreiro</t>
        </is>
      </c>
      <c r="C29" s="8" t="inlineStr">
        <is>
          <t>43053</t>
        </is>
      </c>
      <c r="D29" t="inlineStr">
        <is>
          <t>Estela</t>
        </is>
      </c>
      <c r="E29" s="8" t="n">
        <v>4.5</v>
      </c>
      <c r="F29" s="17" t="n">
        <v>8</v>
      </c>
      <c r="G29" s="17" t="n">
        <v>3</v>
      </c>
      <c r="H29" s="17" t="n">
        <v>5</v>
      </c>
      <c r="I29" s="17" t="n">
        <v>4</v>
      </c>
      <c r="J29" s="17" t="n">
        <v>7</v>
      </c>
      <c r="K29" s="17" t="n">
        <v>4</v>
      </c>
      <c r="L29" s="17" t="n">
        <v>5</v>
      </c>
      <c r="M29" s="17" t="n">
        <v>3</v>
      </c>
      <c r="N29" s="17" t="n">
        <v>4</v>
      </c>
      <c r="O29" s="17" t="n">
        <v>6</v>
      </c>
      <c r="P29" s="17" t="n">
        <v>4</v>
      </c>
      <c r="Q29" s="17" t="n">
        <v>3</v>
      </c>
      <c r="R29" s="17" t="n">
        <v>5</v>
      </c>
      <c r="S29" s="17" t="n">
        <v>4</v>
      </c>
      <c r="T29" s="17" t="n">
        <v>6</v>
      </c>
      <c r="U29" s="17" t="n">
        <v>4</v>
      </c>
      <c r="V29" s="17" t="n">
        <v>3</v>
      </c>
      <c r="W29" s="17" t="n">
        <v>5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8">
        <f>AA29</f>
        <v/>
      </c>
    </row>
    <row r="30">
      <c r="A30" s="8" t="n">
        <v>18</v>
      </c>
      <c r="B30" t="inlineStr">
        <is>
          <t>Sebastiao Sardinha Saraiva</t>
        </is>
      </c>
      <c r="C30" s="8" t="inlineStr">
        <is>
          <t>46195</t>
        </is>
      </c>
      <c r="D30" t="inlineStr">
        <is>
          <t>Oporto</t>
        </is>
      </c>
      <c r="E30" s="8" t="n">
        <v>5.7</v>
      </c>
      <c r="F30" s="17" t="n">
        <v>5</v>
      </c>
      <c r="G30" s="17" t="n">
        <v>4</v>
      </c>
      <c r="H30" s="17" t="n">
        <v>6</v>
      </c>
      <c r="I30" s="17" t="n">
        <v>4</v>
      </c>
      <c r="J30" s="17" t="n">
        <v>5</v>
      </c>
      <c r="K30" s="17" t="n">
        <v>5</v>
      </c>
      <c r="L30" s="17" t="n">
        <v>5</v>
      </c>
      <c r="M30" s="17" t="n">
        <v>5</v>
      </c>
      <c r="N30" s="17" t="n">
        <v>4</v>
      </c>
      <c r="O30" s="17" t="n">
        <v>4</v>
      </c>
      <c r="P30" s="17" t="n">
        <v>4</v>
      </c>
      <c r="Q30" s="17" t="n">
        <v>4</v>
      </c>
      <c r="R30" s="17" t="n">
        <v>7</v>
      </c>
      <c r="S30" s="17" t="n">
        <v>4</v>
      </c>
      <c r="T30" s="17" t="n">
        <v>5</v>
      </c>
      <c r="U30" s="17" t="n">
        <v>4</v>
      </c>
      <c r="V30" s="17" t="n">
        <v>3</v>
      </c>
      <c r="W30" s="17" t="n">
        <v>5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8">
        <f>AA30</f>
        <v/>
      </c>
    </row>
    <row r="31">
      <c r="A31" s="8" t="n">
        <v>19</v>
      </c>
      <c r="B31" t="inlineStr">
        <is>
          <t>João Araújo</t>
        </is>
      </c>
      <c r="C31" s="8" t="inlineStr">
        <is>
          <t>49012</t>
        </is>
      </c>
      <c r="D31" t="inlineStr">
        <is>
          <t>Citynorte</t>
        </is>
      </c>
      <c r="E31" s="8" t="n">
        <v>5.9</v>
      </c>
      <c r="F31" s="17" t="n">
        <v>5</v>
      </c>
      <c r="G31" s="17" t="n">
        <v>3</v>
      </c>
      <c r="H31" s="17" t="n">
        <v>5</v>
      </c>
      <c r="I31" s="17" t="n">
        <v>4</v>
      </c>
      <c r="J31" s="17" t="n">
        <v>5</v>
      </c>
      <c r="K31" s="17" t="n">
        <v>6</v>
      </c>
      <c r="L31" s="17" t="n">
        <v>5</v>
      </c>
      <c r="M31" s="17" t="n">
        <v>4</v>
      </c>
      <c r="N31" s="17" t="n">
        <v>5</v>
      </c>
      <c r="O31" s="17" t="n">
        <v>4</v>
      </c>
      <c r="P31" s="17" t="n">
        <v>4</v>
      </c>
      <c r="Q31" s="17" t="n">
        <v>4</v>
      </c>
      <c r="R31" s="17" t="n">
        <v>6</v>
      </c>
      <c r="S31" s="17" t="n">
        <v>4</v>
      </c>
      <c r="T31" s="17" t="n">
        <v>7</v>
      </c>
      <c r="U31" s="17" t="n">
        <v>4</v>
      </c>
      <c r="V31" s="17" t="n">
        <v>3</v>
      </c>
      <c r="W31" s="17" t="n">
        <v>5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8">
        <f>AA31</f>
        <v/>
      </c>
    </row>
    <row r="32">
      <c r="A32" s="8" t="n">
        <v>20</v>
      </c>
      <c r="B32" t="inlineStr">
        <is>
          <t>Tomás Rente</t>
        </is>
      </c>
      <c r="C32" s="8" t="inlineStr">
        <is>
          <t>46311</t>
        </is>
      </c>
      <c r="D32" t="inlineStr">
        <is>
          <t>Miramar</t>
        </is>
      </c>
      <c r="E32" s="8" t="n">
        <v>5.5</v>
      </c>
      <c r="F32" s="17" t="n">
        <v>5</v>
      </c>
      <c r="G32" s="17" t="n">
        <v>4</v>
      </c>
      <c r="H32" s="17" t="n">
        <v>5</v>
      </c>
      <c r="I32" s="17" t="n">
        <v>3</v>
      </c>
      <c r="J32" s="17" t="n">
        <v>4</v>
      </c>
      <c r="K32" s="17" t="n">
        <v>7</v>
      </c>
      <c r="L32" s="17" t="n">
        <v>7</v>
      </c>
      <c r="M32" s="17" t="n">
        <v>6</v>
      </c>
      <c r="N32" s="17" t="n">
        <v>4</v>
      </c>
      <c r="O32" s="17" t="n">
        <v>6</v>
      </c>
      <c r="P32" s="17" t="n">
        <v>5</v>
      </c>
      <c r="Q32" s="17" t="n">
        <v>4</v>
      </c>
      <c r="R32" s="17" t="n">
        <v>5</v>
      </c>
      <c r="S32" s="17" t="n">
        <v>4</v>
      </c>
      <c r="T32" s="17" t="n">
        <v>5</v>
      </c>
      <c r="U32" s="17" t="n">
        <v>4</v>
      </c>
      <c r="V32" s="17" t="n">
        <v>3</v>
      </c>
      <c r="W32" s="17" t="n">
        <v>4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8">
        <f>AA32</f>
        <v/>
      </c>
    </row>
    <row r="33">
      <c r="A33" s="8" t="n">
        <v>21</v>
      </c>
      <c r="B33" t="inlineStr">
        <is>
          <t>Tomás Sarmento de Beires</t>
        </is>
      </c>
      <c r="C33" s="8" t="inlineStr">
        <is>
          <t>48046</t>
        </is>
      </c>
      <c r="D33" t="inlineStr">
        <is>
          <t>Citynorte</t>
        </is>
      </c>
      <c r="E33" s="8" t="n">
        <v>17.2</v>
      </c>
      <c r="F33" s="17" t="n">
        <v>5</v>
      </c>
      <c r="G33" s="17" t="n">
        <v>3</v>
      </c>
      <c r="H33" s="17" t="n">
        <v>5</v>
      </c>
      <c r="I33" s="17" t="n">
        <v>4</v>
      </c>
      <c r="J33" s="17" t="n">
        <v>4</v>
      </c>
      <c r="K33" s="17" t="n">
        <v>8</v>
      </c>
      <c r="L33" s="17" t="n">
        <v>7</v>
      </c>
      <c r="M33" s="17" t="n">
        <v>4</v>
      </c>
      <c r="N33" s="17" t="n">
        <v>4</v>
      </c>
      <c r="O33" s="17" t="n">
        <v>5</v>
      </c>
      <c r="P33" s="17" t="n">
        <v>4</v>
      </c>
      <c r="Q33" s="17" t="n">
        <v>3</v>
      </c>
      <c r="R33" s="17" t="n">
        <v>5</v>
      </c>
      <c r="S33" s="17" t="n">
        <v>5</v>
      </c>
      <c r="T33" s="17" t="n">
        <v>7</v>
      </c>
      <c r="U33" s="17" t="n">
        <v>5</v>
      </c>
      <c r="V33" s="17" t="n">
        <v>3</v>
      </c>
      <c r="W33" s="17" t="n">
        <v>5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8">
        <f>AA33</f>
        <v/>
      </c>
    </row>
    <row r="34">
      <c r="A34" s="8" t="n">
        <v>22</v>
      </c>
      <c r="B34" t="inlineStr">
        <is>
          <t>Diogo Lima</t>
        </is>
      </c>
      <c r="C34" s="8" t="inlineStr">
        <is>
          <t>49717</t>
        </is>
      </c>
      <c r="D34" t="inlineStr">
        <is>
          <t>Citynorte</t>
        </is>
      </c>
      <c r="E34" s="8" t="n">
        <v>12.8</v>
      </c>
      <c r="F34" s="17" t="n">
        <v>6</v>
      </c>
      <c r="G34" s="17" t="n">
        <v>4</v>
      </c>
      <c r="H34" s="17" t="n">
        <v>4</v>
      </c>
      <c r="I34" s="17" t="n">
        <v>4</v>
      </c>
      <c r="J34" s="17" t="n">
        <v>5</v>
      </c>
      <c r="K34" s="17" t="n">
        <v>5</v>
      </c>
      <c r="L34" s="17" t="n">
        <v>5</v>
      </c>
      <c r="M34" s="17" t="n">
        <v>4</v>
      </c>
      <c r="N34" s="17" t="n">
        <v>6</v>
      </c>
      <c r="O34" s="17" t="n">
        <v>5</v>
      </c>
      <c r="P34" s="17" t="n">
        <v>5</v>
      </c>
      <c r="Q34" s="17" t="n">
        <v>3</v>
      </c>
      <c r="R34" s="17" t="n">
        <v>6</v>
      </c>
      <c r="S34" s="17" t="n">
        <v>5</v>
      </c>
      <c r="T34" s="17" t="n">
        <v>7</v>
      </c>
      <c r="U34" s="17" t="n">
        <v>4</v>
      </c>
      <c r="V34" s="17" t="n">
        <v>3</v>
      </c>
      <c r="W34" s="17" t="n">
        <v>5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8">
        <f>AA34</f>
        <v/>
      </c>
    </row>
    <row r="35">
      <c r="A35" s="8" t="n">
        <v>23</v>
      </c>
      <c r="B35" t="inlineStr">
        <is>
          <t>Pedro Aires</t>
        </is>
      </c>
      <c r="C35" s="8" t="inlineStr">
        <is>
          <t>42068</t>
        </is>
      </c>
      <c r="D35" t="inlineStr">
        <is>
          <t>Citynorte</t>
        </is>
      </c>
      <c r="E35" s="8" t="n">
        <v>8</v>
      </c>
      <c r="F35" s="17" t="n">
        <v>4</v>
      </c>
      <c r="G35" s="17" t="n">
        <v>3</v>
      </c>
      <c r="H35" s="17" t="n">
        <v>8</v>
      </c>
      <c r="I35" s="17" t="n">
        <v>3</v>
      </c>
      <c r="J35" s="17" t="n">
        <v>7</v>
      </c>
      <c r="K35" s="17" t="n">
        <v>5</v>
      </c>
      <c r="L35" s="17" t="n">
        <v>7</v>
      </c>
      <c r="M35" s="17" t="n">
        <v>6</v>
      </c>
      <c r="N35" s="17" t="n">
        <v>4</v>
      </c>
      <c r="O35" s="17" t="n">
        <v>3</v>
      </c>
      <c r="P35" s="17" t="n">
        <v>4</v>
      </c>
      <c r="Q35" s="17" t="n">
        <v>3</v>
      </c>
      <c r="R35" s="17" t="n">
        <v>4</v>
      </c>
      <c r="S35" s="17" t="n">
        <v>4</v>
      </c>
      <c r="T35" s="17" t="n">
        <v>5</v>
      </c>
      <c r="U35" s="17" t="n">
        <v>5</v>
      </c>
      <c r="V35" s="17" t="n">
        <v>4</v>
      </c>
      <c r="W35" s="17" t="n">
        <v>9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8">
        <f>AA35</f>
        <v/>
      </c>
    </row>
    <row r="36">
      <c r="A36" s="8" t="n">
        <v>24</v>
      </c>
      <c r="B36" t="inlineStr">
        <is>
          <t>Afonso de Sousa Pinto</t>
        </is>
      </c>
      <c r="C36" s="8" t="inlineStr">
        <is>
          <t>46480</t>
        </is>
      </c>
      <c r="D36" t="inlineStr">
        <is>
          <t>Oporto</t>
        </is>
      </c>
      <c r="E36" s="8" t="n">
        <v>10</v>
      </c>
      <c r="F36" s="17" t="n">
        <v>6</v>
      </c>
      <c r="G36" s="17" t="n">
        <v>3</v>
      </c>
      <c r="H36" s="17" t="n">
        <v>6</v>
      </c>
      <c r="I36" s="17" t="n">
        <v>4</v>
      </c>
      <c r="J36" s="17" t="n">
        <v>5</v>
      </c>
      <c r="K36" s="17" t="n">
        <v>5</v>
      </c>
      <c r="L36" s="17" t="n">
        <v>6</v>
      </c>
      <c r="M36" s="17" t="n">
        <v>4</v>
      </c>
      <c r="N36" s="17" t="n">
        <v>5</v>
      </c>
      <c r="O36" s="17" t="n">
        <v>5</v>
      </c>
      <c r="P36" s="17" t="n">
        <v>4</v>
      </c>
      <c r="Q36" s="17" t="n">
        <v>4</v>
      </c>
      <c r="R36" s="17" t="n">
        <v>4</v>
      </c>
      <c r="S36" s="17" t="n">
        <v>5</v>
      </c>
      <c r="T36" s="17" t="n">
        <v>7</v>
      </c>
      <c r="U36" s="17" t="n">
        <v>6</v>
      </c>
      <c r="V36" s="17" t="n">
        <v>4</v>
      </c>
      <c r="W36" s="17" t="n">
        <v>5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8">
        <f>AA36</f>
        <v/>
      </c>
    </row>
    <row r="37">
      <c r="A37" s="8" t="n">
        <v>25</v>
      </c>
      <c r="B37" t="inlineStr">
        <is>
          <t>Afonso Poiarez</t>
        </is>
      </c>
      <c r="C37" s="8" t="inlineStr">
        <is>
          <t>46079</t>
        </is>
      </c>
      <c r="D37" t="inlineStr">
        <is>
          <t>Estela</t>
        </is>
      </c>
      <c r="E37" s="8" t="n">
        <v>17.2</v>
      </c>
      <c r="F37" s="17" t="n">
        <v>5</v>
      </c>
      <c r="G37" s="17" t="n">
        <v>3</v>
      </c>
      <c r="H37" s="17" t="n">
        <v>4</v>
      </c>
      <c r="I37" s="17" t="n">
        <v>4</v>
      </c>
      <c r="J37" s="17" t="n">
        <v>6</v>
      </c>
      <c r="K37" s="17" t="n">
        <v>4</v>
      </c>
      <c r="L37" s="17" t="n">
        <v>9</v>
      </c>
      <c r="M37" s="17" t="n">
        <v>4</v>
      </c>
      <c r="N37" s="17" t="n">
        <v>5</v>
      </c>
      <c r="O37" s="17" t="n">
        <v>5</v>
      </c>
      <c r="P37" s="17" t="n">
        <v>4</v>
      </c>
      <c r="Q37" s="17" t="n">
        <v>3</v>
      </c>
      <c r="R37" s="17" t="n">
        <v>6</v>
      </c>
      <c r="S37" s="17" t="n">
        <v>4</v>
      </c>
      <c r="T37" s="17" t="n">
        <v>7</v>
      </c>
      <c r="U37" s="17" t="n">
        <v>6</v>
      </c>
      <c r="V37" s="17" t="n">
        <v>3</v>
      </c>
      <c r="W37" s="17" t="n">
        <v>6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8">
        <f>AA37</f>
        <v/>
      </c>
    </row>
    <row r="38">
      <c r="A38" s="8" t="n">
        <v>26</v>
      </c>
      <c r="B38" t="inlineStr">
        <is>
          <t>Margarida Silva Pinto</t>
        </is>
      </c>
      <c r="C38" s="8" t="inlineStr">
        <is>
          <t>46310</t>
        </is>
      </c>
      <c r="D38" t="inlineStr">
        <is>
          <t>Miramar</t>
        </is>
      </c>
      <c r="E38" s="8" t="n">
        <v>5.5</v>
      </c>
      <c r="F38" s="17" t="n">
        <v>6</v>
      </c>
      <c r="G38" s="17" t="n">
        <v>4</v>
      </c>
      <c r="H38" s="17" t="n">
        <v>6</v>
      </c>
      <c r="I38" s="17" t="n">
        <v>3</v>
      </c>
      <c r="J38" s="17" t="n">
        <v>5</v>
      </c>
      <c r="K38" s="17" t="n">
        <v>5</v>
      </c>
      <c r="L38" s="17" t="n">
        <v>6</v>
      </c>
      <c r="M38" s="17" t="n">
        <v>4</v>
      </c>
      <c r="N38" s="17" t="n">
        <v>4</v>
      </c>
      <c r="O38" s="17" t="n">
        <v>6</v>
      </c>
      <c r="P38" s="17" t="n">
        <v>4</v>
      </c>
      <c r="Q38" s="17" t="n">
        <v>4</v>
      </c>
      <c r="R38" s="17" t="n">
        <v>5</v>
      </c>
      <c r="S38" s="17" t="n">
        <v>4</v>
      </c>
      <c r="T38" s="17" t="n">
        <v>7</v>
      </c>
      <c r="U38" s="17" t="n">
        <v>5</v>
      </c>
      <c r="V38" s="17" t="n">
        <v>4</v>
      </c>
      <c r="W38" s="17" t="n">
        <v>6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8">
        <f>AA38</f>
        <v/>
      </c>
    </row>
    <row r="39">
      <c r="A39" s="8" t="n">
        <v>27</v>
      </c>
      <c r="B39" t="inlineStr">
        <is>
          <t>António Maria Cavalinhos</t>
        </is>
      </c>
      <c r="C39" s="8" t="inlineStr">
        <is>
          <t>40992</t>
        </is>
      </c>
      <c r="D39" t="inlineStr">
        <is>
          <t>Miramar</t>
        </is>
      </c>
      <c r="E39" s="8" t="n">
        <v>8.5</v>
      </c>
      <c r="F39" s="17" t="n">
        <v>5</v>
      </c>
      <c r="G39" s="17" t="n">
        <v>4</v>
      </c>
      <c r="H39" s="17" t="n">
        <v>6</v>
      </c>
      <c r="I39" s="17" t="n">
        <v>5</v>
      </c>
      <c r="J39" s="17" t="n">
        <v>5</v>
      </c>
      <c r="K39" s="17" t="n">
        <v>5</v>
      </c>
      <c r="L39" s="17" t="n">
        <v>6</v>
      </c>
      <c r="M39" s="17" t="n">
        <v>4</v>
      </c>
      <c r="N39" s="17" t="n">
        <v>3</v>
      </c>
      <c r="O39" s="17" t="n">
        <v>4</v>
      </c>
      <c r="P39" s="17" t="n">
        <v>6</v>
      </c>
      <c r="Q39" s="17" t="n">
        <v>3</v>
      </c>
      <c r="R39" s="17" t="n">
        <v>7</v>
      </c>
      <c r="S39" s="17" t="n">
        <v>5</v>
      </c>
      <c r="T39" s="17" t="n">
        <v>7</v>
      </c>
      <c r="U39" s="17" t="n">
        <v>5</v>
      </c>
      <c r="V39" s="17" t="n">
        <v>4</v>
      </c>
      <c r="W39" s="17" t="n">
        <v>5</v>
      </c>
      <c r="X39" s="8">
        <f>SUM(F39:W39)</f>
        <v/>
      </c>
      <c r="Y39" s="8">
        <f>Y11</f>
        <v/>
      </c>
      <c r="Z39" s="8">
        <f>X39-Y39</f>
        <v/>
      </c>
      <c r="AA39" s="8">
        <f>MAX(0,25-Z39)*1.0</f>
        <v/>
      </c>
      <c r="AB39" s="18">
        <f>AA39</f>
        <v/>
      </c>
    </row>
    <row r="40">
      <c r="A40" s="8" t="n">
        <v>28</v>
      </c>
      <c r="B40" t="inlineStr">
        <is>
          <t>Lucas Pereira Amorim</t>
        </is>
      </c>
      <c r="C40" s="8" t="inlineStr">
        <is>
          <t>54330</t>
        </is>
      </c>
      <c r="D40" t="inlineStr">
        <is>
          <t>Oporto</t>
        </is>
      </c>
      <c r="E40" s="8" t="n">
        <v>15.9</v>
      </c>
      <c r="F40" s="17" t="n">
        <v>4</v>
      </c>
      <c r="G40" s="17" t="n">
        <v>5</v>
      </c>
      <c r="H40" s="17" t="n">
        <v>4</v>
      </c>
      <c r="I40" s="17" t="n">
        <v>5</v>
      </c>
      <c r="J40" s="17" t="n">
        <v>5</v>
      </c>
      <c r="K40" s="17" t="n">
        <v>5</v>
      </c>
      <c r="L40" s="17" t="n">
        <v>5</v>
      </c>
      <c r="M40" s="17" t="n">
        <v>5</v>
      </c>
      <c r="N40" s="17" t="n">
        <v>5</v>
      </c>
      <c r="O40" s="17" t="n">
        <v>5</v>
      </c>
      <c r="P40" s="17" t="n">
        <v>4</v>
      </c>
      <c r="Q40" s="17" t="n">
        <v>4</v>
      </c>
      <c r="R40" s="17" t="n">
        <v>5</v>
      </c>
      <c r="S40" s="17" t="n">
        <v>5</v>
      </c>
      <c r="T40" s="17" t="n">
        <v>7</v>
      </c>
      <c r="U40" s="17" t="n">
        <v>5</v>
      </c>
      <c r="V40" s="17" t="n">
        <v>4</v>
      </c>
      <c r="W40" s="17" t="n">
        <v>7</v>
      </c>
      <c r="X40" s="8">
        <f>SUM(F40:W40)</f>
        <v/>
      </c>
      <c r="Y40" s="8">
        <f>Y11</f>
        <v/>
      </c>
      <c r="Z40" s="8">
        <f>X40-Y40</f>
        <v/>
      </c>
      <c r="AA40" s="8">
        <f>MAX(0,25-Z40)*1.0</f>
        <v/>
      </c>
      <c r="AB40" s="18">
        <f>AA40</f>
        <v/>
      </c>
    </row>
    <row r="41">
      <c r="A41" s="8" t="n">
        <v>29</v>
      </c>
      <c r="B41" t="inlineStr">
        <is>
          <t>Afonso Paiva Gonçalves</t>
        </is>
      </c>
      <c r="C41" s="8" t="inlineStr">
        <is>
          <t>47819</t>
        </is>
      </c>
      <c r="D41" t="inlineStr">
        <is>
          <t>Citynorte</t>
        </is>
      </c>
      <c r="E41" s="8" t="n">
        <v>14.6</v>
      </c>
      <c r="F41" s="17" t="n">
        <v>5</v>
      </c>
      <c r="G41" s="17" t="n">
        <v>3</v>
      </c>
      <c r="H41" s="17" t="n">
        <v>6</v>
      </c>
      <c r="I41" s="17" t="n">
        <v>6</v>
      </c>
      <c r="J41" s="17" t="n">
        <v>6</v>
      </c>
      <c r="K41" s="17" t="n">
        <v>6</v>
      </c>
      <c r="L41" s="17" t="n">
        <v>5</v>
      </c>
      <c r="M41" s="17" t="n">
        <v>6</v>
      </c>
      <c r="N41" s="17" t="n">
        <v>5</v>
      </c>
      <c r="O41" s="17" t="n">
        <v>7</v>
      </c>
      <c r="P41" s="17" t="n">
        <v>4</v>
      </c>
      <c r="Q41" s="17" t="n">
        <v>4</v>
      </c>
      <c r="R41" s="17" t="n">
        <v>5</v>
      </c>
      <c r="S41" s="17" t="n">
        <v>5</v>
      </c>
      <c r="T41" s="17" t="n">
        <v>6</v>
      </c>
      <c r="U41" s="17" t="n">
        <v>4</v>
      </c>
      <c r="V41" s="17" t="n">
        <v>4</v>
      </c>
      <c r="W41" s="17" t="n">
        <v>4</v>
      </c>
      <c r="X41" s="8">
        <f>SUM(F41:W41)</f>
        <v/>
      </c>
      <c r="Y41" s="8">
        <f>Y11</f>
        <v/>
      </c>
      <c r="Z41" s="8">
        <f>X41-Y41</f>
        <v/>
      </c>
      <c r="AA41" s="8">
        <f>MAX(0,25-Z41)*1.0</f>
        <v/>
      </c>
      <c r="AB41" s="18">
        <f>AA41</f>
        <v/>
      </c>
    </row>
    <row r="42">
      <c r="A42" s="8" t="n">
        <v>30</v>
      </c>
      <c r="B42" t="inlineStr">
        <is>
          <t>André Von Hafe</t>
        </is>
      </c>
      <c r="C42" s="8" t="inlineStr">
        <is>
          <t>40473</t>
        </is>
      </c>
      <c r="D42" t="inlineStr">
        <is>
          <t>Braga</t>
        </is>
      </c>
      <c r="E42" s="8" t="n">
        <v>17.5</v>
      </c>
      <c r="F42" s="17" t="n">
        <v>6</v>
      </c>
      <c r="G42" s="17" t="n">
        <v>3</v>
      </c>
      <c r="H42" s="17" t="n">
        <v>6</v>
      </c>
      <c r="I42" s="17" t="n">
        <v>4</v>
      </c>
      <c r="J42" s="17" t="n">
        <v>7</v>
      </c>
      <c r="K42" s="17" t="n">
        <v>4</v>
      </c>
      <c r="L42" s="17" t="n">
        <v>6</v>
      </c>
      <c r="M42" s="17" t="n">
        <v>5</v>
      </c>
      <c r="N42" s="17" t="n">
        <v>4</v>
      </c>
      <c r="O42" s="17" t="n">
        <v>5</v>
      </c>
      <c r="P42" s="17" t="n">
        <v>5</v>
      </c>
      <c r="Q42" s="17" t="n">
        <v>3</v>
      </c>
      <c r="R42" s="17" t="n">
        <v>6</v>
      </c>
      <c r="S42" s="17" t="n">
        <v>6</v>
      </c>
      <c r="T42" s="17" t="n">
        <v>7</v>
      </c>
      <c r="U42" s="17" t="n">
        <v>5</v>
      </c>
      <c r="V42" s="17" t="n">
        <v>5</v>
      </c>
      <c r="W42" s="17" t="n">
        <v>5</v>
      </c>
      <c r="X42" s="8">
        <f>SUM(F42:W42)</f>
        <v/>
      </c>
      <c r="Y42" s="8">
        <f>Y11</f>
        <v/>
      </c>
      <c r="Z42" s="8">
        <f>X42-Y42</f>
        <v/>
      </c>
      <c r="AA42" s="8">
        <f>MAX(0,25-Z42)*1.0</f>
        <v/>
      </c>
      <c r="AB42" s="18">
        <f>AA42</f>
        <v/>
      </c>
    </row>
    <row r="43">
      <c r="A43" s="8" t="n">
        <v>31</v>
      </c>
      <c r="B43" t="inlineStr">
        <is>
          <t>Raul Pazos (jr)</t>
        </is>
      </c>
      <c r="C43" s="8" t="inlineStr">
        <is>
          <t>46296</t>
        </is>
      </c>
      <c r="D43" t="inlineStr">
        <is>
          <t>Miramar</t>
        </is>
      </c>
      <c r="E43" s="8" t="n">
        <v>11</v>
      </c>
      <c r="F43" s="17" t="n">
        <v>7</v>
      </c>
      <c r="G43" s="17" t="n">
        <v>3</v>
      </c>
      <c r="H43" s="17" t="n">
        <v>6</v>
      </c>
      <c r="I43" s="17" t="n">
        <v>5</v>
      </c>
      <c r="J43" s="17" t="n">
        <v>7</v>
      </c>
      <c r="K43" s="17" t="n">
        <v>6</v>
      </c>
      <c r="L43" s="17" t="n">
        <v>6</v>
      </c>
      <c r="M43" s="17" t="n">
        <v>5</v>
      </c>
      <c r="N43" s="17" t="n">
        <v>5</v>
      </c>
      <c r="O43" s="17" t="n">
        <v>6</v>
      </c>
      <c r="P43" s="17" t="n">
        <v>5</v>
      </c>
      <c r="Q43" s="17" t="n">
        <v>4</v>
      </c>
      <c r="R43" s="17" t="n">
        <v>5</v>
      </c>
      <c r="S43" s="17" t="n">
        <v>5</v>
      </c>
      <c r="T43" s="17" t="n">
        <v>7</v>
      </c>
      <c r="U43" s="17" t="n">
        <v>4</v>
      </c>
      <c r="V43" s="17" t="n">
        <v>3</v>
      </c>
      <c r="W43" s="17" t="n">
        <v>5</v>
      </c>
      <c r="X43" s="8">
        <f>SUM(F43:W43)</f>
        <v/>
      </c>
      <c r="Y43" s="8">
        <f>Y11</f>
        <v/>
      </c>
      <c r="Z43" s="8">
        <f>X43-Y43</f>
        <v/>
      </c>
      <c r="AA43" s="8">
        <f>MAX(0,25-Z43)*1.0</f>
        <v/>
      </c>
      <c r="AB43" s="18">
        <f>AA43</f>
        <v/>
      </c>
    </row>
    <row r="44">
      <c r="A44" s="8" t="n">
        <v>32</v>
      </c>
      <c r="B44" t="inlineStr">
        <is>
          <t>Henrique Pereira</t>
        </is>
      </c>
      <c r="C44" s="8" t="inlineStr">
        <is>
          <t>53646</t>
        </is>
      </c>
      <c r="D44" t="inlineStr">
        <is>
          <t>Miramar</t>
        </is>
      </c>
      <c r="E44" s="8" t="n">
        <v>17.8</v>
      </c>
      <c r="F44" s="17" t="n">
        <v>7</v>
      </c>
      <c r="G44" s="17" t="n">
        <v>4</v>
      </c>
      <c r="H44" s="17" t="n">
        <v>5</v>
      </c>
      <c r="I44" s="17" t="n">
        <v>3</v>
      </c>
      <c r="J44" s="17" t="n">
        <v>5</v>
      </c>
      <c r="K44" s="17" t="n">
        <v>6</v>
      </c>
      <c r="L44" s="17" t="n">
        <v>5</v>
      </c>
      <c r="M44" s="17" t="n">
        <v>5</v>
      </c>
      <c r="N44" s="17" t="n">
        <v>5</v>
      </c>
      <c r="O44" s="17" t="n">
        <v>6</v>
      </c>
      <c r="P44" s="17" t="n">
        <v>5</v>
      </c>
      <c r="Q44" s="17" t="n">
        <v>4</v>
      </c>
      <c r="R44" s="17" t="n">
        <v>6</v>
      </c>
      <c r="S44" s="17" t="n">
        <v>5</v>
      </c>
      <c r="T44" s="17" t="n">
        <v>8</v>
      </c>
      <c r="U44" s="17" t="n">
        <v>4</v>
      </c>
      <c r="V44" s="17" t="n">
        <v>4</v>
      </c>
      <c r="W44" s="17" t="n">
        <v>7</v>
      </c>
      <c r="X44" s="8">
        <f>SUM(F44:W44)</f>
        <v/>
      </c>
      <c r="Y44" s="8">
        <f>Y11</f>
        <v/>
      </c>
      <c r="Z44" s="8">
        <f>X44-Y44</f>
        <v/>
      </c>
      <c r="AA44" s="8">
        <f>MAX(0,25-Z44)*1.0</f>
        <v/>
      </c>
      <c r="AB44" s="18">
        <f>AA44</f>
        <v/>
      </c>
    </row>
    <row r="45">
      <c r="A45" s="8" t="n">
        <v>33</v>
      </c>
      <c r="B45" t="inlineStr">
        <is>
          <t>Tomás Araújo</t>
        </is>
      </c>
      <c r="C45" s="8" t="inlineStr">
        <is>
          <t>49011</t>
        </is>
      </c>
      <c r="D45" t="inlineStr">
        <is>
          <t>Citynorte</t>
        </is>
      </c>
      <c r="E45" s="8" t="n">
        <v>16.9</v>
      </c>
      <c r="F45" s="17" t="n">
        <v>5</v>
      </c>
      <c r="G45" s="17" t="n">
        <v>4</v>
      </c>
      <c r="H45" s="17" t="n">
        <v>4</v>
      </c>
      <c r="I45" s="17" t="n">
        <v>4</v>
      </c>
      <c r="J45" s="17" t="n">
        <v>7</v>
      </c>
      <c r="K45" s="17" t="n">
        <v>5</v>
      </c>
      <c r="L45" s="17" t="n">
        <v>6</v>
      </c>
      <c r="M45" s="17" t="n">
        <v>4</v>
      </c>
      <c r="N45" s="17" t="n">
        <v>5</v>
      </c>
      <c r="O45" s="17" t="n">
        <v>5</v>
      </c>
      <c r="P45" s="17" t="n">
        <v>5</v>
      </c>
      <c r="Q45" s="17" t="n">
        <v>4</v>
      </c>
      <c r="R45" s="17" t="n">
        <v>7</v>
      </c>
      <c r="S45" s="17" t="n">
        <v>8</v>
      </c>
      <c r="T45" s="17" t="n">
        <v>7</v>
      </c>
      <c r="U45" s="17" t="n">
        <v>7</v>
      </c>
      <c r="V45" s="17" t="n">
        <v>3</v>
      </c>
      <c r="W45" s="17" t="n">
        <v>4</v>
      </c>
      <c r="X45" s="8">
        <f>SUM(F45:W45)</f>
        <v/>
      </c>
      <c r="Y45" s="8">
        <f>Y11</f>
        <v/>
      </c>
      <c r="Z45" s="8">
        <f>X45-Y45</f>
        <v/>
      </c>
      <c r="AA45" s="8">
        <f>MAX(0,25-Z45)*1.0</f>
        <v/>
      </c>
      <c r="AB45" s="18">
        <f>AA45</f>
        <v/>
      </c>
    </row>
    <row r="46">
      <c r="A46" s="8" t="n">
        <v>34</v>
      </c>
      <c r="B46" t="inlineStr">
        <is>
          <t>Afonso Polery</t>
        </is>
      </c>
      <c r="C46" s="8" t="inlineStr">
        <is>
          <t>55093</t>
        </is>
      </c>
      <c r="D46" t="inlineStr">
        <is>
          <t>Estela</t>
        </is>
      </c>
      <c r="E46" s="8" t="n">
        <v>17</v>
      </c>
      <c r="F46" s="17" t="n">
        <v>8</v>
      </c>
      <c r="G46" s="17" t="n">
        <v>4</v>
      </c>
      <c r="H46" s="17" t="n">
        <v>6</v>
      </c>
      <c r="I46" s="17" t="n">
        <v>4</v>
      </c>
      <c r="J46" s="17" t="n">
        <v>7</v>
      </c>
      <c r="K46" s="17" t="n">
        <v>4</v>
      </c>
      <c r="L46" s="17" t="n">
        <v>6</v>
      </c>
      <c r="M46" s="17" t="n">
        <v>5</v>
      </c>
      <c r="N46" s="17" t="n">
        <v>6</v>
      </c>
      <c r="O46" s="17" t="n">
        <v>7</v>
      </c>
      <c r="P46" s="17" t="n">
        <v>3</v>
      </c>
      <c r="Q46" s="17" t="n">
        <v>4</v>
      </c>
      <c r="R46" s="17" t="n">
        <v>5</v>
      </c>
      <c r="S46" s="17" t="n">
        <v>4</v>
      </c>
      <c r="T46" s="17" t="n">
        <v>7</v>
      </c>
      <c r="U46" s="17" t="n">
        <v>5</v>
      </c>
      <c r="V46" s="17" t="n">
        <v>4</v>
      </c>
      <c r="W46" s="17" t="n">
        <v>7</v>
      </c>
      <c r="X46" s="8">
        <f>SUM(F46:W46)</f>
        <v/>
      </c>
      <c r="Y46" s="8">
        <f>Y11</f>
        <v/>
      </c>
      <c r="Z46" s="8">
        <f>X46-Y46</f>
        <v/>
      </c>
      <c r="AA46" s="8">
        <f>MAX(0,25-Z46)*1.0</f>
        <v/>
      </c>
      <c r="AB46" s="18">
        <f>AA46</f>
        <v/>
      </c>
    </row>
    <row r="47">
      <c r="A47" s="8" t="n">
        <v>35</v>
      </c>
      <c r="B47" t="inlineStr">
        <is>
          <t>Madalena Miguel Araujo</t>
        </is>
      </c>
      <c r="C47" s="8" t="inlineStr">
        <is>
          <t>53847</t>
        </is>
      </c>
      <c r="D47" t="inlineStr">
        <is>
          <t>Ponte de Lima</t>
        </is>
      </c>
      <c r="E47" s="8" t="n">
        <v>15.4</v>
      </c>
      <c r="F47" s="17" t="n">
        <v>7</v>
      </c>
      <c r="G47" s="17" t="n">
        <v>3</v>
      </c>
      <c r="H47" s="17" t="n">
        <v>5</v>
      </c>
      <c r="I47" s="17" t="n">
        <v>4</v>
      </c>
      <c r="J47" s="17" t="n">
        <v>6</v>
      </c>
      <c r="K47" s="17" t="n">
        <v>5</v>
      </c>
      <c r="L47" s="17" t="n">
        <v>9</v>
      </c>
      <c r="M47" s="17" t="n">
        <v>5</v>
      </c>
      <c r="N47" s="17" t="n">
        <v>5</v>
      </c>
      <c r="O47" s="17" t="n">
        <v>6</v>
      </c>
      <c r="P47" s="17" t="n">
        <v>5</v>
      </c>
      <c r="Q47" s="17" t="n">
        <v>5</v>
      </c>
      <c r="R47" s="17" t="n">
        <v>5</v>
      </c>
      <c r="S47" s="17" t="n">
        <v>6</v>
      </c>
      <c r="T47" s="17" t="n">
        <v>7</v>
      </c>
      <c r="U47" s="17" t="n">
        <v>5</v>
      </c>
      <c r="V47" s="17" t="n">
        <v>3</v>
      </c>
      <c r="W47" s="17" t="n">
        <v>5</v>
      </c>
      <c r="X47" s="8">
        <f>SUM(F47:W47)</f>
        <v/>
      </c>
      <c r="Y47" s="8">
        <f>Y11</f>
        <v/>
      </c>
      <c r="Z47" s="8">
        <f>X47-Y47</f>
        <v/>
      </c>
      <c r="AA47" s="8">
        <f>MAX(0,25-Z47)*1.0</f>
        <v/>
      </c>
      <c r="AB47" s="18">
        <f>AA47</f>
        <v/>
      </c>
    </row>
    <row r="48">
      <c r="A48" s="8" t="n">
        <v>36</v>
      </c>
      <c r="B48" t="inlineStr">
        <is>
          <t>Eduardo Rocha Ferreira</t>
        </is>
      </c>
      <c r="C48" s="8" t="inlineStr">
        <is>
          <t>51182</t>
        </is>
      </c>
      <c r="D48" t="inlineStr">
        <is>
          <t>Miramar</t>
        </is>
      </c>
      <c r="E48" s="8" t="n">
        <v>23.5</v>
      </c>
      <c r="F48" s="17" t="n">
        <v>7</v>
      </c>
      <c r="G48" s="17" t="n">
        <v>4</v>
      </c>
      <c r="H48" s="17" t="n">
        <v>4</v>
      </c>
      <c r="I48" s="17" t="n">
        <v>4</v>
      </c>
      <c r="J48" s="17" t="n">
        <v>5</v>
      </c>
      <c r="K48" s="17" t="n">
        <v>6</v>
      </c>
      <c r="L48" s="17" t="n">
        <v>6</v>
      </c>
      <c r="M48" s="17" t="n">
        <v>6</v>
      </c>
      <c r="N48" s="17" t="n">
        <v>5</v>
      </c>
      <c r="O48" s="17" t="n">
        <v>6</v>
      </c>
      <c r="P48" s="17" t="n">
        <v>5</v>
      </c>
      <c r="Q48" s="17" t="n">
        <v>3</v>
      </c>
      <c r="R48" s="17" t="n">
        <v>6</v>
      </c>
      <c r="S48" s="17" t="n">
        <v>5</v>
      </c>
      <c r="T48" s="17" t="n">
        <v>7</v>
      </c>
      <c r="U48" s="17" t="n">
        <v>6</v>
      </c>
      <c r="V48" s="17" t="n">
        <v>4</v>
      </c>
      <c r="W48" s="17" t="n">
        <v>7</v>
      </c>
      <c r="X48" s="8">
        <f>SUM(F48:W48)</f>
        <v/>
      </c>
      <c r="Y48" s="8">
        <f>Y11</f>
        <v/>
      </c>
      <c r="Z48" s="8">
        <f>X48-Y48</f>
        <v/>
      </c>
      <c r="AA48" s="8">
        <f>MAX(0,25-Z48)*1.0</f>
        <v/>
      </c>
      <c r="AB48" s="18">
        <f>AA48</f>
        <v/>
      </c>
    </row>
    <row r="49">
      <c r="A49" s="8" t="n">
        <v>37</v>
      </c>
      <c r="B49" t="inlineStr">
        <is>
          <t>Sebastião Soares</t>
        </is>
      </c>
      <c r="C49" s="8" t="inlineStr">
        <is>
          <t>47341</t>
        </is>
      </c>
      <c r="D49" t="inlineStr">
        <is>
          <t>Oporto</t>
        </is>
      </c>
      <c r="E49" s="8" t="n">
        <v>14.3</v>
      </c>
      <c r="F49" s="17" t="n">
        <v>6</v>
      </c>
      <c r="G49" s="17" t="n">
        <v>4</v>
      </c>
      <c r="H49" s="17" t="n">
        <v>10</v>
      </c>
      <c r="I49" s="17" t="n">
        <v>4</v>
      </c>
      <c r="J49" s="17" t="n">
        <v>5</v>
      </c>
      <c r="K49" s="17" t="n">
        <v>6</v>
      </c>
      <c r="L49" s="17" t="n">
        <v>7</v>
      </c>
      <c r="M49" s="17" t="n">
        <v>5</v>
      </c>
      <c r="N49" s="17" t="n">
        <v>5</v>
      </c>
      <c r="O49" s="17" t="n">
        <v>5</v>
      </c>
      <c r="P49" s="17" t="n">
        <v>5</v>
      </c>
      <c r="Q49" s="17" t="n">
        <v>4</v>
      </c>
      <c r="R49" s="17" t="n">
        <v>5</v>
      </c>
      <c r="S49" s="17" t="n">
        <v>4</v>
      </c>
      <c r="T49" s="17" t="n">
        <v>6</v>
      </c>
      <c r="U49" s="17" t="n">
        <v>6</v>
      </c>
      <c r="V49" s="17" t="n">
        <v>4</v>
      </c>
      <c r="W49" s="17" t="n">
        <v>6</v>
      </c>
      <c r="X49" s="8">
        <f>SUM(F49:W49)</f>
        <v/>
      </c>
      <c r="Y49" s="8">
        <f>Y11</f>
        <v/>
      </c>
      <c r="Z49" s="8">
        <f>X49-Y49</f>
        <v/>
      </c>
      <c r="AA49" s="8">
        <f>MAX(0,25-Z49)*1.0</f>
        <v/>
      </c>
      <c r="AB49" s="18">
        <f>AA49</f>
        <v/>
      </c>
    </row>
    <row r="50">
      <c r="A50" s="8" t="n">
        <v>38</v>
      </c>
      <c r="B50" t="inlineStr">
        <is>
          <t>Rafael Nogueira</t>
        </is>
      </c>
      <c r="C50" s="8" t="inlineStr">
        <is>
          <t>46606</t>
        </is>
      </c>
      <c r="D50" t="inlineStr">
        <is>
          <t>Paredes</t>
        </is>
      </c>
      <c r="E50" s="8" t="n">
        <v>19.1</v>
      </c>
      <c r="F50" s="17" t="n">
        <v>7</v>
      </c>
      <c r="G50" s="17" t="n">
        <v>6</v>
      </c>
      <c r="H50" s="17" t="n">
        <v>6</v>
      </c>
      <c r="I50" s="17" t="n">
        <v>5</v>
      </c>
      <c r="J50" s="17" t="n">
        <v>5</v>
      </c>
      <c r="K50" s="17" t="n">
        <v>6</v>
      </c>
      <c r="L50" s="17" t="n">
        <v>7</v>
      </c>
      <c r="M50" s="17" t="n">
        <v>5</v>
      </c>
      <c r="N50" s="17" t="n">
        <v>6</v>
      </c>
      <c r="O50" s="17" t="n">
        <v>5</v>
      </c>
      <c r="P50" s="17" t="n">
        <v>4</v>
      </c>
      <c r="Q50" s="17" t="n">
        <v>3</v>
      </c>
      <c r="R50" s="17" t="n">
        <v>7</v>
      </c>
      <c r="S50" s="17" t="n">
        <v>6</v>
      </c>
      <c r="T50" s="17" t="n">
        <v>6</v>
      </c>
      <c r="U50" s="17" t="n">
        <v>5</v>
      </c>
      <c r="V50" s="17" t="n">
        <v>4</v>
      </c>
      <c r="W50" s="17" t="n">
        <v>6</v>
      </c>
      <c r="X50" s="8">
        <f>SUM(F50:W50)</f>
        <v/>
      </c>
      <c r="Y50" s="8">
        <f>Y11</f>
        <v/>
      </c>
      <c r="Z50" s="8">
        <f>X50-Y50</f>
        <v/>
      </c>
      <c r="AA50" s="8">
        <f>MAX(0,25-Z50)*1.0</f>
        <v/>
      </c>
      <c r="AB50" s="18">
        <f>AA50</f>
        <v/>
      </c>
    </row>
    <row r="51">
      <c r="A51" s="8" t="n">
        <v>39</v>
      </c>
      <c r="B51" t="inlineStr">
        <is>
          <t>Marc Costa</t>
        </is>
      </c>
      <c r="C51" s="8" t="inlineStr">
        <is>
          <t>46308</t>
        </is>
      </c>
      <c r="D51" t="inlineStr">
        <is>
          <t>Citynorte</t>
        </is>
      </c>
      <c r="E51" s="8" t="n">
        <v>13</v>
      </c>
      <c r="F51" s="17" t="n">
        <v>5</v>
      </c>
      <c r="G51" s="17" t="n">
        <v>3</v>
      </c>
      <c r="H51" s="17" t="n">
        <v>7</v>
      </c>
      <c r="I51" s="17" t="n">
        <v>5</v>
      </c>
      <c r="J51" s="17" t="n">
        <v>7</v>
      </c>
      <c r="K51" s="17" t="n">
        <v>10</v>
      </c>
      <c r="L51" s="17" t="n">
        <v>7</v>
      </c>
      <c r="M51" s="17" t="n">
        <v>6</v>
      </c>
      <c r="N51" s="17" t="n">
        <v>5</v>
      </c>
      <c r="O51" s="17" t="n">
        <v>4</v>
      </c>
      <c r="P51" s="17" t="n">
        <v>4</v>
      </c>
      <c r="Q51" s="17" t="n">
        <v>3</v>
      </c>
      <c r="R51" s="17" t="n">
        <v>7</v>
      </c>
      <c r="S51" s="17" t="n">
        <v>5</v>
      </c>
      <c r="T51" s="17" t="n">
        <v>6</v>
      </c>
      <c r="U51" s="17" t="n">
        <v>9</v>
      </c>
      <c r="V51" s="17" t="n">
        <v>3</v>
      </c>
      <c r="W51" s="17" t="n">
        <v>5</v>
      </c>
      <c r="X51" s="8">
        <f>SUM(F51:W51)</f>
        <v/>
      </c>
      <c r="Y51" s="8">
        <f>Y11</f>
        <v/>
      </c>
      <c r="Z51" s="8">
        <f>X51-Y51</f>
        <v/>
      </c>
      <c r="AA51" s="8">
        <f>MAX(0,25-Z51)*1.0</f>
        <v/>
      </c>
      <c r="AB51" s="18">
        <f>AA51</f>
        <v/>
      </c>
    </row>
    <row r="52">
      <c r="A52" s="8" t="n">
        <v>40</v>
      </c>
      <c r="B52" t="inlineStr">
        <is>
          <t>Gustavo Castro</t>
        </is>
      </c>
      <c r="C52" s="8" t="inlineStr">
        <is>
          <t>50053</t>
        </is>
      </c>
      <c r="D52" t="inlineStr">
        <is>
          <t>Paredes</t>
        </is>
      </c>
      <c r="E52" s="8" t="n">
        <v>19.1</v>
      </c>
      <c r="F52" s="17" t="n">
        <v>5</v>
      </c>
      <c r="G52" s="17" t="n">
        <v>6</v>
      </c>
      <c r="H52" s="17" t="n">
        <v>7</v>
      </c>
      <c r="I52" s="17" t="n">
        <v>4</v>
      </c>
      <c r="J52" s="17" t="n">
        <v>5</v>
      </c>
      <c r="K52" s="17" t="n">
        <v>6</v>
      </c>
      <c r="L52" s="17" t="n">
        <v>5</v>
      </c>
      <c r="M52" s="17" t="n">
        <v>5</v>
      </c>
      <c r="N52" s="17" t="n">
        <v>5</v>
      </c>
      <c r="O52" s="17" t="n">
        <v>5</v>
      </c>
      <c r="P52" s="17" t="n">
        <v>10</v>
      </c>
      <c r="Q52" s="17" t="n">
        <v>5</v>
      </c>
      <c r="R52" s="17" t="n">
        <v>6</v>
      </c>
      <c r="S52" s="17" t="n">
        <v>6</v>
      </c>
      <c r="T52" s="17" t="n">
        <v>7</v>
      </c>
      <c r="U52" s="17" t="n">
        <v>5</v>
      </c>
      <c r="V52" s="17" t="n">
        <v>4</v>
      </c>
      <c r="W52" s="17" t="n">
        <v>6</v>
      </c>
      <c r="X52" s="8">
        <f>SUM(F52:W52)</f>
        <v/>
      </c>
      <c r="Y52" s="8">
        <f>Y11</f>
        <v/>
      </c>
      <c r="Z52" s="8">
        <f>X52-Y52</f>
        <v/>
      </c>
      <c r="AA52" s="8">
        <f>MAX(0,25-Z52)*1.0</f>
        <v/>
      </c>
      <c r="AB52" s="18">
        <f>AA52</f>
        <v/>
      </c>
    </row>
    <row r="53">
      <c r="A53" s="8" t="n">
        <v>41</v>
      </c>
      <c r="B53" t="inlineStr">
        <is>
          <t>António Pereira Mendes</t>
        </is>
      </c>
      <c r="C53" s="8" t="inlineStr">
        <is>
          <t>55094</t>
        </is>
      </c>
      <c r="D53" t="inlineStr">
        <is>
          <t>Estela</t>
        </is>
      </c>
      <c r="E53" s="8" t="n">
        <v>20.7</v>
      </c>
      <c r="F53" s="17" t="n">
        <v>8</v>
      </c>
      <c r="G53" s="17" t="n">
        <v>4</v>
      </c>
      <c r="H53" s="17" t="n">
        <v>9</v>
      </c>
      <c r="I53" s="17" t="n">
        <v>5</v>
      </c>
      <c r="J53" s="17" t="n">
        <v>5</v>
      </c>
      <c r="K53" s="17" t="n">
        <v>5</v>
      </c>
      <c r="L53" s="17" t="n">
        <v>6</v>
      </c>
      <c r="M53" s="17" t="n">
        <v>4</v>
      </c>
      <c r="N53" s="17" t="n">
        <v>5</v>
      </c>
      <c r="O53" s="17" t="n">
        <v>7</v>
      </c>
      <c r="P53" s="17" t="n">
        <v>6</v>
      </c>
      <c r="Q53" s="17" t="n">
        <v>5</v>
      </c>
      <c r="R53" s="17" t="n">
        <v>7</v>
      </c>
      <c r="S53" s="17" t="n">
        <v>5</v>
      </c>
      <c r="T53" s="17" t="n">
        <v>10</v>
      </c>
      <c r="U53" s="17" t="n">
        <v>4</v>
      </c>
      <c r="V53" s="17" t="n">
        <v>3</v>
      </c>
      <c r="W53" s="17" t="n">
        <v>5</v>
      </c>
      <c r="X53" s="8">
        <f>SUM(F53:W53)</f>
        <v/>
      </c>
      <c r="Y53" s="8">
        <f>Y11</f>
        <v/>
      </c>
      <c r="Z53" s="8">
        <f>X53-Y53</f>
        <v/>
      </c>
      <c r="AA53" s="8">
        <f>MAX(0,25-Z53)*1.0</f>
        <v/>
      </c>
      <c r="AB53" s="18">
        <f>AA53</f>
        <v/>
      </c>
    </row>
    <row r="54">
      <c r="A54" s="8" t="n">
        <v>42</v>
      </c>
      <c r="B54" t="inlineStr">
        <is>
          <t>Gabriel Guimarães Mota</t>
        </is>
      </c>
      <c r="C54" s="8" t="inlineStr">
        <is>
          <t>50526</t>
        </is>
      </c>
      <c r="D54" t="inlineStr">
        <is>
          <t>Estela</t>
        </is>
      </c>
      <c r="E54" s="8" t="n">
        <v>24.8</v>
      </c>
      <c r="F54" s="17" t="n">
        <v>7</v>
      </c>
      <c r="G54" s="17" t="n">
        <v>3</v>
      </c>
      <c r="H54" s="17" t="n">
        <v>7</v>
      </c>
      <c r="I54" s="17" t="n">
        <v>4</v>
      </c>
      <c r="J54" s="17" t="n">
        <v>6</v>
      </c>
      <c r="K54" s="17" t="n">
        <v>6</v>
      </c>
      <c r="L54" s="17" t="n">
        <v>6</v>
      </c>
      <c r="M54" s="17" t="n">
        <v>6</v>
      </c>
      <c r="N54" s="17" t="n">
        <v>4</v>
      </c>
      <c r="O54" s="17" t="n">
        <v>6</v>
      </c>
      <c r="P54" s="17" t="n">
        <v>6</v>
      </c>
      <c r="Q54" s="17" t="n">
        <v>5</v>
      </c>
      <c r="R54" s="17" t="n">
        <v>5</v>
      </c>
      <c r="S54" s="17" t="n">
        <v>7</v>
      </c>
      <c r="T54" s="17" t="n">
        <v>10</v>
      </c>
      <c r="U54" s="17" t="n">
        <v>7</v>
      </c>
      <c r="V54" s="17" t="n">
        <v>2</v>
      </c>
      <c r="W54" s="17" t="n">
        <v>6</v>
      </c>
      <c r="X54" s="8">
        <f>SUM(F54:W54)</f>
        <v/>
      </c>
      <c r="Y54" s="8">
        <f>Y11</f>
        <v/>
      </c>
      <c r="Z54" s="8">
        <f>X54-Y54</f>
        <v/>
      </c>
      <c r="AA54" s="8">
        <f>MAX(0,25-Z54)*1.0</f>
        <v/>
      </c>
      <c r="AB54" s="18">
        <f>AA54</f>
        <v/>
      </c>
    </row>
    <row r="55">
      <c r="A55" s="8" t="n">
        <v>43</v>
      </c>
      <c r="B55" t="inlineStr">
        <is>
          <t>Pedro Luís Fernandes</t>
        </is>
      </c>
      <c r="C55" s="8" t="inlineStr">
        <is>
          <t>52168</t>
        </is>
      </c>
      <c r="D55" t="inlineStr">
        <is>
          <t>Citynorte</t>
        </is>
      </c>
      <c r="E55" s="8" t="n">
        <v>17.8</v>
      </c>
      <c r="F55" s="17" t="n">
        <v>7</v>
      </c>
      <c r="G55" s="17" t="n">
        <v>3</v>
      </c>
      <c r="H55" s="17" t="n">
        <v>7</v>
      </c>
      <c r="I55" s="17" t="n">
        <v>5</v>
      </c>
      <c r="J55" s="17" t="n">
        <v>5</v>
      </c>
      <c r="K55" s="17" t="n">
        <v>6</v>
      </c>
      <c r="L55" s="17" t="n">
        <v>7</v>
      </c>
      <c r="M55" s="17" t="n">
        <v>5</v>
      </c>
      <c r="N55" s="17" t="n">
        <v>7</v>
      </c>
      <c r="O55" s="17" t="n">
        <v>5</v>
      </c>
      <c r="P55" s="17" t="n">
        <v>5</v>
      </c>
      <c r="Q55" s="17" t="n">
        <v>5</v>
      </c>
      <c r="R55" s="17" t="n">
        <v>7</v>
      </c>
      <c r="S55" s="17" t="n">
        <v>7</v>
      </c>
      <c r="T55" s="17" t="n">
        <v>7</v>
      </c>
      <c r="U55" s="17" t="n">
        <v>6</v>
      </c>
      <c r="V55" s="17" t="n">
        <v>4</v>
      </c>
      <c r="W55" s="17" t="n">
        <v>6</v>
      </c>
      <c r="X55" s="8">
        <f>SUM(F55:W55)</f>
        <v/>
      </c>
      <c r="Y55" s="8">
        <f>Y11</f>
        <v/>
      </c>
      <c r="Z55" s="8">
        <f>X55-Y55</f>
        <v/>
      </c>
      <c r="AA55" s="8">
        <f>MAX(0,25-Z55)*1.0</f>
        <v/>
      </c>
      <c r="AB55" s="18">
        <f>AA55</f>
        <v/>
      </c>
    </row>
    <row r="56">
      <c r="A56" s="8" t="n">
        <v>44</v>
      </c>
      <c r="B56" t="inlineStr">
        <is>
          <t>Gil Ribeiro</t>
        </is>
      </c>
      <c r="C56" s="8" t="inlineStr">
        <is>
          <t>47810</t>
        </is>
      </c>
      <c r="D56" t="inlineStr">
        <is>
          <t>Citynorte</t>
        </is>
      </c>
      <c r="E56" s="8" t="n">
        <v>23.5</v>
      </c>
      <c r="F56" s="17" t="n">
        <v>6</v>
      </c>
      <c r="G56" s="17" t="n">
        <v>4</v>
      </c>
      <c r="H56" s="17" t="n">
        <v>5</v>
      </c>
      <c r="I56" s="17" t="n">
        <v>4</v>
      </c>
      <c r="J56" s="17" t="n">
        <v>7</v>
      </c>
      <c r="K56" s="17" t="n">
        <v>6</v>
      </c>
      <c r="L56" s="17" t="n">
        <v>6</v>
      </c>
      <c r="M56" s="17" t="n">
        <v>4</v>
      </c>
      <c r="N56" s="17" t="n">
        <v>5</v>
      </c>
      <c r="O56" s="17" t="n">
        <v>5</v>
      </c>
      <c r="P56" s="17" t="n">
        <v>5</v>
      </c>
      <c r="Q56" s="17" t="n">
        <v>5</v>
      </c>
      <c r="R56" s="17" t="n">
        <v>7</v>
      </c>
      <c r="S56" s="17" t="n">
        <v>7</v>
      </c>
      <c r="T56" s="17" t="n">
        <v>9</v>
      </c>
      <c r="U56" s="17" t="n">
        <v>5</v>
      </c>
      <c r="V56" s="17" t="n">
        <v>8</v>
      </c>
      <c r="W56" s="17" t="n">
        <v>6</v>
      </c>
      <c r="X56" s="8">
        <f>SUM(F56:W56)</f>
        <v/>
      </c>
      <c r="Y56" s="8">
        <f>Y11</f>
        <v/>
      </c>
      <c r="Z56" s="8">
        <f>X56-Y56</f>
        <v/>
      </c>
      <c r="AA56" s="8">
        <f>MAX(0,25-Z56)*1.0</f>
        <v/>
      </c>
      <c r="AB56" s="18">
        <f>AA56</f>
        <v/>
      </c>
    </row>
    <row r="57">
      <c r="A57" s="8" t="n">
        <v>45</v>
      </c>
      <c r="B57" t="inlineStr">
        <is>
          <t>Catarina Loureiro</t>
        </is>
      </c>
      <c r="C57" s="8" t="inlineStr">
        <is>
          <t>49328</t>
        </is>
      </c>
      <c r="D57" t="inlineStr">
        <is>
          <t>Oporto</t>
        </is>
      </c>
      <c r="E57" s="8" t="n">
        <v>20.1</v>
      </c>
      <c r="F57" s="17" t="n">
        <v>10</v>
      </c>
      <c r="G57" s="17" t="n">
        <v>3</v>
      </c>
      <c r="H57" s="17" t="n">
        <v>10</v>
      </c>
      <c r="I57" s="17" t="n">
        <v>5</v>
      </c>
      <c r="J57" s="17" t="n">
        <v>6</v>
      </c>
      <c r="K57" s="17" t="n">
        <v>6</v>
      </c>
      <c r="L57" s="17" t="n">
        <v>6</v>
      </c>
      <c r="M57" s="17" t="n">
        <v>5</v>
      </c>
      <c r="N57" s="17" t="n">
        <v>4</v>
      </c>
      <c r="O57" s="17" t="n">
        <v>6</v>
      </c>
      <c r="P57" s="17" t="n">
        <v>4</v>
      </c>
      <c r="Q57" s="17" t="n">
        <v>5</v>
      </c>
      <c r="R57" s="17" t="n">
        <v>6</v>
      </c>
      <c r="S57" s="17" t="n">
        <v>4</v>
      </c>
      <c r="T57" s="17" t="n">
        <v>7</v>
      </c>
      <c r="U57" s="17" t="n">
        <v>7</v>
      </c>
      <c r="V57" s="17" t="n">
        <v>5</v>
      </c>
      <c r="W57" s="17" t="n">
        <v>6</v>
      </c>
      <c r="X57" s="8">
        <f>SUM(F57:W57)</f>
        <v/>
      </c>
      <c r="Y57" s="8">
        <f>Y11</f>
        <v/>
      </c>
      <c r="Z57" s="8">
        <f>X57-Y57</f>
        <v/>
      </c>
      <c r="AA57" s="8">
        <f>MAX(0,25-Z57)*1.0</f>
        <v/>
      </c>
      <c r="AB57" s="18">
        <f>AA57</f>
        <v/>
      </c>
    </row>
    <row r="58">
      <c r="A58" s="8" t="n">
        <v>46</v>
      </c>
      <c r="B58" t="inlineStr">
        <is>
          <t>Dinis Seabra</t>
        </is>
      </c>
      <c r="C58" s="8" t="inlineStr">
        <is>
          <t>44821</t>
        </is>
      </c>
      <c r="D58" t="inlineStr">
        <is>
          <t>Oporto</t>
        </is>
      </c>
      <c r="E58" s="8" t="n">
        <v>17.8</v>
      </c>
      <c r="F58" s="17" t="n">
        <v>6</v>
      </c>
      <c r="G58" s="17" t="n">
        <v>3</v>
      </c>
      <c r="H58" s="17" t="n">
        <v>6</v>
      </c>
      <c r="I58" s="17" t="n">
        <v>4</v>
      </c>
      <c r="J58" s="17" t="n">
        <v>7</v>
      </c>
      <c r="K58" s="17" t="n">
        <v>7</v>
      </c>
      <c r="L58" s="17" t="n">
        <v>10</v>
      </c>
      <c r="M58" s="17" t="n">
        <v>9</v>
      </c>
      <c r="N58" s="17" t="n">
        <v>7</v>
      </c>
      <c r="O58" s="17" t="n">
        <v>7</v>
      </c>
      <c r="P58" s="17" t="n">
        <v>4</v>
      </c>
      <c r="Q58" s="17" t="n">
        <v>3</v>
      </c>
      <c r="R58" s="17" t="n">
        <v>7</v>
      </c>
      <c r="S58" s="17" t="n">
        <v>6</v>
      </c>
      <c r="T58" s="17" t="n">
        <v>7</v>
      </c>
      <c r="U58" s="17" t="n">
        <v>5</v>
      </c>
      <c r="V58" s="17" t="n">
        <v>3</v>
      </c>
      <c r="W58" s="17" t="n">
        <v>5</v>
      </c>
      <c r="X58" s="8">
        <f>SUM(F58:W58)</f>
        <v/>
      </c>
      <c r="Y58" s="8">
        <f>Y11</f>
        <v/>
      </c>
      <c r="Z58" s="8">
        <f>X58-Y58</f>
        <v/>
      </c>
      <c r="AA58" s="8">
        <f>MAX(0,25-Z58)*1.0</f>
        <v/>
      </c>
      <c r="AB58" s="18">
        <f>AA58</f>
        <v/>
      </c>
    </row>
    <row r="59">
      <c r="A59" s="8" t="n">
        <v>47</v>
      </c>
      <c r="B59" t="inlineStr">
        <is>
          <t>Matias Carepa</t>
        </is>
      </c>
      <c r="C59" s="8" t="inlineStr">
        <is>
          <t>50467</t>
        </is>
      </c>
      <c r="D59" t="inlineStr">
        <is>
          <t>Citynorte</t>
        </is>
      </c>
      <c r="E59" s="8" t="n">
        <v>20.3</v>
      </c>
      <c r="F59" s="17" t="n">
        <v>6</v>
      </c>
      <c r="G59" s="17" t="n">
        <v>4</v>
      </c>
      <c r="H59" s="17" t="n">
        <v>4</v>
      </c>
      <c r="I59" s="17" t="n">
        <v>6</v>
      </c>
      <c r="J59" s="17" t="n">
        <v>6</v>
      </c>
      <c r="K59" s="17" t="n">
        <v>5</v>
      </c>
      <c r="L59" s="17" t="n">
        <v>8</v>
      </c>
      <c r="M59" s="17" t="n">
        <v>5</v>
      </c>
      <c r="N59" s="17" t="n">
        <v>5</v>
      </c>
      <c r="O59" s="17" t="n">
        <v>6</v>
      </c>
      <c r="P59" s="17" t="n">
        <v>6</v>
      </c>
      <c r="Q59" s="17" t="n">
        <v>6</v>
      </c>
      <c r="R59" s="17" t="n">
        <v>7</v>
      </c>
      <c r="S59" s="17" t="n">
        <v>7</v>
      </c>
      <c r="T59" s="17" t="n">
        <v>7</v>
      </c>
      <c r="U59" s="17" t="n">
        <v>7</v>
      </c>
      <c r="V59" s="17" t="n">
        <v>4</v>
      </c>
      <c r="W59" s="17" t="n">
        <v>7</v>
      </c>
      <c r="X59" s="8">
        <f>SUM(F59:W59)</f>
        <v/>
      </c>
      <c r="Y59" s="8">
        <f>Y11</f>
        <v/>
      </c>
      <c r="Z59" s="8">
        <f>X59-Y59</f>
        <v/>
      </c>
      <c r="AA59" s="8">
        <f>MAX(0,25-Z59)*1.0</f>
        <v/>
      </c>
      <c r="AB59" s="18">
        <f>AA59</f>
        <v/>
      </c>
    </row>
    <row r="60">
      <c r="A60" s="8" t="n">
        <v>48</v>
      </c>
      <c r="B60" t="inlineStr">
        <is>
          <t>Ricardo Ferreira</t>
        </is>
      </c>
      <c r="C60" s="8" t="inlineStr">
        <is>
          <t>45366</t>
        </is>
      </c>
      <c r="D60" t="inlineStr">
        <is>
          <t>Oporto</t>
        </is>
      </c>
      <c r="E60" s="8" t="n">
        <v>22.8</v>
      </c>
      <c r="F60" s="17" t="n">
        <v>5</v>
      </c>
      <c r="G60" s="17" t="n">
        <v>3</v>
      </c>
      <c r="H60" s="17" t="n">
        <v>7</v>
      </c>
      <c r="I60" s="17" t="n">
        <v>6</v>
      </c>
      <c r="J60" s="17" t="n">
        <v>9</v>
      </c>
      <c r="K60" s="17" t="n">
        <v>7</v>
      </c>
      <c r="L60" s="17" t="n">
        <v>8</v>
      </c>
      <c r="M60" s="17" t="n">
        <v>5</v>
      </c>
      <c r="N60" s="17" t="n">
        <v>5</v>
      </c>
      <c r="O60" s="17" t="n">
        <v>6</v>
      </c>
      <c r="P60" s="17" t="n">
        <v>4</v>
      </c>
      <c r="Q60" s="17" t="n">
        <v>5</v>
      </c>
      <c r="R60" s="17" t="n">
        <v>6</v>
      </c>
      <c r="S60" s="17" t="n">
        <v>6</v>
      </c>
      <c r="T60" s="17" t="n">
        <v>10</v>
      </c>
      <c r="U60" s="17" t="n">
        <v>5</v>
      </c>
      <c r="V60" s="17" t="n">
        <v>4</v>
      </c>
      <c r="W60" s="17" t="n">
        <v>7</v>
      </c>
      <c r="X60" s="8">
        <f>SUM(F60:W60)</f>
        <v/>
      </c>
      <c r="Y60" s="8">
        <f>Y11</f>
        <v/>
      </c>
      <c r="Z60" s="8">
        <f>X60-Y60</f>
        <v/>
      </c>
      <c r="AA60" s="8">
        <f>MAX(0,25-Z60)*1.0</f>
        <v/>
      </c>
      <c r="AB60" s="18">
        <f>AA60</f>
        <v/>
      </c>
    </row>
    <row r="61">
      <c r="A61" s="8" t="n">
        <v>49</v>
      </c>
      <c r="B61" t="inlineStr">
        <is>
          <t>Gustavo Pinto</t>
        </is>
      </c>
      <c r="C61" s="8" t="inlineStr">
        <is>
          <t>56048</t>
        </is>
      </c>
      <c r="D61" t="inlineStr">
        <is>
          <t>Oporto</t>
        </is>
      </c>
      <c r="E61" s="8" t="n">
        <v>10.2</v>
      </c>
      <c r="F61" s="17" t="n">
        <v>7</v>
      </c>
      <c r="G61" s="17" t="n">
        <v>4</v>
      </c>
      <c r="H61" s="17" t="n">
        <v>8</v>
      </c>
      <c r="I61" s="17" t="n">
        <v>9</v>
      </c>
      <c r="J61" s="17" t="n">
        <v>10</v>
      </c>
      <c r="K61" s="17" t="n">
        <v>5</v>
      </c>
      <c r="L61" s="17" t="n">
        <v>5</v>
      </c>
      <c r="M61" s="17" t="n">
        <v>10</v>
      </c>
      <c r="N61" s="17" t="n">
        <v>7</v>
      </c>
      <c r="O61" s="17" t="n">
        <v>4</v>
      </c>
      <c r="P61" s="17" t="n">
        <v>4</v>
      </c>
      <c r="Q61" s="17" t="n">
        <v>3</v>
      </c>
      <c r="R61" s="17" t="n">
        <v>5</v>
      </c>
      <c r="S61" s="17" t="n">
        <v>5</v>
      </c>
      <c r="T61" s="17" t="n">
        <v>8</v>
      </c>
      <c r="U61" s="17" t="n">
        <v>6</v>
      </c>
      <c r="V61" s="17" t="n">
        <v>5</v>
      </c>
      <c r="W61" s="17" t="n">
        <v>5</v>
      </c>
      <c r="X61" s="8">
        <f>SUM(F61:W61)</f>
        <v/>
      </c>
      <c r="Y61" s="8">
        <f>Y11</f>
        <v/>
      </c>
      <c r="Z61" s="8">
        <f>X61-Y61</f>
        <v/>
      </c>
      <c r="AA61" s="8">
        <f>MAX(0,25-Z61)*1.0</f>
        <v/>
      </c>
      <c r="AB61" s="18">
        <f>AA61</f>
        <v/>
      </c>
    </row>
    <row r="62">
      <c r="A62" s="8" t="n">
        <v>50</v>
      </c>
      <c r="B62" t="inlineStr">
        <is>
          <t>Leonardo Ferreira</t>
        </is>
      </c>
      <c r="C62" s="8" t="inlineStr">
        <is>
          <t>50193</t>
        </is>
      </c>
      <c r="D62" t="inlineStr">
        <is>
          <t>Paredes</t>
        </is>
      </c>
      <c r="E62" s="8" t="n">
        <v>23.8</v>
      </c>
      <c r="F62" s="17" t="n">
        <v>5</v>
      </c>
      <c r="G62" s="17" t="n">
        <v>4</v>
      </c>
      <c r="H62" s="17" t="n">
        <v>10</v>
      </c>
      <c r="I62" s="17" t="n">
        <v>4</v>
      </c>
      <c r="J62" s="17" t="n">
        <v>9</v>
      </c>
      <c r="K62" s="17" t="n">
        <v>5</v>
      </c>
      <c r="L62" s="17" t="n">
        <v>10</v>
      </c>
      <c r="M62" s="17" t="n">
        <v>10</v>
      </c>
      <c r="N62" s="17" t="n">
        <v>7</v>
      </c>
      <c r="O62" s="17" t="n">
        <v>8</v>
      </c>
      <c r="P62" s="17" t="n">
        <v>5</v>
      </c>
      <c r="Q62" s="17" t="n">
        <v>5</v>
      </c>
      <c r="R62" s="17" t="n">
        <v>7</v>
      </c>
      <c r="S62" s="17" t="n">
        <v>6</v>
      </c>
      <c r="T62" s="17" t="n">
        <v>8</v>
      </c>
      <c r="U62" s="17" t="n">
        <v>10</v>
      </c>
      <c r="V62" s="17" t="n">
        <v>3</v>
      </c>
      <c r="W62" s="17" t="n">
        <v>8</v>
      </c>
      <c r="X62" s="8">
        <f>SUM(F62:W62)</f>
        <v/>
      </c>
      <c r="Y62" s="8">
        <f>Y11</f>
        <v/>
      </c>
      <c r="Z62" s="8">
        <f>X62-Y62</f>
        <v/>
      </c>
      <c r="AA62" s="8">
        <f>MAX(0,25-Z62)*1.0</f>
        <v/>
      </c>
      <c r="AB62" s="18">
        <f>AA62</f>
        <v/>
      </c>
    </row>
    <row r="63">
      <c r="A63" s="8" t="inlineStr">
        <is>
          <t>DQ</t>
        </is>
      </c>
      <c r="B63" t="inlineStr">
        <is>
          <t>José Maria Pereira</t>
        </is>
      </c>
      <c r="C63" s="8" t="inlineStr"/>
      <c r="D63" t="inlineStr">
        <is>
          <t>Miramar</t>
        </is>
      </c>
      <c r="E63" s="8" t="n">
        <v>21.3</v>
      </c>
      <c r="AA63" s="8" t="n">
        <v>0</v>
      </c>
      <c r="AB63" s="18">
        <f>AA63</f>
        <v/>
      </c>
    </row>
  </sheetData>
  <mergeCells count="1">
    <mergeCell ref="A1:H1"/>
  </mergeCells>
  <conditionalFormatting sqref="F13:F63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63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63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63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63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63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63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63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63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63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63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63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63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63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63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63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63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63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1º Drive Tour Sul — Laguna</t>
        </is>
      </c>
    </row>
    <row r="2">
      <c r="A2" s="10" t="inlineStr">
        <is>
          <t>Data:</t>
        </is>
      </c>
      <c r="B2" t="inlineStr">
        <is>
          <t>2026-01-11</t>
        </is>
      </c>
    </row>
    <row r="3">
      <c r="A3" s="10" t="inlineStr">
        <is>
          <t>Campo:</t>
        </is>
      </c>
      <c r="B3" t="inlineStr">
        <is>
          <t>Laguna GC</t>
        </is>
      </c>
    </row>
    <row r="4">
      <c r="A4" s="10" t="inlineStr">
        <is>
          <t>ccode/tcode:</t>
        </is>
      </c>
      <c r="B4" t="inlineStr">
        <is>
          <t>988/10292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https://scoring.datagolf.pt/pt/Classifications.aspx?ccode=988&amp;tcode=10292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4</v>
      </c>
      <c r="L11" s="14" t="n">
        <v>4</v>
      </c>
      <c r="M11" s="14" t="n">
        <v>5</v>
      </c>
      <c r="N11" s="14" t="n">
        <v>4</v>
      </c>
      <c r="O11" s="14" t="n">
        <v>5</v>
      </c>
      <c r="P11" s="14" t="n">
        <v>4</v>
      </c>
      <c r="Q11" s="14" t="n">
        <v>3</v>
      </c>
      <c r="R11" s="14" t="n">
        <v>4</v>
      </c>
      <c r="S11" s="14" t="n">
        <v>4</v>
      </c>
      <c r="T11" s="14" t="n">
        <v>5</v>
      </c>
      <c r="U11" s="14" t="n">
        <v>4</v>
      </c>
      <c r="V11" s="14" t="n">
        <v>3</v>
      </c>
      <c r="W11" s="14" t="n">
        <v>4</v>
      </c>
      <c r="Y11" s="15">
        <f>SUM(F11:W11)</f>
        <v/>
      </c>
    </row>
    <row r="12">
      <c r="A12" s="13" t="inlineStr">
        <is>
          <t>—SI—</t>
        </is>
      </c>
      <c r="F12" s="16" t="n">
        <v>16</v>
      </c>
      <c r="G12" s="16" t="n">
        <v>12</v>
      </c>
      <c r="H12" s="16" t="n">
        <v>4</v>
      </c>
      <c r="I12" s="16" t="n">
        <v>6</v>
      </c>
      <c r="J12" s="16" t="n">
        <v>8</v>
      </c>
      <c r="K12" s="16" t="n">
        <v>18</v>
      </c>
      <c r="L12" s="16" t="n">
        <v>10</v>
      </c>
      <c r="M12" s="16" t="n">
        <v>14</v>
      </c>
      <c r="N12" s="16" t="n">
        <v>2</v>
      </c>
      <c r="O12" s="16" t="n">
        <v>17</v>
      </c>
      <c r="P12" s="16" t="n">
        <v>7</v>
      </c>
      <c r="Q12" s="16" t="n">
        <v>5</v>
      </c>
      <c r="R12" s="16" t="n">
        <v>1</v>
      </c>
      <c r="S12" s="16" t="n">
        <v>3</v>
      </c>
      <c r="T12" s="16" t="n">
        <v>13</v>
      </c>
      <c r="U12" s="16" t="n">
        <v>15</v>
      </c>
      <c r="V12" s="16" t="n">
        <v>11</v>
      </c>
      <c r="W12" s="16" t="n">
        <v>9</v>
      </c>
    </row>
    <row r="13">
      <c r="A13" s="8" t="n">
        <v>1</v>
      </c>
      <c r="B13" t="inlineStr">
        <is>
          <t>Rodrigo Sousa Correia</t>
        </is>
      </c>
      <c r="C13" s="8" t="inlineStr">
        <is>
          <t>44934</t>
        </is>
      </c>
      <c r="D13" t="inlineStr">
        <is>
          <t>Vilamoura, C. G</t>
        </is>
      </c>
      <c r="E13" s="8" t="n">
        <v>3.4</v>
      </c>
      <c r="F13" s="17" t="n">
        <v>5</v>
      </c>
      <c r="G13" s="17" t="n">
        <v>3</v>
      </c>
      <c r="H13" s="17" t="n">
        <v>4</v>
      </c>
      <c r="I13" s="17" t="n">
        <v>3</v>
      </c>
      <c r="J13" s="17" t="n">
        <v>3</v>
      </c>
      <c r="K13" s="17" t="n">
        <v>4</v>
      </c>
      <c r="L13" s="17" t="n">
        <v>4</v>
      </c>
      <c r="M13" s="17" t="n">
        <v>4</v>
      </c>
      <c r="N13" s="17" t="n">
        <v>4</v>
      </c>
      <c r="O13" s="17" t="n">
        <v>5</v>
      </c>
      <c r="P13" s="17" t="n">
        <v>4</v>
      </c>
      <c r="Q13" s="17" t="n">
        <v>2</v>
      </c>
      <c r="R13" s="17" t="n">
        <v>4</v>
      </c>
      <c r="S13" s="17" t="n">
        <v>4</v>
      </c>
      <c r="T13" s="17" t="n">
        <v>5</v>
      </c>
      <c r="U13" s="17" t="n">
        <v>5</v>
      </c>
      <c r="V13" s="17" t="n">
        <v>4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Ethan Prybys Orton</t>
        </is>
      </c>
      <c r="C14" s="8" t="inlineStr">
        <is>
          <t>42374</t>
        </is>
      </c>
      <c r="D14" t="inlineStr">
        <is>
          <t>Vila Sol</t>
        </is>
      </c>
      <c r="E14" s="8" t="n">
        <v>4.4</v>
      </c>
      <c r="F14" s="17" t="n">
        <v>4</v>
      </c>
      <c r="G14" s="17" t="n">
        <v>4</v>
      </c>
      <c r="H14" s="17" t="n">
        <v>4</v>
      </c>
      <c r="I14" s="17" t="n">
        <v>4</v>
      </c>
      <c r="J14" s="17" t="n">
        <v>3</v>
      </c>
      <c r="K14" s="17" t="n">
        <v>3</v>
      </c>
      <c r="L14" s="17" t="n">
        <v>5</v>
      </c>
      <c r="M14" s="17" t="n">
        <v>5</v>
      </c>
      <c r="N14" s="17" t="n">
        <v>4</v>
      </c>
      <c r="O14" s="17" t="n">
        <v>5</v>
      </c>
      <c r="P14" s="17" t="n">
        <v>4</v>
      </c>
      <c r="Q14" s="17" t="n">
        <v>3</v>
      </c>
      <c r="R14" s="17" t="n">
        <v>5</v>
      </c>
      <c r="S14" s="17" t="n">
        <v>6</v>
      </c>
      <c r="T14" s="17" t="n">
        <v>5</v>
      </c>
      <c r="U14" s="17" t="n">
        <v>4</v>
      </c>
      <c r="V14" s="17" t="n">
        <v>2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Ethan Sutherland</t>
        </is>
      </c>
      <c r="C15" s="8" t="inlineStr">
        <is>
          <t>48933</t>
        </is>
      </c>
      <c r="D15" t="inlineStr">
        <is>
          <t>Vila Sol</t>
        </is>
      </c>
      <c r="E15" s="8" t="n">
        <v>4</v>
      </c>
      <c r="F15" s="17" t="n">
        <v>5</v>
      </c>
      <c r="G15" s="17" t="n">
        <v>3</v>
      </c>
      <c r="H15" s="17" t="n">
        <v>4</v>
      </c>
      <c r="I15" s="17" t="n">
        <v>3</v>
      </c>
      <c r="J15" s="17" t="n">
        <v>5</v>
      </c>
      <c r="K15" s="17" t="n">
        <v>5</v>
      </c>
      <c r="L15" s="17" t="n">
        <v>4</v>
      </c>
      <c r="M15" s="17" t="n">
        <v>5</v>
      </c>
      <c r="N15" s="17" t="n">
        <v>5</v>
      </c>
      <c r="O15" s="17" t="n">
        <v>5</v>
      </c>
      <c r="P15" s="17" t="n">
        <v>4</v>
      </c>
      <c r="Q15" s="17" t="n">
        <v>2</v>
      </c>
      <c r="R15" s="17" t="n">
        <v>4</v>
      </c>
      <c r="S15" s="17" t="n">
        <v>4</v>
      </c>
      <c r="T15" s="17" t="n">
        <v>5</v>
      </c>
      <c r="U15" s="17" t="n">
        <v>5</v>
      </c>
      <c r="V15" s="17" t="n">
        <v>3</v>
      </c>
      <c r="W15" s="17" t="n">
        <v>6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Joe Short</t>
        </is>
      </c>
      <c r="C16" s="8" t="inlineStr">
        <is>
          <t>51804</t>
        </is>
      </c>
      <c r="D16" t="inlineStr">
        <is>
          <t>Vila Sol</t>
        </is>
      </c>
      <c r="E16" s="8" t="n">
        <v>8.9</v>
      </c>
      <c r="F16" s="17" t="n">
        <v>6</v>
      </c>
      <c r="G16" s="17" t="n">
        <v>4</v>
      </c>
      <c r="H16" s="17" t="n">
        <v>4</v>
      </c>
      <c r="I16" s="17" t="n">
        <v>5</v>
      </c>
      <c r="J16" s="17" t="n">
        <v>4</v>
      </c>
      <c r="K16" s="17" t="n">
        <v>4</v>
      </c>
      <c r="L16" s="17" t="n">
        <v>4</v>
      </c>
      <c r="M16" s="17" t="n">
        <v>6</v>
      </c>
      <c r="N16" s="17" t="n">
        <v>4</v>
      </c>
      <c r="O16" s="17" t="n">
        <v>4</v>
      </c>
      <c r="P16" s="17" t="n">
        <v>4</v>
      </c>
      <c r="Q16" s="17" t="n">
        <v>3</v>
      </c>
      <c r="R16" s="17" t="n">
        <v>5</v>
      </c>
      <c r="S16" s="17" t="n">
        <v>4</v>
      </c>
      <c r="T16" s="17" t="n">
        <v>5</v>
      </c>
      <c r="U16" s="17" t="n">
        <v>4</v>
      </c>
      <c r="V16" s="17" t="n">
        <v>3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Matteo Balzer</t>
        </is>
      </c>
      <c r="C17" s="8" t="inlineStr">
        <is>
          <t>44406</t>
        </is>
      </c>
      <c r="D17" t="inlineStr">
        <is>
          <t>Amendoeira</t>
        </is>
      </c>
      <c r="E17" s="8" t="n">
        <v>3.5</v>
      </c>
      <c r="F17" s="17" t="n">
        <v>6</v>
      </c>
      <c r="G17" s="17" t="n">
        <v>4</v>
      </c>
      <c r="H17" s="17" t="n">
        <v>4</v>
      </c>
      <c r="I17" s="17" t="n">
        <v>5</v>
      </c>
      <c r="J17" s="17" t="n">
        <v>4</v>
      </c>
      <c r="K17" s="17" t="n">
        <v>3</v>
      </c>
      <c r="L17" s="17" t="n">
        <v>4</v>
      </c>
      <c r="M17" s="17" t="n">
        <v>5</v>
      </c>
      <c r="N17" s="17" t="n">
        <v>5</v>
      </c>
      <c r="O17" s="17" t="n">
        <v>6</v>
      </c>
      <c r="P17" s="17" t="n">
        <v>4</v>
      </c>
      <c r="Q17" s="17" t="n">
        <v>3</v>
      </c>
      <c r="R17" s="17" t="n">
        <v>4</v>
      </c>
      <c r="S17" s="17" t="n">
        <v>4</v>
      </c>
      <c r="T17" s="17" t="n">
        <v>5</v>
      </c>
      <c r="U17" s="17" t="n">
        <v>5</v>
      </c>
      <c r="V17" s="17" t="n">
        <v>2</v>
      </c>
      <c r="W17" s="17" t="n">
        <v>5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Finn Gordon</t>
        </is>
      </c>
      <c r="C18" s="8" t="inlineStr">
        <is>
          <t>55269</t>
        </is>
      </c>
      <c r="D18" t="inlineStr">
        <is>
          <t>Vilamoura, C. G</t>
        </is>
      </c>
      <c r="E18" s="8" t="n">
        <v>6</v>
      </c>
      <c r="F18" s="17" t="n">
        <v>7</v>
      </c>
      <c r="G18" s="17" t="n">
        <v>3</v>
      </c>
      <c r="H18" s="17" t="n">
        <v>5</v>
      </c>
      <c r="I18" s="17" t="n">
        <v>3</v>
      </c>
      <c r="J18" s="17" t="n">
        <v>4</v>
      </c>
      <c r="K18" s="17" t="n">
        <v>6</v>
      </c>
      <c r="L18" s="17" t="n">
        <v>4</v>
      </c>
      <c r="M18" s="17" t="n">
        <v>4</v>
      </c>
      <c r="N18" s="17" t="n">
        <v>6</v>
      </c>
      <c r="O18" s="17" t="n">
        <v>6</v>
      </c>
      <c r="P18" s="17" t="n">
        <v>4</v>
      </c>
      <c r="Q18" s="17" t="n">
        <v>3</v>
      </c>
      <c r="R18" s="17" t="n">
        <v>5</v>
      </c>
      <c r="S18" s="17" t="n">
        <v>5</v>
      </c>
      <c r="T18" s="17" t="n">
        <v>6</v>
      </c>
      <c r="U18" s="17" t="n">
        <v>5</v>
      </c>
      <c r="V18" s="17" t="n">
        <v>3</v>
      </c>
      <c r="W18" s="17" t="n">
        <v>5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Igor Kostyn</t>
        </is>
      </c>
      <c r="C19" s="8" t="inlineStr">
        <is>
          <t>56072</t>
        </is>
      </c>
      <c r="D19" t="inlineStr">
        <is>
          <t>Vilamoura, C. G</t>
        </is>
      </c>
      <c r="E19" s="8" t="n">
        <v>9.5</v>
      </c>
      <c r="F19" s="17" t="n">
        <v>5</v>
      </c>
      <c r="G19" s="17" t="n">
        <v>3</v>
      </c>
      <c r="H19" s="17" t="n">
        <v>4</v>
      </c>
      <c r="I19" s="17" t="n">
        <v>3</v>
      </c>
      <c r="J19" s="17" t="n">
        <v>8</v>
      </c>
      <c r="K19" s="17" t="n">
        <v>4</v>
      </c>
      <c r="L19" s="17" t="n">
        <v>4</v>
      </c>
      <c r="M19" s="17" t="n">
        <v>5</v>
      </c>
      <c r="N19" s="17" t="n">
        <v>4</v>
      </c>
      <c r="O19" s="17" t="n">
        <v>7</v>
      </c>
      <c r="P19" s="17" t="n">
        <v>3</v>
      </c>
      <c r="Q19" s="17" t="n">
        <v>3</v>
      </c>
      <c r="R19" s="17" t="n">
        <v>5</v>
      </c>
      <c r="S19" s="17" t="n">
        <v>6</v>
      </c>
      <c r="T19" s="17" t="n">
        <v>5</v>
      </c>
      <c r="U19" s="17" t="n">
        <v>5</v>
      </c>
      <c r="V19" s="17" t="n">
        <v>7</v>
      </c>
      <c r="W19" s="17" t="n">
        <v>5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Beau Delfortrie</t>
        </is>
      </c>
      <c r="C20" s="8" t="inlineStr">
        <is>
          <t>50247</t>
        </is>
      </c>
      <c r="D20" t="inlineStr">
        <is>
          <t>Vila Sol</t>
        </is>
      </c>
      <c r="E20" s="8" t="n">
        <v>10.5</v>
      </c>
      <c r="F20" s="17" t="n">
        <v>6</v>
      </c>
      <c r="G20" s="17" t="n">
        <v>4</v>
      </c>
      <c r="H20" s="17" t="n">
        <v>5</v>
      </c>
      <c r="I20" s="17" t="n">
        <v>4</v>
      </c>
      <c r="J20" s="17" t="n">
        <v>5</v>
      </c>
      <c r="K20" s="17" t="n">
        <v>5</v>
      </c>
      <c r="L20" s="17" t="n">
        <v>5</v>
      </c>
      <c r="M20" s="17" t="n">
        <v>5</v>
      </c>
      <c r="N20" s="17" t="n">
        <v>4</v>
      </c>
      <c r="O20" s="17" t="n">
        <v>8</v>
      </c>
      <c r="P20" s="17" t="n">
        <v>3</v>
      </c>
      <c r="Q20" s="17" t="n">
        <v>5</v>
      </c>
      <c r="R20" s="17" t="n">
        <v>5</v>
      </c>
      <c r="S20" s="17" t="n">
        <v>5</v>
      </c>
      <c r="T20" s="17" t="n">
        <v>6</v>
      </c>
      <c r="U20" s="17" t="n">
        <v>5</v>
      </c>
      <c r="V20" s="17" t="n">
        <v>3</v>
      </c>
      <c r="W20" s="17" t="n">
        <v>5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Catarina Sousa Conceição</t>
        </is>
      </c>
      <c r="C21" s="8" t="inlineStr">
        <is>
          <t>48794</t>
        </is>
      </c>
      <c r="D21" t="inlineStr">
        <is>
          <t>Vilamoura, C. G</t>
        </is>
      </c>
      <c r="E21" s="8" t="n">
        <v>10.7</v>
      </c>
      <c r="F21" s="17" t="n">
        <v>6</v>
      </c>
      <c r="G21" s="17" t="n">
        <v>4</v>
      </c>
      <c r="H21" s="17" t="n">
        <v>5</v>
      </c>
      <c r="I21" s="17" t="n">
        <v>3</v>
      </c>
      <c r="J21" s="17" t="n">
        <v>5</v>
      </c>
      <c r="K21" s="17" t="n">
        <v>4</v>
      </c>
      <c r="L21" s="17" t="n">
        <v>4</v>
      </c>
      <c r="M21" s="17" t="n">
        <v>5</v>
      </c>
      <c r="N21" s="17" t="n">
        <v>6</v>
      </c>
      <c r="O21" s="17" t="n">
        <v>6</v>
      </c>
      <c r="P21" s="17" t="n">
        <v>5</v>
      </c>
      <c r="Q21" s="17" t="n">
        <v>4</v>
      </c>
      <c r="R21" s="17" t="n">
        <v>8</v>
      </c>
      <c r="S21" s="17" t="n">
        <v>4</v>
      </c>
      <c r="T21" s="17" t="n">
        <v>5</v>
      </c>
      <c r="U21" s="17" t="n">
        <v>5</v>
      </c>
      <c r="V21" s="17" t="n">
        <v>4</v>
      </c>
      <c r="W21" s="17" t="n">
        <v>5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Sabrina Ribeiro Crisóstomo</t>
        </is>
      </c>
      <c r="C22" s="8" t="inlineStr">
        <is>
          <t>48971</t>
        </is>
      </c>
      <c r="D22" t="inlineStr">
        <is>
          <t>Vilamoura, C. G</t>
        </is>
      </c>
      <c r="E22" s="8" t="n">
        <v>7.2</v>
      </c>
      <c r="F22" s="17" t="n">
        <v>7</v>
      </c>
      <c r="G22" s="17" t="n">
        <v>3</v>
      </c>
      <c r="H22" s="17" t="n">
        <v>4</v>
      </c>
      <c r="I22" s="17" t="n">
        <v>4</v>
      </c>
      <c r="J22" s="17" t="n">
        <v>5</v>
      </c>
      <c r="K22" s="17" t="n">
        <v>4</v>
      </c>
      <c r="L22" s="17" t="n">
        <v>4</v>
      </c>
      <c r="M22" s="17" t="n">
        <v>5</v>
      </c>
      <c r="N22" s="17" t="n">
        <v>6</v>
      </c>
      <c r="O22" s="17" t="n">
        <v>6</v>
      </c>
      <c r="P22" s="17" t="n">
        <v>5</v>
      </c>
      <c r="Q22" s="17" t="n">
        <v>4</v>
      </c>
      <c r="R22" s="17" t="n">
        <v>6</v>
      </c>
      <c r="S22" s="17" t="n">
        <v>5</v>
      </c>
      <c r="T22" s="17" t="n">
        <v>6</v>
      </c>
      <c r="U22" s="17" t="n">
        <v>5</v>
      </c>
      <c r="V22" s="17" t="n">
        <v>5</v>
      </c>
      <c r="W22" s="17" t="n">
        <v>5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José Silva</t>
        </is>
      </c>
      <c r="C23" s="8" t="inlineStr">
        <is>
          <t>54845</t>
        </is>
      </c>
      <c r="D23" t="inlineStr">
        <is>
          <t>Amendoeira</t>
        </is>
      </c>
      <c r="E23" s="8" t="n">
        <v>11.5</v>
      </c>
      <c r="F23" s="17" t="n">
        <v>6</v>
      </c>
      <c r="G23" s="17" t="n">
        <v>2</v>
      </c>
      <c r="H23" s="17" t="n">
        <v>5</v>
      </c>
      <c r="I23" s="17" t="n">
        <v>2</v>
      </c>
      <c r="J23" s="17" t="n">
        <v>5</v>
      </c>
      <c r="K23" s="17" t="n">
        <v>6</v>
      </c>
      <c r="L23" s="17" t="n">
        <v>4</v>
      </c>
      <c r="M23" s="17" t="n">
        <v>7</v>
      </c>
      <c r="N23" s="17" t="n">
        <v>6</v>
      </c>
      <c r="O23" s="17" t="n">
        <v>7</v>
      </c>
      <c r="P23" s="17" t="n">
        <v>4</v>
      </c>
      <c r="Q23" s="17" t="n">
        <v>3</v>
      </c>
      <c r="R23" s="17" t="n">
        <v>6</v>
      </c>
      <c r="S23" s="17" t="n">
        <v>4</v>
      </c>
      <c r="T23" s="17" t="n">
        <v>9</v>
      </c>
      <c r="U23" s="17" t="n">
        <v>6</v>
      </c>
      <c r="V23" s="17" t="n">
        <v>3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Luke Samanek</t>
        </is>
      </c>
      <c r="C24" s="8" t="inlineStr">
        <is>
          <t>56491</t>
        </is>
      </c>
      <c r="D24" t="inlineStr">
        <is>
          <t>Vila Sol</t>
        </is>
      </c>
      <c r="E24" s="8" t="n">
        <v>20.5</v>
      </c>
      <c r="F24" s="17" t="n">
        <v>7</v>
      </c>
      <c r="G24" s="17" t="n">
        <v>4</v>
      </c>
      <c r="H24" s="17" t="n">
        <v>6</v>
      </c>
      <c r="I24" s="17" t="n">
        <v>5</v>
      </c>
      <c r="J24" s="17" t="n">
        <v>4</v>
      </c>
      <c r="K24" s="17" t="n">
        <v>4</v>
      </c>
      <c r="L24" s="17" t="n">
        <v>4</v>
      </c>
      <c r="M24" s="17" t="n">
        <v>5</v>
      </c>
      <c r="N24" s="17" t="n">
        <v>6</v>
      </c>
      <c r="O24" s="17" t="n">
        <v>6</v>
      </c>
      <c r="P24" s="17" t="n">
        <v>5</v>
      </c>
      <c r="Q24" s="17" t="n">
        <v>5</v>
      </c>
      <c r="R24" s="17" t="n">
        <v>5</v>
      </c>
      <c r="S24" s="17" t="n">
        <v>7</v>
      </c>
      <c r="T24" s="17" t="n">
        <v>6</v>
      </c>
      <c r="U24" s="17" t="n">
        <v>5</v>
      </c>
      <c r="V24" s="17" t="n">
        <v>3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Tomás Lima Pinto</t>
        </is>
      </c>
      <c r="C25" s="8" t="inlineStr">
        <is>
          <t>46037</t>
        </is>
      </c>
      <c r="D25" t="inlineStr">
        <is>
          <t>Vilamoura, C. G</t>
        </is>
      </c>
      <c r="E25" s="8" t="n">
        <v>10.3</v>
      </c>
      <c r="F25" s="17" t="n">
        <v>5</v>
      </c>
      <c r="G25" s="17" t="n">
        <v>3</v>
      </c>
      <c r="H25" s="17" t="n">
        <v>5</v>
      </c>
      <c r="I25" s="17" t="n">
        <v>5</v>
      </c>
      <c r="J25" s="17" t="n">
        <v>9</v>
      </c>
      <c r="K25" s="17" t="n">
        <v>4</v>
      </c>
      <c r="L25" s="17" t="n">
        <v>4</v>
      </c>
      <c r="M25" s="17" t="n">
        <v>5</v>
      </c>
      <c r="N25" s="17" t="n">
        <v>7</v>
      </c>
      <c r="O25" s="17" t="n">
        <v>6</v>
      </c>
      <c r="P25" s="17" t="n">
        <v>6</v>
      </c>
      <c r="Q25" s="17" t="n">
        <v>3</v>
      </c>
      <c r="R25" s="17" t="n">
        <v>5</v>
      </c>
      <c r="S25" s="17" t="n">
        <v>4</v>
      </c>
      <c r="T25" s="17" t="n">
        <v>7</v>
      </c>
      <c r="U25" s="17" t="n">
        <v>5</v>
      </c>
      <c r="V25" s="17" t="n">
        <v>5</v>
      </c>
      <c r="W25" s="17" t="n">
        <v>6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  <row r="26">
      <c r="A26" s="8" t="n">
        <v>14</v>
      </c>
      <c r="B26" t="inlineStr">
        <is>
          <t>Gabriel Costa</t>
        </is>
      </c>
      <c r="C26" s="8" t="inlineStr">
        <is>
          <t>53838</t>
        </is>
      </c>
      <c r="D26" t="inlineStr">
        <is>
          <t>Amendoeira</t>
        </is>
      </c>
      <c r="E26" s="8" t="n">
        <v>21.8</v>
      </c>
      <c r="F26" s="17" t="n">
        <v>5</v>
      </c>
      <c r="G26" s="17" t="n">
        <v>4</v>
      </c>
      <c r="H26" s="17" t="n">
        <v>6</v>
      </c>
      <c r="I26" s="17" t="n">
        <v>4</v>
      </c>
      <c r="J26" s="17" t="n">
        <v>5</v>
      </c>
      <c r="K26" s="17" t="n">
        <v>4</v>
      </c>
      <c r="L26" s="17" t="n">
        <v>6</v>
      </c>
      <c r="M26" s="17" t="n">
        <v>5</v>
      </c>
      <c r="N26" s="17" t="n">
        <v>5</v>
      </c>
      <c r="O26" s="17" t="n">
        <v>7</v>
      </c>
      <c r="P26" s="17" t="n">
        <v>5</v>
      </c>
      <c r="Q26" s="17" t="n">
        <v>4</v>
      </c>
      <c r="R26" s="17" t="n">
        <v>5</v>
      </c>
      <c r="S26" s="17" t="n">
        <v>7</v>
      </c>
      <c r="T26" s="17" t="n">
        <v>6</v>
      </c>
      <c r="U26" s="17" t="n">
        <v>6</v>
      </c>
      <c r="V26" s="17" t="n">
        <v>4</v>
      </c>
      <c r="W26" s="17" t="n">
        <v>6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8">
        <f>AA26</f>
        <v/>
      </c>
    </row>
    <row r="27">
      <c r="A27" s="8" t="n">
        <v>15</v>
      </c>
      <c r="B27" t="inlineStr">
        <is>
          <t>Jack Brando</t>
        </is>
      </c>
      <c r="C27" s="8" t="inlineStr">
        <is>
          <t>54232</t>
        </is>
      </c>
      <c r="D27" t="inlineStr">
        <is>
          <t>Vila Sol</t>
        </is>
      </c>
      <c r="E27" s="8" t="n">
        <v>12.1</v>
      </c>
      <c r="F27" s="17" t="n">
        <v>8</v>
      </c>
      <c r="G27" s="17" t="n">
        <v>3</v>
      </c>
      <c r="H27" s="17" t="n">
        <v>6</v>
      </c>
      <c r="I27" s="17" t="n">
        <v>3</v>
      </c>
      <c r="J27" s="17" t="n">
        <v>5</v>
      </c>
      <c r="K27" s="17" t="n">
        <v>4</v>
      </c>
      <c r="L27" s="17" t="n">
        <v>6</v>
      </c>
      <c r="M27" s="17" t="n">
        <v>10</v>
      </c>
      <c r="N27" s="17" t="n">
        <v>5</v>
      </c>
      <c r="O27" s="17" t="n">
        <v>7</v>
      </c>
      <c r="P27" s="17" t="n">
        <v>5</v>
      </c>
      <c r="Q27" s="17" t="n">
        <v>7</v>
      </c>
      <c r="R27" s="17" t="n">
        <v>4</v>
      </c>
      <c r="S27" s="17" t="n">
        <v>6</v>
      </c>
      <c r="T27" s="17" t="n">
        <v>5</v>
      </c>
      <c r="U27" s="17" t="n">
        <v>5</v>
      </c>
      <c r="V27" s="17" t="n">
        <v>3</v>
      </c>
      <c r="W27" s="17" t="n">
        <v>5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8">
        <f>AA27</f>
        <v/>
      </c>
    </row>
    <row r="28">
      <c r="A28" s="8" t="n">
        <v>16</v>
      </c>
      <c r="B28" t="inlineStr">
        <is>
          <t>Marek Pejas</t>
        </is>
      </c>
      <c r="C28" s="8" t="inlineStr">
        <is>
          <t>52069</t>
        </is>
      </c>
      <c r="D28" t="inlineStr">
        <is>
          <t>Vilamoura, C. G</t>
        </is>
      </c>
      <c r="E28" s="8" t="n">
        <v>20.1</v>
      </c>
      <c r="F28" s="17" t="n">
        <v>7</v>
      </c>
      <c r="G28" s="17" t="n">
        <v>4</v>
      </c>
      <c r="H28" s="17" t="n">
        <v>8</v>
      </c>
      <c r="I28" s="17" t="n">
        <v>5</v>
      </c>
      <c r="J28" s="17" t="n">
        <v>5</v>
      </c>
      <c r="K28" s="17" t="n">
        <v>5</v>
      </c>
      <c r="L28" s="17" t="n">
        <v>5</v>
      </c>
      <c r="M28" s="17" t="n">
        <v>8</v>
      </c>
      <c r="N28" s="17" t="n">
        <v>7</v>
      </c>
      <c r="O28" s="17" t="n">
        <v>7</v>
      </c>
      <c r="P28" s="17" t="n">
        <v>5</v>
      </c>
      <c r="Q28" s="17" t="n">
        <v>3</v>
      </c>
      <c r="R28" s="17" t="n">
        <v>7</v>
      </c>
      <c r="S28" s="17" t="n">
        <v>5</v>
      </c>
      <c r="T28" s="17" t="n">
        <v>7</v>
      </c>
      <c r="U28" s="17" t="n">
        <v>5</v>
      </c>
      <c r="V28" s="17" t="n">
        <v>3</v>
      </c>
      <c r="W28" s="17" t="n">
        <v>5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8">
        <f>AA28</f>
        <v/>
      </c>
    </row>
    <row r="29">
      <c r="A29" s="8" t="n">
        <v>17</v>
      </c>
      <c r="B29" t="inlineStr">
        <is>
          <t>Carlotta Balzer</t>
        </is>
      </c>
      <c r="C29" s="8" t="inlineStr">
        <is>
          <t>50628</t>
        </is>
      </c>
      <c r="D29" t="inlineStr">
        <is>
          <t>Amendoeira</t>
        </is>
      </c>
      <c r="E29" s="8" t="n">
        <v>19.1</v>
      </c>
      <c r="F29" s="17" t="n">
        <v>6</v>
      </c>
      <c r="G29" s="17" t="n">
        <v>4</v>
      </c>
      <c r="H29" s="17" t="n">
        <v>6</v>
      </c>
      <c r="I29" s="17" t="n">
        <v>7</v>
      </c>
      <c r="J29" s="17" t="n">
        <v>6</v>
      </c>
      <c r="K29" s="17" t="n">
        <v>4</v>
      </c>
      <c r="L29" s="17" t="n">
        <v>5</v>
      </c>
      <c r="M29" s="17" t="n">
        <v>7</v>
      </c>
      <c r="N29" s="17" t="n">
        <v>8</v>
      </c>
      <c r="O29" s="17" t="n">
        <v>5</v>
      </c>
      <c r="P29" s="17" t="n">
        <v>6</v>
      </c>
      <c r="Q29" s="17" t="n">
        <v>4</v>
      </c>
      <c r="R29" s="17" t="n">
        <v>7</v>
      </c>
      <c r="S29" s="17" t="n">
        <v>5</v>
      </c>
      <c r="T29" s="17" t="n">
        <v>6</v>
      </c>
      <c r="U29" s="17" t="n">
        <v>6</v>
      </c>
      <c r="V29" s="17" t="n">
        <v>4</v>
      </c>
      <c r="W29" s="17" t="n">
        <v>6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8">
        <f>AA29</f>
        <v/>
      </c>
    </row>
    <row r="30">
      <c r="A30" s="8" t="n">
        <v>18</v>
      </c>
      <c r="B30" t="inlineStr">
        <is>
          <t>Ethan Van Vuuren Maciel</t>
        </is>
      </c>
      <c r="C30" s="8" t="inlineStr">
        <is>
          <t>56765</t>
        </is>
      </c>
      <c r="D30" t="inlineStr">
        <is>
          <t>Vila Sol</t>
        </is>
      </c>
      <c r="E30" s="8" t="n">
        <v>24.9</v>
      </c>
      <c r="F30" s="17" t="n">
        <v>5</v>
      </c>
      <c r="G30" s="17" t="n">
        <v>3</v>
      </c>
      <c r="H30" s="17" t="n">
        <v>5</v>
      </c>
      <c r="I30" s="17" t="n">
        <v>4</v>
      </c>
      <c r="J30" s="17" t="n">
        <v>4</v>
      </c>
      <c r="K30" s="17" t="n">
        <v>5</v>
      </c>
      <c r="L30" s="17" t="n">
        <v>6</v>
      </c>
      <c r="M30" s="17" t="n">
        <v>5</v>
      </c>
      <c r="N30" s="17" t="n">
        <v>7</v>
      </c>
      <c r="O30" s="17" t="n">
        <v>7</v>
      </c>
      <c r="P30" s="17" t="n">
        <v>5</v>
      </c>
      <c r="Q30" s="17" t="n">
        <v>7</v>
      </c>
      <c r="R30" s="17" t="n">
        <v>7</v>
      </c>
      <c r="S30" s="17" t="n">
        <v>7</v>
      </c>
      <c r="T30" s="17" t="n">
        <v>9</v>
      </c>
      <c r="U30" s="17" t="n">
        <v>5</v>
      </c>
      <c r="V30" s="17" t="n">
        <v>6</v>
      </c>
      <c r="W30" s="17" t="n">
        <v>6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8">
        <f>AA30</f>
        <v/>
      </c>
    </row>
    <row r="31">
      <c r="A31" s="8" t="n">
        <v>19</v>
      </c>
      <c r="B31" t="inlineStr">
        <is>
          <t>Rita Melo</t>
        </is>
      </c>
      <c r="C31" s="8" t="inlineStr">
        <is>
          <t>44607</t>
        </is>
      </c>
      <c r="D31" t="inlineStr">
        <is>
          <t>Vilamoura, C. G</t>
        </is>
      </c>
      <c r="E31" s="8" t="n">
        <v>17.1</v>
      </c>
      <c r="F31" s="17" t="n">
        <v>7</v>
      </c>
      <c r="G31" s="17" t="n">
        <v>4</v>
      </c>
      <c r="H31" s="17" t="n">
        <v>6</v>
      </c>
      <c r="I31" s="17" t="n">
        <v>4</v>
      </c>
      <c r="J31" s="17" t="n">
        <v>6</v>
      </c>
      <c r="K31" s="17" t="n">
        <v>5</v>
      </c>
      <c r="L31" s="17" t="n">
        <v>5</v>
      </c>
      <c r="M31" s="17" t="n">
        <v>10</v>
      </c>
      <c r="N31" s="17" t="n">
        <v>5</v>
      </c>
      <c r="O31" s="17" t="n">
        <v>8</v>
      </c>
      <c r="P31" s="17" t="n">
        <v>7</v>
      </c>
      <c r="Q31" s="17" t="n">
        <v>3</v>
      </c>
      <c r="R31" s="17" t="n">
        <v>8</v>
      </c>
      <c r="S31" s="17" t="n">
        <v>7</v>
      </c>
      <c r="T31" s="17" t="n">
        <v>7</v>
      </c>
      <c r="U31" s="17" t="n">
        <v>6</v>
      </c>
      <c r="V31" s="17" t="n">
        <v>5</v>
      </c>
      <c r="W31" s="17" t="n">
        <v>4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8">
        <f>AA31</f>
        <v/>
      </c>
    </row>
    <row r="32">
      <c r="A32" s="8" t="inlineStr">
        <is>
          <t>NS</t>
        </is>
      </c>
      <c r="B32" t="inlineStr">
        <is>
          <t>Miguel Silva</t>
        </is>
      </c>
      <c r="C32" s="8" t="inlineStr"/>
      <c r="D32" t="inlineStr">
        <is>
          <t>Amendoeira</t>
        </is>
      </c>
      <c r="E32" s="8" t="n">
        <v>9.4</v>
      </c>
      <c r="AA32" s="8" t="n">
        <v>0</v>
      </c>
      <c r="AB32" s="18">
        <f>AA32</f>
        <v/>
      </c>
    </row>
    <row r="33">
      <c r="A33" s="8" t="inlineStr">
        <is>
          <t>NS</t>
        </is>
      </c>
      <c r="B33" t="inlineStr">
        <is>
          <t>Jack Murtagh</t>
        </is>
      </c>
      <c r="C33" s="8" t="inlineStr"/>
      <c r="D33" t="inlineStr">
        <is>
          <t>Vilamoura, C. G</t>
        </is>
      </c>
      <c r="E33" s="8" t="n">
        <v>9.199999999999999</v>
      </c>
      <c r="AA33" s="8" t="n">
        <v>0</v>
      </c>
      <c r="AB33" s="18">
        <f>AA33</f>
        <v/>
      </c>
    </row>
  </sheetData>
  <mergeCells count="1">
    <mergeCell ref="A1:H1"/>
  </mergeCells>
  <conditionalFormatting sqref="F13:F33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33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33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33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33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33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33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33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33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33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33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33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33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33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33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33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33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33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1º Aquapor — Morgado</t>
        </is>
      </c>
    </row>
    <row r="2">
      <c r="A2" s="10" t="inlineStr">
        <is>
          <t>Data:</t>
        </is>
      </c>
      <c r="B2" t="inlineStr">
        <is>
          <t>2026-01-17</t>
        </is>
      </c>
    </row>
    <row r="3">
      <c r="A3" s="10" t="inlineStr">
        <is>
          <t>Campo:</t>
        </is>
      </c>
      <c r="B3" t="inlineStr">
        <is>
          <t>Morgado</t>
        </is>
      </c>
    </row>
    <row r="4">
      <c r="A4" s="10" t="inlineStr">
        <is>
          <t>ccode/tcode:</t>
        </is>
      </c>
      <c r="B4" t="inlineStr">
        <is>
          <t>000/10873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https://scoring.datagolf.pt/pt/Classifications.aspx?ccode=000&amp;tcode=10873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AQ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4</v>
      </c>
      <c r="H11" s="14" t="n">
        <v>5</v>
      </c>
      <c r="I11" s="14" t="n">
        <v>4</v>
      </c>
      <c r="J11" s="14" t="n">
        <v>3</v>
      </c>
      <c r="K11" s="14" t="n">
        <v>4</v>
      </c>
      <c r="L11" s="14" t="n">
        <v>5</v>
      </c>
      <c r="M11" s="14" t="n">
        <v>3</v>
      </c>
      <c r="N11" s="14" t="n">
        <v>4</v>
      </c>
      <c r="O11" s="14" t="n">
        <v>5</v>
      </c>
      <c r="P11" s="14" t="n">
        <v>3</v>
      </c>
      <c r="Q11" s="14" t="n">
        <v>4</v>
      </c>
      <c r="R11" s="14" t="n">
        <v>5</v>
      </c>
      <c r="S11" s="14" t="n">
        <v>4</v>
      </c>
      <c r="T11" s="14" t="n">
        <v>4</v>
      </c>
      <c r="U11" s="14" t="n">
        <v>5</v>
      </c>
      <c r="V11" s="14" t="n">
        <v>3</v>
      </c>
      <c r="W11" s="14" t="n">
        <v>4</v>
      </c>
      <c r="Y11" s="15">
        <f>SUM(F11:W11)</f>
        <v/>
      </c>
      <c r="AB11" s="14" t="n">
        <v>4</v>
      </c>
      <c r="AC11" s="14" t="n">
        <v>4</v>
      </c>
      <c r="AD11" s="14" t="n">
        <v>5</v>
      </c>
      <c r="AE11" s="14" t="n">
        <v>4</v>
      </c>
      <c r="AF11" s="14" t="n">
        <v>3</v>
      </c>
      <c r="AG11" s="14" t="n">
        <v>4</v>
      </c>
      <c r="AH11" s="14" t="n">
        <v>5</v>
      </c>
      <c r="AI11" s="14" t="n">
        <v>3</v>
      </c>
      <c r="AJ11" s="14" t="n">
        <v>4</v>
      </c>
      <c r="AK11" s="14" t="n">
        <v>5</v>
      </c>
      <c r="AL11" s="14" t="n">
        <v>3</v>
      </c>
      <c r="AM11" s="14" t="n">
        <v>4</v>
      </c>
      <c r="AN11" s="14" t="n">
        <v>5</v>
      </c>
      <c r="AO11" s="14" t="n">
        <v>4</v>
      </c>
      <c r="AP11" s="14" t="n">
        <v>4</v>
      </c>
      <c r="AQ11" s="14" t="n">
        <v>5</v>
      </c>
      <c r="AR11" s="14" t="n">
        <v>3</v>
      </c>
      <c r="AS11" s="14" t="n">
        <v>4</v>
      </c>
      <c r="AU11" s="15">
        <f>SUM(AB11:AS11)</f>
        <v/>
      </c>
    </row>
    <row r="12">
      <c r="A12" s="13" t="inlineStr">
        <is>
          <t>—SI—</t>
        </is>
      </c>
      <c r="F12" s="16" t="n">
        <v>14</v>
      </c>
      <c r="G12" s="16" t="n">
        <v>5</v>
      </c>
      <c r="H12" s="16" t="n">
        <v>1</v>
      </c>
      <c r="I12" s="16" t="n">
        <v>8</v>
      </c>
      <c r="J12" s="16" t="n">
        <v>10</v>
      </c>
      <c r="K12" s="16" t="n">
        <v>11</v>
      </c>
      <c r="L12" s="16" t="n">
        <v>12</v>
      </c>
      <c r="M12" s="16" t="n">
        <v>9</v>
      </c>
      <c r="N12" s="16" t="n">
        <v>18</v>
      </c>
      <c r="O12" s="16" t="n">
        <v>4</v>
      </c>
      <c r="P12" s="16" t="n">
        <v>16</v>
      </c>
      <c r="Q12" s="16" t="n">
        <v>17</v>
      </c>
      <c r="R12" s="16" t="n">
        <v>7</v>
      </c>
      <c r="S12" s="16" t="n">
        <v>15</v>
      </c>
      <c r="T12" s="16" t="n">
        <v>6</v>
      </c>
      <c r="U12" s="16" t="n">
        <v>2</v>
      </c>
      <c r="V12" s="16" t="n">
        <v>13</v>
      </c>
      <c r="W12" s="16" t="n">
        <v>3</v>
      </c>
      <c r="AB12" s="16" t="n">
        <v>14</v>
      </c>
      <c r="AC12" s="16" t="n">
        <v>5</v>
      </c>
      <c r="AD12" s="16" t="n">
        <v>1</v>
      </c>
      <c r="AE12" s="16" t="n">
        <v>8</v>
      </c>
      <c r="AF12" s="16" t="n">
        <v>10</v>
      </c>
      <c r="AG12" s="16" t="n">
        <v>11</v>
      </c>
      <c r="AH12" s="16" t="n">
        <v>12</v>
      </c>
      <c r="AI12" s="16" t="n">
        <v>9</v>
      </c>
      <c r="AJ12" s="16" t="n">
        <v>18</v>
      </c>
      <c r="AK12" s="16" t="n">
        <v>4</v>
      </c>
      <c r="AL12" s="16" t="n">
        <v>16</v>
      </c>
      <c r="AM12" s="16" t="n">
        <v>17</v>
      </c>
      <c r="AN12" s="16" t="n">
        <v>7</v>
      </c>
      <c r="AO12" s="16" t="n">
        <v>15</v>
      </c>
      <c r="AP12" s="16" t="n">
        <v>6</v>
      </c>
      <c r="AQ12" s="16" t="n">
        <v>2</v>
      </c>
      <c r="AR12" s="16" t="n">
        <v>13</v>
      </c>
      <c r="AS12" s="16" t="n">
        <v>3</v>
      </c>
    </row>
    <row r="13">
      <c r="A13" s="8" t="n">
        <v>1</v>
      </c>
      <c r="B13" t="inlineStr">
        <is>
          <t>José Miguel Franco de Sousa</t>
        </is>
      </c>
      <c r="C13" s="8" t="inlineStr">
        <is>
          <t>40112</t>
        </is>
      </c>
      <c r="D13" t="inlineStr">
        <is>
          <t>Estoril</t>
        </is>
      </c>
      <c r="E13" s="8" t="n">
        <v>-2</v>
      </c>
      <c r="F13" s="17" t="n">
        <v>3</v>
      </c>
      <c r="G13" s="17" t="n">
        <v>5</v>
      </c>
      <c r="H13" s="17" t="n">
        <v>4</v>
      </c>
      <c r="I13" s="17" t="n">
        <v>4</v>
      </c>
      <c r="J13" s="17" t="n">
        <v>3</v>
      </c>
      <c r="K13" s="17" t="n">
        <v>4</v>
      </c>
      <c r="L13" s="17" t="n">
        <v>5</v>
      </c>
      <c r="M13" s="17" t="n">
        <v>3</v>
      </c>
      <c r="N13" s="17" t="n">
        <v>3</v>
      </c>
      <c r="O13" s="17" t="n">
        <v>5</v>
      </c>
      <c r="P13" s="17" t="n">
        <v>2</v>
      </c>
      <c r="Q13" s="17" t="n">
        <v>2</v>
      </c>
      <c r="R13" s="17" t="n">
        <v>4</v>
      </c>
      <c r="S13" s="17" t="n">
        <v>4</v>
      </c>
      <c r="T13" s="17" t="n">
        <v>4</v>
      </c>
      <c r="U13" s="17" t="n">
        <v>5</v>
      </c>
      <c r="V13" s="17" t="n">
        <v>3</v>
      </c>
      <c r="W13" s="17" t="n">
        <v>4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3</v>
      </c>
      <c r="AC13" s="17" t="n">
        <v>4</v>
      </c>
      <c r="AD13" s="17" t="n">
        <v>5</v>
      </c>
      <c r="AE13" s="17" t="n">
        <v>4</v>
      </c>
      <c r="AF13" s="17" t="n">
        <v>3</v>
      </c>
      <c r="AG13" s="17" t="n">
        <v>4</v>
      </c>
      <c r="AH13" s="17" t="n">
        <v>4</v>
      </c>
      <c r="AI13" s="17" t="n">
        <v>3</v>
      </c>
      <c r="AJ13" s="17" t="n">
        <v>3</v>
      </c>
      <c r="AK13" s="17" t="n">
        <v>4</v>
      </c>
      <c r="AL13" s="17" t="n">
        <v>3</v>
      </c>
      <c r="AM13" s="17" t="n">
        <v>4</v>
      </c>
      <c r="AN13" s="17" t="n">
        <v>8</v>
      </c>
      <c r="AO13" s="17" t="n">
        <v>3</v>
      </c>
      <c r="AP13" s="17" t="n">
        <v>4</v>
      </c>
      <c r="AQ13" s="17" t="n">
        <v>5</v>
      </c>
      <c r="AR13" s="17" t="n">
        <v>3</v>
      </c>
      <c r="AS13" s="17" t="n">
        <v>4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Afonso Rui Oliveira</t>
        </is>
      </c>
      <c r="C14" s="8" t="inlineStr">
        <is>
          <t>40452</t>
        </is>
      </c>
      <c r="D14" t="inlineStr">
        <is>
          <t>Aroeira</t>
        </is>
      </c>
      <c r="E14" s="8" t="n">
        <v>-2.4</v>
      </c>
      <c r="F14" s="17" t="n">
        <v>4</v>
      </c>
      <c r="G14" s="17" t="n">
        <v>4</v>
      </c>
      <c r="H14" s="17" t="n">
        <v>5</v>
      </c>
      <c r="I14" s="17" t="n">
        <v>4</v>
      </c>
      <c r="J14" s="17" t="n">
        <v>3</v>
      </c>
      <c r="K14" s="17" t="n">
        <v>4</v>
      </c>
      <c r="L14" s="17" t="n">
        <v>4</v>
      </c>
      <c r="M14" s="17" t="n">
        <v>5</v>
      </c>
      <c r="N14" s="17" t="n">
        <v>3</v>
      </c>
      <c r="O14" s="17" t="n">
        <v>5</v>
      </c>
      <c r="P14" s="17" t="n">
        <v>3</v>
      </c>
      <c r="Q14" s="17" t="n">
        <v>3</v>
      </c>
      <c r="R14" s="17" t="n">
        <v>4</v>
      </c>
      <c r="S14" s="17" t="n">
        <v>4</v>
      </c>
      <c r="T14" s="17" t="n">
        <v>3</v>
      </c>
      <c r="U14" s="17" t="n">
        <v>5</v>
      </c>
      <c r="V14" s="17" t="n">
        <v>4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5</v>
      </c>
      <c r="AC14" s="17" t="n">
        <v>4</v>
      </c>
      <c r="AD14" s="17" t="n">
        <v>4</v>
      </c>
      <c r="AE14" s="17" t="n">
        <v>4</v>
      </c>
      <c r="AF14" s="17" t="n">
        <v>4</v>
      </c>
      <c r="AG14" s="17" t="n">
        <v>4</v>
      </c>
      <c r="AH14" s="17" t="n">
        <v>5</v>
      </c>
      <c r="AI14" s="17" t="n">
        <v>4</v>
      </c>
      <c r="AJ14" s="17" t="n">
        <v>5</v>
      </c>
      <c r="AK14" s="17" t="n">
        <v>5</v>
      </c>
      <c r="AL14" s="17" t="n">
        <v>3</v>
      </c>
      <c r="AM14" s="17" t="n">
        <v>4</v>
      </c>
      <c r="AN14" s="17" t="n">
        <v>5</v>
      </c>
      <c r="AO14" s="17" t="n">
        <v>4</v>
      </c>
      <c r="AP14" s="17" t="n">
        <v>4</v>
      </c>
      <c r="AQ14" s="17" t="n">
        <v>5</v>
      </c>
      <c r="AR14" s="17" t="n">
        <v>3</v>
      </c>
      <c r="AS14" s="17" t="n">
        <v>4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Amélia Gabin</t>
        </is>
      </c>
      <c r="C15" s="8" t="inlineStr">
        <is>
          <t>38233</t>
        </is>
      </c>
      <c r="D15" t="inlineStr">
        <is>
          <t>Assoc. Qta.Lago</t>
        </is>
      </c>
      <c r="E15" s="8" t="n">
        <v>-2.8</v>
      </c>
      <c r="F15" s="17" t="n">
        <v>4</v>
      </c>
      <c r="G15" s="17" t="n">
        <v>4</v>
      </c>
      <c r="H15" s="17" t="n">
        <v>5</v>
      </c>
      <c r="I15" s="17" t="n">
        <v>4</v>
      </c>
      <c r="J15" s="17" t="n">
        <v>3</v>
      </c>
      <c r="K15" s="17" t="n">
        <v>4</v>
      </c>
      <c r="L15" s="17" t="n">
        <v>4</v>
      </c>
      <c r="M15" s="17" t="n">
        <v>3</v>
      </c>
      <c r="N15" s="17" t="n">
        <v>4</v>
      </c>
      <c r="O15" s="17" t="n">
        <v>5</v>
      </c>
      <c r="P15" s="17" t="n">
        <v>2</v>
      </c>
      <c r="Q15" s="17" t="n">
        <v>4</v>
      </c>
      <c r="R15" s="17" t="n">
        <v>5</v>
      </c>
      <c r="S15" s="17" t="n">
        <v>4</v>
      </c>
      <c r="T15" s="17" t="n">
        <v>3</v>
      </c>
      <c r="U15" s="17" t="n">
        <v>5</v>
      </c>
      <c r="V15" s="17" t="n">
        <v>4</v>
      </c>
      <c r="W15" s="17" t="n">
        <v>4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4</v>
      </c>
      <c r="AC15" s="17" t="n">
        <v>4</v>
      </c>
      <c r="AD15" s="17" t="n">
        <v>5</v>
      </c>
      <c r="AE15" s="17" t="n">
        <v>3</v>
      </c>
      <c r="AF15" s="17" t="n">
        <v>2</v>
      </c>
      <c r="AG15" s="17" t="n">
        <v>4</v>
      </c>
      <c r="AH15" s="17" t="n">
        <v>6</v>
      </c>
      <c r="AI15" s="17" t="n">
        <v>4</v>
      </c>
      <c r="AJ15" s="17" t="n">
        <v>4</v>
      </c>
      <c r="AK15" s="17" t="n">
        <v>5</v>
      </c>
      <c r="AL15" s="17" t="n">
        <v>3</v>
      </c>
      <c r="AM15" s="17" t="n">
        <v>3</v>
      </c>
      <c r="AN15" s="17" t="n">
        <v>6</v>
      </c>
      <c r="AO15" s="17" t="n">
        <v>3</v>
      </c>
      <c r="AP15" s="17" t="n">
        <v>4</v>
      </c>
      <c r="AQ15" s="17" t="n">
        <v>5</v>
      </c>
      <c r="AR15" s="17" t="n">
        <v>3</v>
      </c>
      <c r="AS15" s="17" t="n">
        <v>5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Pedro Afonso de Correia Mendes</t>
        </is>
      </c>
      <c r="C16" s="8" t="inlineStr">
        <is>
          <t>31111</t>
        </is>
      </c>
      <c r="D16" t="inlineStr">
        <is>
          <t>Oporto</t>
        </is>
      </c>
      <c r="E16" s="8" t="n">
        <v>-2.8</v>
      </c>
      <c r="F16" s="17" t="n">
        <v>4</v>
      </c>
      <c r="G16" s="17" t="n">
        <v>4</v>
      </c>
      <c r="H16" s="17" t="n">
        <v>5</v>
      </c>
      <c r="I16" s="17" t="n">
        <v>4</v>
      </c>
      <c r="J16" s="17" t="n">
        <v>4</v>
      </c>
      <c r="K16" s="17" t="n">
        <v>4</v>
      </c>
      <c r="L16" s="17" t="n">
        <v>5</v>
      </c>
      <c r="M16" s="17" t="n">
        <v>4</v>
      </c>
      <c r="N16" s="17" t="n">
        <v>3</v>
      </c>
      <c r="O16" s="17" t="n">
        <v>5</v>
      </c>
      <c r="P16" s="17" t="n">
        <v>3</v>
      </c>
      <c r="Q16" s="17" t="n">
        <v>4</v>
      </c>
      <c r="R16" s="17" t="n">
        <v>4</v>
      </c>
      <c r="S16" s="17" t="n">
        <v>4</v>
      </c>
      <c r="T16" s="17" t="n">
        <v>4</v>
      </c>
      <c r="U16" s="17" t="n">
        <v>5</v>
      </c>
      <c r="V16" s="17" t="n">
        <v>3</v>
      </c>
      <c r="W16" s="17" t="n">
        <v>4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4</v>
      </c>
      <c r="AC16" s="17" t="n">
        <v>4</v>
      </c>
      <c r="AD16" s="17" t="n">
        <v>5</v>
      </c>
      <c r="AE16" s="17" t="n">
        <v>4</v>
      </c>
      <c r="AF16" s="17" t="n">
        <v>3</v>
      </c>
      <c r="AG16" s="17" t="n">
        <v>4</v>
      </c>
      <c r="AH16" s="17" t="n">
        <v>5</v>
      </c>
      <c r="AI16" s="17" t="n">
        <v>3</v>
      </c>
      <c r="AJ16" s="17" t="n">
        <v>5</v>
      </c>
      <c r="AK16" s="17" t="n">
        <v>5</v>
      </c>
      <c r="AL16" s="17" t="n">
        <v>3</v>
      </c>
      <c r="AM16" s="17" t="n">
        <v>5</v>
      </c>
      <c r="AN16" s="17" t="n">
        <v>5</v>
      </c>
      <c r="AO16" s="17" t="n">
        <v>3</v>
      </c>
      <c r="AP16" s="17" t="n">
        <v>3</v>
      </c>
      <c r="AQ16" s="17" t="n">
        <v>5</v>
      </c>
      <c r="AR16" s="17" t="n">
        <v>3</v>
      </c>
      <c r="AS16" s="17" t="n">
        <v>4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Alexander Amey</t>
        </is>
      </c>
      <c r="C17" s="8" t="inlineStr">
        <is>
          <t>41294</t>
        </is>
      </c>
      <c r="D17" t="inlineStr">
        <is>
          <t>Vilamoura, C. G</t>
        </is>
      </c>
      <c r="E17" s="8" t="n">
        <v>-0.5</v>
      </c>
      <c r="F17" s="17" t="n">
        <v>5</v>
      </c>
      <c r="G17" s="17" t="n">
        <v>4</v>
      </c>
      <c r="H17" s="17" t="n">
        <v>4</v>
      </c>
      <c r="I17" s="17" t="n">
        <v>5</v>
      </c>
      <c r="J17" s="17" t="n">
        <v>4</v>
      </c>
      <c r="K17" s="17" t="n">
        <v>4</v>
      </c>
      <c r="L17" s="17" t="n">
        <v>5</v>
      </c>
      <c r="M17" s="17" t="n">
        <v>4</v>
      </c>
      <c r="N17" s="17" t="n">
        <v>4</v>
      </c>
      <c r="O17" s="17" t="n">
        <v>5</v>
      </c>
      <c r="P17" s="17" t="n">
        <v>3</v>
      </c>
      <c r="Q17" s="17" t="n">
        <v>4</v>
      </c>
      <c r="R17" s="17" t="n">
        <v>5</v>
      </c>
      <c r="S17" s="17" t="n">
        <v>3</v>
      </c>
      <c r="T17" s="17" t="n">
        <v>4</v>
      </c>
      <c r="U17" s="17" t="n">
        <v>4</v>
      </c>
      <c r="V17" s="17" t="n">
        <v>3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4</v>
      </c>
      <c r="AC17" s="17" t="n">
        <v>4</v>
      </c>
      <c r="AD17" s="17" t="n">
        <v>5</v>
      </c>
      <c r="AE17" s="17" t="n">
        <v>4</v>
      </c>
      <c r="AF17" s="17" t="n">
        <v>4</v>
      </c>
      <c r="AG17" s="17" t="n">
        <v>4</v>
      </c>
      <c r="AH17" s="17" t="n">
        <v>5</v>
      </c>
      <c r="AI17" s="17" t="n">
        <v>2</v>
      </c>
      <c r="AJ17" s="17" t="n">
        <v>4</v>
      </c>
      <c r="AK17" s="17" t="n">
        <v>4</v>
      </c>
      <c r="AL17" s="17" t="n">
        <v>3</v>
      </c>
      <c r="AM17" s="17" t="n">
        <v>4</v>
      </c>
      <c r="AN17" s="17" t="n">
        <v>4</v>
      </c>
      <c r="AO17" s="17" t="n">
        <v>3</v>
      </c>
      <c r="AP17" s="17" t="n">
        <v>4</v>
      </c>
      <c r="AQ17" s="17" t="n">
        <v>4</v>
      </c>
      <c r="AR17" s="17" t="n">
        <v>3</v>
      </c>
      <c r="AS17" s="17" t="n">
        <v>4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João Crasi Alves</t>
        </is>
      </c>
      <c r="C18" s="8" t="inlineStr">
        <is>
          <t>39701</t>
        </is>
      </c>
      <c r="D18" t="inlineStr">
        <is>
          <t>Vilamoura, C. G</t>
        </is>
      </c>
      <c r="E18" s="8" t="n">
        <v>-3.1</v>
      </c>
      <c r="F18" s="17" t="n">
        <v>5</v>
      </c>
      <c r="G18" s="17" t="n">
        <v>5</v>
      </c>
      <c r="H18" s="17" t="n">
        <v>7</v>
      </c>
      <c r="I18" s="17" t="n">
        <v>4</v>
      </c>
      <c r="J18" s="17" t="n">
        <v>3</v>
      </c>
      <c r="K18" s="17" t="n">
        <v>5</v>
      </c>
      <c r="L18" s="17" t="n">
        <v>4</v>
      </c>
      <c r="M18" s="17" t="n">
        <v>3</v>
      </c>
      <c r="N18" s="17" t="n">
        <v>3</v>
      </c>
      <c r="O18" s="17" t="n">
        <v>5</v>
      </c>
      <c r="P18" s="17" t="n">
        <v>3</v>
      </c>
      <c r="Q18" s="17" t="n">
        <v>4</v>
      </c>
      <c r="R18" s="17" t="n">
        <v>4</v>
      </c>
      <c r="S18" s="17" t="n">
        <v>4</v>
      </c>
      <c r="T18" s="17" t="n">
        <v>3</v>
      </c>
      <c r="U18" s="17" t="n">
        <v>5</v>
      </c>
      <c r="V18" s="17" t="n">
        <v>3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5</v>
      </c>
      <c r="AC18" s="17" t="n">
        <v>5</v>
      </c>
      <c r="AD18" s="17" t="n">
        <v>5</v>
      </c>
      <c r="AE18" s="17" t="n">
        <v>4</v>
      </c>
      <c r="AF18" s="17" t="n">
        <v>3</v>
      </c>
      <c r="AG18" s="17" t="n">
        <v>5</v>
      </c>
      <c r="AH18" s="17" t="n">
        <v>5</v>
      </c>
      <c r="AI18" s="17" t="n">
        <v>3</v>
      </c>
      <c r="AJ18" s="17" t="n">
        <v>4</v>
      </c>
      <c r="AK18" s="17" t="n">
        <v>5</v>
      </c>
      <c r="AL18" s="17" t="n">
        <v>3</v>
      </c>
      <c r="AM18" s="17" t="n">
        <v>4</v>
      </c>
      <c r="AN18" s="17" t="n">
        <v>5</v>
      </c>
      <c r="AO18" s="17" t="n">
        <v>4</v>
      </c>
      <c r="AP18" s="17" t="n">
        <v>4</v>
      </c>
      <c r="AQ18" s="17" t="n">
        <v>5</v>
      </c>
      <c r="AR18" s="17" t="n">
        <v>3</v>
      </c>
      <c r="AS18" s="17" t="n">
        <v>5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8">
        <f>AA18+AW18</f>
        <v/>
      </c>
    </row>
    <row r="19">
      <c r="A19" s="8" t="n">
        <v>7</v>
      </c>
      <c r="B19" t="inlineStr">
        <is>
          <t>Konstantin Mikirtumov</t>
        </is>
      </c>
      <c r="C19" s="8" t="inlineStr">
        <is>
          <t>34238</t>
        </is>
      </c>
      <c r="D19" t="inlineStr">
        <is>
          <t>Estoril</t>
        </is>
      </c>
      <c r="E19" s="8" t="n">
        <v>-1.9</v>
      </c>
      <c r="F19" s="17" t="n">
        <v>5</v>
      </c>
      <c r="G19" s="17" t="n">
        <v>6</v>
      </c>
      <c r="H19" s="17" t="n">
        <v>5</v>
      </c>
      <c r="I19" s="17" t="n">
        <v>4</v>
      </c>
      <c r="J19" s="17" t="n">
        <v>3</v>
      </c>
      <c r="K19" s="17" t="n">
        <v>4</v>
      </c>
      <c r="L19" s="17" t="n">
        <v>4</v>
      </c>
      <c r="M19" s="17" t="n">
        <v>3</v>
      </c>
      <c r="N19" s="17" t="n">
        <v>3</v>
      </c>
      <c r="O19" s="17" t="n">
        <v>5</v>
      </c>
      <c r="P19" s="17" t="n">
        <v>3</v>
      </c>
      <c r="Q19" s="17" t="n">
        <v>4</v>
      </c>
      <c r="R19" s="17" t="n">
        <v>5</v>
      </c>
      <c r="S19" s="17" t="n">
        <v>4</v>
      </c>
      <c r="T19" s="17" t="n">
        <v>5</v>
      </c>
      <c r="U19" s="17" t="n">
        <v>4</v>
      </c>
      <c r="V19" s="17" t="n">
        <v>3</v>
      </c>
      <c r="W19" s="17" t="n">
        <v>4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5</v>
      </c>
      <c r="AC19" s="17" t="n">
        <v>5</v>
      </c>
      <c r="AD19" s="17" t="n">
        <v>5</v>
      </c>
      <c r="AE19" s="17" t="n">
        <v>6</v>
      </c>
      <c r="AF19" s="17" t="n">
        <v>3</v>
      </c>
      <c r="AG19" s="17" t="n">
        <v>4</v>
      </c>
      <c r="AH19" s="17" t="n">
        <v>4</v>
      </c>
      <c r="AI19" s="17" t="n">
        <v>4</v>
      </c>
      <c r="AJ19" s="17" t="n">
        <v>4</v>
      </c>
      <c r="AK19" s="17" t="n">
        <v>5</v>
      </c>
      <c r="AL19" s="17" t="n">
        <v>3</v>
      </c>
      <c r="AM19" s="17" t="n">
        <v>4</v>
      </c>
      <c r="AN19" s="17" t="n">
        <v>5</v>
      </c>
      <c r="AO19" s="17" t="n">
        <v>3</v>
      </c>
      <c r="AP19" s="17" t="n">
        <v>4</v>
      </c>
      <c r="AQ19" s="17" t="n">
        <v>4</v>
      </c>
      <c r="AR19" s="17" t="n">
        <v>4</v>
      </c>
      <c r="AS19" s="17" t="n">
        <v>4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8">
        <f>AA19+AW19</f>
        <v/>
      </c>
    </row>
    <row r="20">
      <c r="A20" s="8" t="n">
        <v>8</v>
      </c>
      <c r="B20" t="inlineStr">
        <is>
          <t>Bernardo Costa Pinheiro</t>
        </is>
      </c>
      <c r="C20" s="8" t="inlineStr">
        <is>
          <t>40682</t>
        </is>
      </c>
      <c r="D20" t="inlineStr">
        <is>
          <t>Oporto</t>
        </is>
      </c>
      <c r="E20" s="8" t="n">
        <v>-2.8</v>
      </c>
      <c r="F20" s="17" t="n">
        <v>5</v>
      </c>
      <c r="G20" s="17" t="n">
        <v>4</v>
      </c>
      <c r="H20" s="17" t="n">
        <v>5</v>
      </c>
      <c r="I20" s="17" t="n">
        <v>4</v>
      </c>
      <c r="J20" s="17" t="n">
        <v>3</v>
      </c>
      <c r="K20" s="17" t="n">
        <v>4</v>
      </c>
      <c r="L20" s="17" t="n">
        <v>5</v>
      </c>
      <c r="M20" s="17" t="n">
        <v>4</v>
      </c>
      <c r="N20" s="17" t="n">
        <v>3</v>
      </c>
      <c r="O20" s="17" t="n">
        <v>4</v>
      </c>
      <c r="P20" s="17" t="n">
        <v>3</v>
      </c>
      <c r="Q20" s="17" t="n">
        <v>4</v>
      </c>
      <c r="R20" s="17" t="n">
        <v>5</v>
      </c>
      <c r="S20" s="17" t="n">
        <v>6</v>
      </c>
      <c r="T20" s="17" t="n">
        <v>3</v>
      </c>
      <c r="U20" s="17" t="n">
        <v>5</v>
      </c>
      <c r="V20" s="17" t="n">
        <v>3</v>
      </c>
      <c r="W20" s="17" t="n">
        <v>4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4</v>
      </c>
      <c r="AC20" s="17" t="n">
        <v>4</v>
      </c>
      <c r="AD20" s="17" t="n">
        <v>5</v>
      </c>
      <c r="AE20" s="17" t="n">
        <v>5</v>
      </c>
      <c r="AF20" s="17" t="n">
        <v>4</v>
      </c>
      <c r="AG20" s="17" t="n">
        <v>4</v>
      </c>
      <c r="AH20" s="17" t="n">
        <v>5</v>
      </c>
      <c r="AI20" s="17" t="n">
        <v>3</v>
      </c>
      <c r="AJ20" s="17" t="n">
        <v>4</v>
      </c>
      <c r="AK20" s="17" t="n">
        <v>5</v>
      </c>
      <c r="AL20" s="17" t="n">
        <v>2</v>
      </c>
      <c r="AM20" s="17" t="n">
        <v>4</v>
      </c>
      <c r="AN20" s="17" t="n">
        <v>5</v>
      </c>
      <c r="AO20" s="17" t="n">
        <v>4</v>
      </c>
      <c r="AP20" s="17" t="n">
        <v>4</v>
      </c>
      <c r="AQ20" s="17" t="n">
        <v>5</v>
      </c>
      <c r="AR20" s="17" t="n">
        <v>3</v>
      </c>
      <c r="AS20" s="17" t="n">
        <v>4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Rodrigo Faria Constantino</t>
        </is>
      </c>
      <c r="C21" s="8" t="inlineStr">
        <is>
          <t>45278</t>
        </is>
      </c>
      <c r="D21" t="inlineStr">
        <is>
          <t>Belas</t>
        </is>
      </c>
      <c r="E21" s="8" t="n">
        <v>0.8</v>
      </c>
      <c r="F21" s="17" t="n">
        <v>4</v>
      </c>
      <c r="G21" s="17" t="n">
        <v>4</v>
      </c>
      <c r="H21" s="17" t="n">
        <v>4</v>
      </c>
      <c r="I21" s="17" t="n">
        <v>4</v>
      </c>
      <c r="J21" s="17" t="n">
        <v>3</v>
      </c>
      <c r="K21" s="17" t="n">
        <v>4</v>
      </c>
      <c r="L21" s="17" t="n">
        <v>6</v>
      </c>
      <c r="M21" s="17" t="n">
        <v>2</v>
      </c>
      <c r="N21" s="17" t="n">
        <v>5</v>
      </c>
      <c r="O21" s="17" t="n">
        <v>5</v>
      </c>
      <c r="P21" s="17" t="n">
        <v>3</v>
      </c>
      <c r="Q21" s="17" t="n">
        <v>4</v>
      </c>
      <c r="R21" s="17" t="n">
        <v>5</v>
      </c>
      <c r="S21" s="17" t="n">
        <v>4</v>
      </c>
      <c r="T21" s="17" t="n">
        <v>5</v>
      </c>
      <c r="U21" s="17" t="n">
        <v>5</v>
      </c>
      <c r="V21" s="17" t="n">
        <v>2</v>
      </c>
      <c r="W21" s="17" t="n">
        <v>5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7</v>
      </c>
      <c r="AC21" s="17" t="n">
        <v>5</v>
      </c>
      <c r="AD21" s="17" t="n">
        <v>7</v>
      </c>
      <c r="AE21" s="17" t="n">
        <v>5</v>
      </c>
      <c r="AF21" s="17" t="n">
        <v>3</v>
      </c>
      <c r="AG21" s="17" t="n">
        <v>4</v>
      </c>
      <c r="AH21" s="17" t="n">
        <v>6</v>
      </c>
      <c r="AI21" s="17" t="n">
        <v>4</v>
      </c>
      <c r="AJ21" s="17" t="n">
        <v>4</v>
      </c>
      <c r="AK21" s="17" t="n">
        <v>6</v>
      </c>
      <c r="AL21" s="17" t="n">
        <v>4</v>
      </c>
      <c r="AM21" s="17" t="n">
        <v>4</v>
      </c>
      <c r="AN21" s="17" t="n">
        <v>6</v>
      </c>
      <c r="AO21" s="17" t="n">
        <v>5</v>
      </c>
      <c r="AP21" s="17" t="n">
        <v>4</v>
      </c>
      <c r="AQ21" s="17" t="n">
        <v>4</v>
      </c>
      <c r="AR21" s="17" t="n">
        <v>3</v>
      </c>
      <c r="AS21" s="17" t="n">
        <v>5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Luis António Silva</t>
        </is>
      </c>
      <c r="C22" s="8" t="inlineStr">
        <is>
          <t>42845</t>
        </is>
      </c>
      <c r="D22" t="inlineStr">
        <is>
          <t>Oporto</t>
        </is>
      </c>
      <c r="E22" s="8" t="n">
        <v>-3.8</v>
      </c>
      <c r="F22" s="17" t="n">
        <v>5</v>
      </c>
      <c r="G22" s="17" t="n">
        <v>4</v>
      </c>
      <c r="H22" s="17" t="n">
        <v>6</v>
      </c>
      <c r="I22" s="17" t="n">
        <v>3</v>
      </c>
      <c r="J22" s="17" t="n">
        <v>3</v>
      </c>
      <c r="K22" s="17" t="n">
        <v>4</v>
      </c>
      <c r="L22" s="17" t="n">
        <v>4</v>
      </c>
      <c r="M22" s="17" t="n">
        <v>3</v>
      </c>
      <c r="N22" s="17" t="n">
        <v>3</v>
      </c>
      <c r="O22" s="17" t="n">
        <v>5</v>
      </c>
      <c r="P22" s="17" t="n">
        <v>2</v>
      </c>
      <c r="Q22" s="17" t="n">
        <v>4</v>
      </c>
      <c r="R22" s="17" t="n">
        <v>4</v>
      </c>
      <c r="S22" s="17" t="n">
        <v>6</v>
      </c>
      <c r="T22" s="17" t="n">
        <v>4</v>
      </c>
      <c r="U22" s="17" t="n">
        <v>6</v>
      </c>
      <c r="V22" s="17" t="n">
        <v>3</v>
      </c>
      <c r="W22" s="17" t="n">
        <v>5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4</v>
      </c>
      <c r="AC22" s="17" t="n">
        <v>4</v>
      </c>
      <c r="AD22" s="17" t="n">
        <v>5</v>
      </c>
      <c r="AE22" s="17" t="n">
        <v>4</v>
      </c>
      <c r="AF22" s="17" t="n">
        <v>2</v>
      </c>
      <c r="AG22" s="17" t="n">
        <v>4</v>
      </c>
      <c r="AH22" s="17" t="n">
        <v>5</v>
      </c>
      <c r="AI22" s="17" t="n">
        <v>3</v>
      </c>
      <c r="AJ22" s="17" t="n">
        <v>4</v>
      </c>
      <c r="AK22" s="17" t="n">
        <v>4</v>
      </c>
      <c r="AL22" s="17" t="n">
        <v>3</v>
      </c>
      <c r="AM22" s="17" t="n">
        <v>4</v>
      </c>
      <c r="AN22" s="17" t="n">
        <v>4</v>
      </c>
      <c r="AO22" s="17" t="n">
        <v>3</v>
      </c>
      <c r="AP22" s="17" t="n">
        <v>4</v>
      </c>
      <c r="AQ22" s="17" t="n">
        <v>4</v>
      </c>
      <c r="AR22" s="17" t="n">
        <v>3</v>
      </c>
      <c r="AS22" s="17" t="n">
        <v>4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Gaspard Maes</t>
        </is>
      </c>
      <c r="C23" s="8" t="inlineStr">
        <is>
          <t>51074</t>
        </is>
      </c>
      <c r="D23" t="inlineStr">
        <is>
          <t>Miramar</t>
        </is>
      </c>
      <c r="E23" s="8" t="n">
        <v>1</v>
      </c>
      <c r="F23" s="17" t="n">
        <v>4</v>
      </c>
      <c r="G23" s="17" t="n">
        <v>5</v>
      </c>
      <c r="H23" s="17" t="n">
        <v>6</v>
      </c>
      <c r="I23" s="17" t="n">
        <v>4</v>
      </c>
      <c r="J23" s="17" t="n">
        <v>4</v>
      </c>
      <c r="K23" s="17" t="n">
        <v>3</v>
      </c>
      <c r="L23" s="17" t="n">
        <v>6</v>
      </c>
      <c r="M23" s="17" t="n">
        <v>3</v>
      </c>
      <c r="N23" s="17" t="n">
        <v>3</v>
      </c>
      <c r="O23" s="17" t="n">
        <v>4</v>
      </c>
      <c r="P23" s="17" t="n">
        <v>3</v>
      </c>
      <c r="Q23" s="17" t="n">
        <v>5</v>
      </c>
      <c r="R23" s="17" t="n">
        <v>5</v>
      </c>
      <c r="S23" s="17" t="n">
        <v>4</v>
      </c>
      <c r="T23" s="17" t="n">
        <v>3</v>
      </c>
      <c r="U23" s="17" t="n">
        <v>5</v>
      </c>
      <c r="V23" s="17" t="n">
        <v>3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5</v>
      </c>
      <c r="AC23" s="17" t="n">
        <v>5</v>
      </c>
      <c r="AD23" s="17" t="n">
        <v>12</v>
      </c>
      <c r="AE23" s="17" t="n">
        <v>5</v>
      </c>
      <c r="AF23" s="17" t="n">
        <v>3</v>
      </c>
      <c r="AG23" s="17" t="n">
        <v>5</v>
      </c>
      <c r="AH23" s="17" t="n">
        <v>7</v>
      </c>
      <c r="AI23" s="17" t="n">
        <v>4</v>
      </c>
      <c r="AJ23" s="17" t="n">
        <v>5</v>
      </c>
      <c r="AK23" s="17" t="n">
        <v>6</v>
      </c>
      <c r="AL23" s="17" t="n">
        <v>5</v>
      </c>
      <c r="AM23" s="17" t="n">
        <v>4</v>
      </c>
      <c r="AN23" s="17" t="n">
        <v>6</v>
      </c>
      <c r="AO23" s="17" t="n">
        <v>4</v>
      </c>
      <c r="AP23" s="17" t="n">
        <v>4</v>
      </c>
      <c r="AQ23" s="17" t="n">
        <v>5</v>
      </c>
      <c r="AR23" s="17" t="n">
        <v>5</v>
      </c>
      <c r="AS23" s="17" t="n">
        <v>5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8">
        <f>AA23+AW23</f>
        <v/>
      </c>
    </row>
    <row r="24">
      <c r="A24" s="8" t="n">
        <v>12</v>
      </c>
      <c r="B24" t="inlineStr">
        <is>
          <t>Tomás Afonso Araujo</t>
        </is>
      </c>
      <c r="C24" s="8" t="inlineStr">
        <is>
          <t>35849</t>
        </is>
      </c>
      <c r="D24" t="inlineStr">
        <is>
          <t>Miramar</t>
        </is>
      </c>
      <c r="E24" s="8" t="n">
        <v>-0.5</v>
      </c>
      <c r="F24" s="17" t="n">
        <v>4</v>
      </c>
      <c r="G24" s="17" t="n">
        <v>4</v>
      </c>
      <c r="H24" s="17" t="n">
        <v>6</v>
      </c>
      <c r="I24" s="17" t="n">
        <v>5</v>
      </c>
      <c r="J24" s="17" t="n">
        <v>2</v>
      </c>
      <c r="K24" s="17" t="n">
        <v>4</v>
      </c>
      <c r="L24" s="17" t="n">
        <v>4</v>
      </c>
      <c r="M24" s="17" t="n">
        <v>4</v>
      </c>
      <c r="N24" s="17" t="n">
        <v>4</v>
      </c>
      <c r="O24" s="17" t="n">
        <v>4</v>
      </c>
      <c r="P24" s="17" t="n">
        <v>4</v>
      </c>
      <c r="Q24" s="17" t="n">
        <v>3</v>
      </c>
      <c r="R24" s="17" t="n">
        <v>5</v>
      </c>
      <c r="S24" s="17" t="n">
        <v>3</v>
      </c>
      <c r="T24" s="17" t="n">
        <v>5</v>
      </c>
      <c r="U24" s="17" t="n">
        <v>5</v>
      </c>
      <c r="V24" s="17" t="n">
        <v>4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4</v>
      </c>
      <c r="AC24" s="17" t="n">
        <v>4</v>
      </c>
      <c r="AD24" s="17" t="n">
        <v>4</v>
      </c>
      <c r="AE24" s="17" t="n">
        <v>4</v>
      </c>
      <c r="AF24" s="17" t="n">
        <v>4</v>
      </c>
      <c r="AG24" s="17" t="n">
        <v>5</v>
      </c>
      <c r="AH24" s="17" t="n">
        <v>5</v>
      </c>
      <c r="AI24" s="17" t="n">
        <v>4</v>
      </c>
      <c r="AJ24" s="17" t="n">
        <v>4</v>
      </c>
      <c r="AK24" s="17" t="n">
        <v>5</v>
      </c>
      <c r="AL24" s="17" t="n">
        <v>4</v>
      </c>
      <c r="AM24" s="17" t="n">
        <v>6</v>
      </c>
      <c r="AN24" s="17" t="n">
        <v>5</v>
      </c>
      <c r="AO24" s="17" t="n">
        <v>4</v>
      </c>
      <c r="AP24" s="17" t="n">
        <v>4</v>
      </c>
      <c r="AQ24" s="17" t="n">
        <v>4</v>
      </c>
      <c r="AR24" s="17" t="n">
        <v>3</v>
      </c>
      <c r="AS24" s="17" t="n">
        <v>4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  <row r="25">
      <c r="A25" s="8" t="n">
        <v>13</v>
      </c>
      <c r="B25" t="inlineStr">
        <is>
          <t>António Mendes</t>
        </is>
      </c>
      <c r="C25" s="8" t="inlineStr">
        <is>
          <t>36148</t>
        </is>
      </c>
      <c r="D25" t="inlineStr">
        <is>
          <t>Quinta do Peru</t>
        </is>
      </c>
      <c r="E25" s="8" t="n">
        <v>1.9</v>
      </c>
      <c r="F25" s="17" t="n">
        <v>5</v>
      </c>
      <c r="G25" s="17" t="n">
        <v>4</v>
      </c>
      <c r="H25" s="17" t="n">
        <v>5</v>
      </c>
      <c r="I25" s="17" t="n">
        <v>4</v>
      </c>
      <c r="J25" s="17" t="n">
        <v>3</v>
      </c>
      <c r="K25" s="17" t="n">
        <v>4</v>
      </c>
      <c r="L25" s="17" t="n">
        <v>5</v>
      </c>
      <c r="M25" s="17" t="n">
        <v>4</v>
      </c>
      <c r="N25" s="17" t="n">
        <v>3</v>
      </c>
      <c r="O25" s="17" t="n">
        <v>4</v>
      </c>
      <c r="P25" s="17" t="n">
        <v>3</v>
      </c>
      <c r="Q25" s="17" t="n">
        <v>5</v>
      </c>
      <c r="R25" s="17" t="n">
        <v>5</v>
      </c>
      <c r="S25" s="17" t="n">
        <v>4</v>
      </c>
      <c r="T25" s="17" t="n">
        <v>5</v>
      </c>
      <c r="U25" s="17" t="n">
        <v>5</v>
      </c>
      <c r="V25" s="17" t="n">
        <v>3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4</v>
      </c>
      <c r="AC25" s="17" t="n">
        <v>4</v>
      </c>
      <c r="AD25" s="17" t="n">
        <v>5</v>
      </c>
      <c r="AE25" s="17" t="n">
        <v>5</v>
      </c>
      <c r="AF25" s="17" t="n">
        <v>4</v>
      </c>
      <c r="AG25" s="17" t="n">
        <v>5</v>
      </c>
      <c r="AH25" s="17" t="n">
        <v>6</v>
      </c>
      <c r="AI25" s="17" t="n">
        <v>4</v>
      </c>
      <c r="AJ25" s="17" t="n">
        <v>4</v>
      </c>
      <c r="AK25" s="17" t="n">
        <v>5</v>
      </c>
      <c r="AL25" s="17" t="n">
        <v>3</v>
      </c>
      <c r="AM25" s="17" t="n">
        <v>4</v>
      </c>
      <c r="AN25" s="17" t="n">
        <v>5</v>
      </c>
      <c r="AO25" s="17" t="n">
        <v>5</v>
      </c>
      <c r="AP25" s="17" t="n">
        <v>4</v>
      </c>
      <c r="AQ25" s="17" t="n">
        <v>4</v>
      </c>
      <c r="AR25" s="17" t="n">
        <v>2</v>
      </c>
      <c r="AS25" s="17" t="n">
        <v>6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8">
        <f>AA25+AW25</f>
        <v/>
      </c>
    </row>
    <row r="26">
      <c r="A26" s="8" t="n">
        <v>14</v>
      </c>
      <c r="B26" t="inlineStr">
        <is>
          <t>Francisco Reis</t>
        </is>
      </c>
      <c r="C26" s="8" t="inlineStr">
        <is>
          <t>40534</t>
        </is>
      </c>
      <c r="D26" t="inlineStr">
        <is>
          <t>Vilamoura, C. G</t>
        </is>
      </c>
      <c r="E26" s="8" t="n">
        <v>-0.4</v>
      </c>
      <c r="F26" s="17" t="n">
        <v>6</v>
      </c>
      <c r="G26" s="17" t="n">
        <v>3</v>
      </c>
      <c r="H26" s="17" t="n">
        <v>5</v>
      </c>
      <c r="I26" s="17" t="n">
        <v>4</v>
      </c>
      <c r="J26" s="17" t="n">
        <v>3</v>
      </c>
      <c r="K26" s="17" t="n">
        <v>4</v>
      </c>
      <c r="L26" s="17" t="n">
        <v>5</v>
      </c>
      <c r="M26" s="17" t="n">
        <v>4</v>
      </c>
      <c r="N26" s="17" t="n">
        <v>3</v>
      </c>
      <c r="O26" s="17" t="n">
        <v>5</v>
      </c>
      <c r="P26" s="17" t="n">
        <v>3</v>
      </c>
      <c r="Q26" s="17" t="n">
        <v>3</v>
      </c>
      <c r="R26" s="17" t="n">
        <v>5</v>
      </c>
      <c r="S26" s="17" t="n">
        <v>4</v>
      </c>
      <c r="T26" s="17" t="n">
        <v>4</v>
      </c>
      <c r="U26" s="17" t="n">
        <v>7</v>
      </c>
      <c r="V26" s="17" t="n">
        <v>4</v>
      </c>
      <c r="W26" s="17" t="n">
        <v>4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7" t="n">
        <v>4</v>
      </c>
      <c r="AC26" s="17" t="n">
        <v>4</v>
      </c>
      <c r="AD26" s="17" t="n">
        <v>5</v>
      </c>
      <c r="AE26" s="17" t="n">
        <v>4</v>
      </c>
      <c r="AF26" s="17" t="n">
        <v>5</v>
      </c>
      <c r="AG26" s="17" t="n">
        <v>4</v>
      </c>
      <c r="AH26" s="17" t="n">
        <v>5</v>
      </c>
      <c r="AI26" s="17" t="n">
        <v>3</v>
      </c>
      <c r="AJ26" s="17" t="n">
        <v>4</v>
      </c>
      <c r="AK26" s="17" t="n">
        <v>4</v>
      </c>
      <c r="AL26" s="17" t="n">
        <v>3</v>
      </c>
      <c r="AM26" s="17" t="n">
        <v>4</v>
      </c>
      <c r="AN26" s="17" t="n">
        <v>6</v>
      </c>
      <c r="AO26" s="17" t="n">
        <v>3</v>
      </c>
      <c r="AP26" s="17" t="n">
        <v>4</v>
      </c>
      <c r="AQ26" s="17" t="n">
        <v>5</v>
      </c>
      <c r="AR26" s="17" t="n">
        <v>4</v>
      </c>
      <c r="AS26" s="17" t="n">
        <v>5</v>
      </c>
      <c r="AT26" s="8">
        <f>SUM(AB26:AS26)</f>
        <v/>
      </c>
      <c r="AU26" s="8">
        <f>AU11</f>
        <v/>
      </c>
      <c r="AV26" s="8">
        <f>AT26-AU26</f>
        <v/>
      </c>
      <c r="AW26" s="8">
        <f>MAX(0,25-AV26)*1.0</f>
        <v/>
      </c>
      <c r="AX26" s="18">
        <f>AA26+AW26</f>
        <v/>
      </c>
    </row>
    <row r="27">
      <c r="A27" s="8" t="n">
        <v>15</v>
      </c>
      <c r="B27" t="inlineStr">
        <is>
          <t>Henrique Montenegro</t>
        </is>
      </c>
      <c r="C27" s="8" t="inlineStr">
        <is>
          <t>39552</t>
        </is>
      </c>
      <c r="D27" t="inlineStr">
        <is>
          <t>Oporto</t>
        </is>
      </c>
      <c r="E27" s="8" t="n">
        <v>1.8</v>
      </c>
      <c r="F27" s="17" t="n">
        <v>4</v>
      </c>
      <c r="G27" s="17" t="n">
        <v>4</v>
      </c>
      <c r="H27" s="17" t="n">
        <v>7</v>
      </c>
      <c r="I27" s="17" t="n">
        <v>4</v>
      </c>
      <c r="J27" s="17" t="n">
        <v>4</v>
      </c>
      <c r="K27" s="17" t="n">
        <v>5</v>
      </c>
      <c r="L27" s="17" t="n">
        <v>5</v>
      </c>
      <c r="M27" s="17" t="n">
        <v>4</v>
      </c>
      <c r="N27" s="17" t="n">
        <v>3</v>
      </c>
      <c r="O27" s="17" t="n">
        <v>5</v>
      </c>
      <c r="P27" s="17" t="n">
        <v>3</v>
      </c>
      <c r="Q27" s="17" t="n">
        <v>3</v>
      </c>
      <c r="R27" s="17" t="n">
        <v>5</v>
      </c>
      <c r="S27" s="17" t="n">
        <v>5</v>
      </c>
      <c r="T27" s="17" t="n">
        <v>4</v>
      </c>
      <c r="U27" s="17" t="n">
        <v>5</v>
      </c>
      <c r="V27" s="17" t="n">
        <v>3</v>
      </c>
      <c r="W27" s="17" t="n">
        <v>4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7" t="n">
        <v>5</v>
      </c>
      <c r="AC27" s="17" t="n">
        <v>4</v>
      </c>
      <c r="AD27" s="17" t="n">
        <v>5</v>
      </c>
      <c r="AE27" s="17" t="n">
        <v>5</v>
      </c>
      <c r="AF27" s="17" t="n">
        <v>5</v>
      </c>
      <c r="AG27" s="17" t="n">
        <v>5</v>
      </c>
      <c r="AH27" s="17" t="n">
        <v>4</v>
      </c>
      <c r="AI27" s="17" t="n">
        <v>5</v>
      </c>
      <c r="AJ27" s="17" t="n">
        <v>4</v>
      </c>
      <c r="AK27" s="17" t="n">
        <v>5</v>
      </c>
      <c r="AL27" s="17" t="n">
        <v>3</v>
      </c>
      <c r="AM27" s="17" t="n">
        <v>4</v>
      </c>
      <c r="AN27" s="17" t="n">
        <v>5</v>
      </c>
      <c r="AO27" s="17" t="n">
        <v>4</v>
      </c>
      <c r="AP27" s="17" t="n">
        <v>5</v>
      </c>
      <c r="AQ27" s="17" t="n">
        <v>4</v>
      </c>
      <c r="AR27" s="17" t="n">
        <v>3</v>
      </c>
      <c r="AS27" s="17" t="n">
        <v>6</v>
      </c>
      <c r="AT27" s="8">
        <f>SUM(AB27:AS27)</f>
        <v/>
      </c>
      <c r="AU27" s="8">
        <f>AU11</f>
        <v/>
      </c>
      <c r="AV27" s="8">
        <f>AT27-AU27</f>
        <v/>
      </c>
      <c r="AW27" s="8">
        <f>MAX(0,25-AV27)*1.0</f>
        <v/>
      </c>
      <c r="AX27" s="18">
        <f>AA27+AW27</f>
        <v/>
      </c>
    </row>
    <row r="28">
      <c r="A28" s="8" t="n">
        <v>16</v>
      </c>
      <c r="B28" t="inlineStr">
        <is>
          <t>Pedro Ataíde e Sá</t>
        </is>
      </c>
      <c r="C28" s="8" t="inlineStr">
        <is>
          <t>44681</t>
        </is>
      </c>
      <c r="D28" t="inlineStr">
        <is>
          <t>Citynorte</t>
        </is>
      </c>
      <c r="E28" s="8" t="n">
        <v>1.9</v>
      </c>
      <c r="F28" s="17" t="n">
        <v>4</v>
      </c>
      <c r="G28" s="17" t="n">
        <v>4</v>
      </c>
      <c r="H28" s="17" t="n">
        <v>6</v>
      </c>
      <c r="I28" s="17" t="n">
        <v>4</v>
      </c>
      <c r="J28" s="17" t="n">
        <v>4</v>
      </c>
      <c r="K28" s="17" t="n">
        <v>4</v>
      </c>
      <c r="L28" s="17" t="n">
        <v>6</v>
      </c>
      <c r="M28" s="17" t="n">
        <v>3</v>
      </c>
      <c r="N28" s="17" t="n">
        <v>4</v>
      </c>
      <c r="O28" s="17" t="n">
        <v>5</v>
      </c>
      <c r="P28" s="17" t="n">
        <v>3</v>
      </c>
      <c r="Q28" s="17" t="n">
        <v>3</v>
      </c>
      <c r="R28" s="17" t="n">
        <v>5</v>
      </c>
      <c r="S28" s="17" t="n">
        <v>4</v>
      </c>
      <c r="T28" s="17" t="n">
        <v>4</v>
      </c>
      <c r="U28" s="17" t="n">
        <v>5</v>
      </c>
      <c r="V28" s="17" t="n">
        <v>4</v>
      </c>
      <c r="W28" s="17" t="n">
        <v>5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7" t="n">
        <v>4</v>
      </c>
      <c r="AC28" s="17" t="n">
        <v>4</v>
      </c>
      <c r="AD28" s="17" t="n">
        <v>5</v>
      </c>
      <c r="AE28" s="17" t="n">
        <v>4</v>
      </c>
      <c r="AF28" s="17" t="n">
        <v>3</v>
      </c>
      <c r="AG28" s="17" t="n">
        <v>5</v>
      </c>
      <c r="AH28" s="17" t="n">
        <v>5</v>
      </c>
      <c r="AI28" s="17" t="n">
        <v>3</v>
      </c>
      <c r="AJ28" s="17" t="n">
        <v>5</v>
      </c>
      <c r="AK28" s="17" t="n">
        <v>6</v>
      </c>
      <c r="AL28" s="17" t="n">
        <v>5</v>
      </c>
      <c r="AM28" s="17" t="n">
        <v>4</v>
      </c>
      <c r="AN28" s="17" t="n">
        <v>4</v>
      </c>
      <c r="AO28" s="17" t="n">
        <v>4</v>
      </c>
      <c r="AP28" s="17" t="n">
        <v>4</v>
      </c>
      <c r="AQ28" s="17" t="n">
        <v>5</v>
      </c>
      <c r="AR28" s="17" t="n">
        <v>3</v>
      </c>
      <c r="AS28" s="17" t="n">
        <v>4</v>
      </c>
      <c r="AT28" s="8">
        <f>SUM(AB28:AS28)</f>
        <v/>
      </c>
      <c r="AU28" s="8">
        <f>AU11</f>
        <v/>
      </c>
      <c r="AV28" s="8">
        <f>AT28-AU28</f>
        <v/>
      </c>
      <c r="AW28" s="8">
        <f>MAX(0,25-AV28)*1.0</f>
        <v/>
      </c>
      <c r="AX28" s="18">
        <f>AA28+AW28</f>
        <v/>
      </c>
    </row>
    <row r="29">
      <c r="A29" s="8" t="n">
        <v>17</v>
      </c>
      <c r="B29" t="inlineStr">
        <is>
          <t>João Maria Ivo de Carvalho</t>
        </is>
      </c>
      <c r="C29" s="8" t="inlineStr">
        <is>
          <t>38334</t>
        </is>
      </c>
      <c r="D29" t="inlineStr">
        <is>
          <t>Vilamoura, C. G</t>
        </is>
      </c>
      <c r="E29" s="8" t="n">
        <v>-2</v>
      </c>
      <c r="F29" s="17" t="n">
        <v>4</v>
      </c>
      <c r="G29" s="17" t="n">
        <v>3</v>
      </c>
      <c r="H29" s="17" t="n">
        <v>5</v>
      </c>
      <c r="I29" s="17" t="n">
        <v>4</v>
      </c>
      <c r="J29" s="17" t="n">
        <v>3</v>
      </c>
      <c r="K29" s="17" t="n">
        <v>4</v>
      </c>
      <c r="L29" s="17" t="n">
        <v>4</v>
      </c>
      <c r="M29" s="17" t="n">
        <v>3</v>
      </c>
      <c r="N29" s="17" t="n">
        <v>4</v>
      </c>
      <c r="O29" s="17" t="n">
        <v>6</v>
      </c>
      <c r="P29" s="17" t="n">
        <v>4</v>
      </c>
      <c r="Q29" s="17" t="n">
        <v>5</v>
      </c>
      <c r="R29" s="17" t="n">
        <v>6</v>
      </c>
      <c r="S29" s="17" t="n">
        <v>4</v>
      </c>
      <c r="T29" s="17" t="n">
        <v>5</v>
      </c>
      <c r="U29" s="17" t="n">
        <v>5</v>
      </c>
      <c r="V29" s="17" t="n">
        <v>4</v>
      </c>
      <c r="W29" s="17" t="n">
        <v>4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7" t="n">
        <v>3</v>
      </c>
      <c r="AC29" s="17" t="n">
        <v>4</v>
      </c>
      <c r="AD29" s="17" t="n">
        <v>5</v>
      </c>
      <c r="AE29" s="17" t="n">
        <v>4</v>
      </c>
      <c r="AF29" s="17" t="n">
        <v>4</v>
      </c>
      <c r="AG29" s="17" t="n">
        <v>5</v>
      </c>
      <c r="AH29" s="17" t="n">
        <v>4</v>
      </c>
      <c r="AI29" s="17" t="n">
        <v>4</v>
      </c>
      <c r="AJ29" s="17" t="n">
        <v>5</v>
      </c>
      <c r="AK29" s="17" t="n">
        <v>5</v>
      </c>
      <c r="AL29" s="17" t="n">
        <v>4</v>
      </c>
      <c r="AM29" s="17" t="n">
        <v>4</v>
      </c>
      <c r="AN29" s="17" t="n">
        <v>4</v>
      </c>
      <c r="AO29" s="17" t="n">
        <v>4</v>
      </c>
      <c r="AP29" s="17" t="n">
        <v>5</v>
      </c>
      <c r="AQ29" s="17" t="n">
        <v>5</v>
      </c>
      <c r="AR29" s="17" t="n">
        <v>4</v>
      </c>
      <c r="AS29" s="17" t="n">
        <v>8</v>
      </c>
      <c r="AT29" s="8">
        <f>SUM(AB29:AS29)</f>
        <v/>
      </c>
      <c r="AU29" s="8">
        <f>AU11</f>
        <v/>
      </c>
      <c r="AV29" s="8">
        <f>AT29-AU29</f>
        <v/>
      </c>
      <c r="AW29" s="8">
        <f>MAX(0,25-AV29)*1.0</f>
        <v/>
      </c>
      <c r="AX29" s="18">
        <f>AA29+AW29</f>
        <v/>
      </c>
    </row>
    <row r="30">
      <c r="A30" s="8" t="n">
        <v>18</v>
      </c>
      <c r="B30" t="inlineStr">
        <is>
          <t>Rodrigo Sousa Correia</t>
        </is>
      </c>
      <c r="C30" s="8" t="inlineStr">
        <is>
          <t>44934</t>
        </is>
      </c>
      <c r="D30" t="inlineStr">
        <is>
          <t>Vilamoura, C. G</t>
        </is>
      </c>
      <c r="E30" s="8" t="n">
        <v>2.7</v>
      </c>
      <c r="F30" s="17" t="n">
        <v>5</v>
      </c>
      <c r="G30" s="17" t="n">
        <v>4</v>
      </c>
      <c r="H30" s="17" t="n">
        <v>5</v>
      </c>
      <c r="I30" s="17" t="n">
        <v>4</v>
      </c>
      <c r="J30" s="17" t="n">
        <v>4</v>
      </c>
      <c r="K30" s="17" t="n">
        <v>4</v>
      </c>
      <c r="L30" s="17" t="n">
        <v>5</v>
      </c>
      <c r="M30" s="17" t="n">
        <v>4</v>
      </c>
      <c r="N30" s="17" t="n">
        <v>5</v>
      </c>
      <c r="O30" s="17" t="n">
        <v>5</v>
      </c>
      <c r="P30" s="17" t="n">
        <v>4</v>
      </c>
      <c r="Q30" s="17" t="n">
        <v>3</v>
      </c>
      <c r="R30" s="17" t="n">
        <v>5</v>
      </c>
      <c r="S30" s="17" t="n">
        <v>4</v>
      </c>
      <c r="T30" s="17" t="n">
        <v>4</v>
      </c>
      <c r="U30" s="17" t="n">
        <v>5</v>
      </c>
      <c r="V30" s="17" t="n">
        <v>3</v>
      </c>
      <c r="W30" s="17" t="n">
        <v>5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7" t="n">
        <v>4</v>
      </c>
      <c r="AC30" s="17" t="n">
        <v>6</v>
      </c>
      <c r="AD30" s="17" t="n">
        <v>5</v>
      </c>
      <c r="AE30" s="17" t="n">
        <v>6</v>
      </c>
      <c r="AF30" s="17" t="n">
        <v>4</v>
      </c>
      <c r="AG30" s="17" t="n">
        <v>4</v>
      </c>
      <c r="AH30" s="17" t="n">
        <v>6</v>
      </c>
      <c r="AI30" s="17" t="n">
        <v>3</v>
      </c>
      <c r="AJ30" s="17" t="n">
        <v>4</v>
      </c>
      <c r="AK30" s="17" t="n">
        <v>5</v>
      </c>
      <c r="AL30" s="17" t="n">
        <v>3</v>
      </c>
      <c r="AM30" s="17" t="n">
        <v>4</v>
      </c>
      <c r="AN30" s="17" t="n">
        <v>5</v>
      </c>
      <c r="AO30" s="17" t="n">
        <v>4</v>
      </c>
      <c r="AP30" s="17" t="n">
        <v>4</v>
      </c>
      <c r="AQ30" s="17" t="n">
        <v>5</v>
      </c>
      <c r="AR30" s="17" t="n">
        <v>3</v>
      </c>
      <c r="AS30" s="17" t="n">
        <v>4</v>
      </c>
      <c r="AT30" s="8">
        <f>SUM(AB30:AS30)</f>
        <v/>
      </c>
      <c r="AU30" s="8">
        <f>AU11</f>
        <v/>
      </c>
      <c r="AV30" s="8">
        <f>AT30-AU30</f>
        <v/>
      </c>
      <c r="AW30" s="8">
        <f>MAX(0,25-AV30)*1.0</f>
        <v/>
      </c>
      <c r="AX30" s="18">
        <f>AA30+AW30</f>
        <v/>
      </c>
    </row>
    <row r="31">
      <c r="A31" s="8" t="n">
        <v>19</v>
      </c>
      <c r="B31" t="inlineStr">
        <is>
          <t>Scott Blackshear</t>
        </is>
      </c>
      <c r="C31" s="8" t="inlineStr">
        <is>
          <t>52956</t>
        </is>
      </c>
      <c r="D31" t="inlineStr">
        <is>
          <t>Palmares</t>
        </is>
      </c>
      <c r="E31" s="8" t="n">
        <v>2.6</v>
      </c>
      <c r="F31" s="17" t="n">
        <v>3</v>
      </c>
      <c r="G31" s="17" t="n">
        <v>4</v>
      </c>
      <c r="H31" s="17" t="n">
        <v>9</v>
      </c>
      <c r="I31" s="17" t="n">
        <v>3</v>
      </c>
      <c r="J31" s="17" t="n">
        <v>4</v>
      </c>
      <c r="K31" s="17" t="n">
        <v>4</v>
      </c>
      <c r="L31" s="17" t="n">
        <v>5</v>
      </c>
      <c r="M31" s="17" t="n">
        <v>4</v>
      </c>
      <c r="N31" s="17" t="n">
        <v>4</v>
      </c>
      <c r="O31" s="17" t="n">
        <v>5</v>
      </c>
      <c r="P31" s="17" t="n">
        <v>2</v>
      </c>
      <c r="Q31" s="17" t="n">
        <v>4</v>
      </c>
      <c r="R31" s="17" t="n">
        <v>5</v>
      </c>
      <c r="S31" s="17" t="n">
        <v>4</v>
      </c>
      <c r="T31" s="17" t="n">
        <v>6</v>
      </c>
      <c r="U31" s="17" t="n">
        <v>5</v>
      </c>
      <c r="V31" s="17" t="n">
        <v>3</v>
      </c>
      <c r="W31" s="17" t="n">
        <v>4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7" t="n">
        <v>4</v>
      </c>
      <c r="AC31" s="17" t="n">
        <v>4</v>
      </c>
      <c r="AD31" s="17" t="n">
        <v>5</v>
      </c>
      <c r="AE31" s="17" t="n">
        <v>4</v>
      </c>
      <c r="AF31" s="17" t="n">
        <v>3</v>
      </c>
      <c r="AG31" s="17" t="n">
        <v>4</v>
      </c>
      <c r="AH31" s="17" t="n">
        <v>6</v>
      </c>
      <c r="AI31" s="17" t="n">
        <v>5</v>
      </c>
      <c r="AJ31" s="17" t="n">
        <v>4</v>
      </c>
      <c r="AK31" s="17" t="n">
        <v>5</v>
      </c>
      <c r="AL31" s="17" t="n">
        <v>3</v>
      </c>
      <c r="AM31" s="17" t="n">
        <v>5</v>
      </c>
      <c r="AN31" s="17" t="n">
        <v>9</v>
      </c>
      <c r="AO31" s="17" t="n">
        <v>4</v>
      </c>
      <c r="AP31" s="17" t="n">
        <v>5</v>
      </c>
      <c r="AQ31" s="17" t="n">
        <v>5</v>
      </c>
      <c r="AR31" s="17" t="n">
        <v>4</v>
      </c>
      <c r="AS31" s="17" t="n">
        <v>5</v>
      </c>
      <c r="AT31" s="8">
        <f>SUM(AB31:AS31)</f>
        <v/>
      </c>
      <c r="AU31" s="8">
        <f>AU11</f>
        <v/>
      </c>
      <c r="AV31" s="8">
        <f>AT31-AU31</f>
        <v/>
      </c>
      <c r="AW31" s="8">
        <f>MAX(0,25-AV31)*1.0</f>
        <v/>
      </c>
      <c r="AX31" s="18">
        <f>AA31+AW31</f>
        <v/>
      </c>
    </row>
    <row r="32">
      <c r="A32" s="8" t="n">
        <v>20</v>
      </c>
      <c r="B32" t="inlineStr">
        <is>
          <t>Martim Pinto Johansen</t>
        </is>
      </c>
      <c r="C32" s="8" t="inlineStr">
        <is>
          <t>40115</t>
        </is>
      </c>
      <c r="D32" t="inlineStr">
        <is>
          <t>Vilamoura, C. G</t>
        </is>
      </c>
      <c r="E32" s="8" t="n">
        <v>-0.8</v>
      </c>
      <c r="F32" s="17" t="n">
        <v>6</v>
      </c>
      <c r="G32" s="17" t="n">
        <v>6</v>
      </c>
      <c r="H32" s="17" t="n">
        <v>5</v>
      </c>
      <c r="I32" s="17" t="n">
        <v>4</v>
      </c>
      <c r="J32" s="17" t="n">
        <v>3</v>
      </c>
      <c r="K32" s="17" t="n">
        <v>4</v>
      </c>
      <c r="L32" s="17" t="n">
        <v>5</v>
      </c>
      <c r="M32" s="17" t="n">
        <v>3</v>
      </c>
      <c r="N32" s="17" t="n">
        <v>4</v>
      </c>
      <c r="O32" s="17" t="n">
        <v>4</v>
      </c>
      <c r="P32" s="17" t="n">
        <v>3</v>
      </c>
      <c r="Q32" s="17" t="n">
        <v>3</v>
      </c>
      <c r="R32" s="17" t="n">
        <v>4</v>
      </c>
      <c r="S32" s="17" t="n">
        <v>5</v>
      </c>
      <c r="T32" s="17" t="n">
        <v>5</v>
      </c>
      <c r="U32" s="17" t="n">
        <v>5</v>
      </c>
      <c r="V32" s="17" t="n">
        <v>4</v>
      </c>
      <c r="W32" s="17" t="n">
        <v>5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7" t="n">
        <v>3</v>
      </c>
      <c r="AC32" s="17" t="n">
        <v>4</v>
      </c>
      <c r="AD32" s="17" t="n">
        <v>5</v>
      </c>
      <c r="AE32" s="17" t="n">
        <v>4</v>
      </c>
      <c r="AF32" s="17" t="n">
        <v>3</v>
      </c>
      <c r="AG32" s="17" t="n">
        <v>4</v>
      </c>
      <c r="AH32" s="17" t="n">
        <v>4</v>
      </c>
      <c r="AI32" s="17" t="n">
        <v>3</v>
      </c>
      <c r="AJ32" s="17" t="n">
        <v>5</v>
      </c>
      <c r="AK32" s="17" t="n">
        <v>5</v>
      </c>
      <c r="AL32" s="17" t="n">
        <v>3</v>
      </c>
      <c r="AM32" s="17" t="n">
        <v>3</v>
      </c>
      <c r="AN32" s="17" t="n">
        <v>5</v>
      </c>
      <c r="AO32" s="17" t="n">
        <v>3</v>
      </c>
      <c r="AP32" s="17" t="n">
        <v>4</v>
      </c>
      <c r="AQ32" s="17" t="n">
        <v>5</v>
      </c>
      <c r="AR32" s="17" t="n">
        <v>5</v>
      </c>
      <c r="AS32" s="17" t="n">
        <v>4</v>
      </c>
      <c r="AT32" s="8">
        <f>SUM(AB32:AS32)</f>
        <v/>
      </c>
      <c r="AU32" s="8">
        <f>AU11</f>
        <v/>
      </c>
      <c r="AV32" s="8">
        <f>AT32-AU32</f>
        <v/>
      </c>
      <c r="AW32" s="8">
        <f>MAX(0,25-AV32)*1.0</f>
        <v/>
      </c>
      <c r="AX32" s="18">
        <f>AA32+AW32</f>
        <v/>
      </c>
    </row>
    <row r="33">
      <c r="A33" s="8" t="n">
        <v>21</v>
      </c>
      <c r="B33" t="inlineStr">
        <is>
          <t>Gabriel Sardo</t>
        </is>
      </c>
      <c r="C33" s="8" t="inlineStr">
        <is>
          <t>37010</t>
        </is>
      </c>
      <c r="D33" t="inlineStr">
        <is>
          <t>Oporto</t>
        </is>
      </c>
      <c r="E33" s="8" t="n">
        <v>-0.9</v>
      </c>
      <c r="F33" s="17" t="n">
        <v>4</v>
      </c>
      <c r="G33" s="17" t="n">
        <v>5</v>
      </c>
      <c r="H33" s="17" t="n">
        <v>6</v>
      </c>
      <c r="I33" s="17" t="n">
        <v>4</v>
      </c>
      <c r="J33" s="17" t="n">
        <v>4</v>
      </c>
      <c r="K33" s="17" t="n">
        <v>5</v>
      </c>
      <c r="L33" s="17" t="n">
        <v>4</v>
      </c>
      <c r="M33" s="17" t="n">
        <v>2</v>
      </c>
      <c r="N33" s="17" t="n">
        <v>4</v>
      </c>
      <c r="O33" s="17" t="n">
        <v>5</v>
      </c>
      <c r="P33" s="17" t="n">
        <v>3</v>
      </c>
      <c r="Q33" s="17" t="n">
        <v>4</v>
      </c>
      <c r="R33" s="17" t="n">
        <v>5</v>
      </c>
      <c r="S33" s="17" t="n">
        <v>5</v>
      </c>
      <c r="T33" s="17" t="n">
        <v>3</v>
      </c>
      <c r="U33" s="17" t="n">
        <v>7</v>
      </c>
      <c r="V33" s="17" t="n">
        <v>4</v>
      </c>
      <c r="W33" s="17" t="n">
        <v>4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7" t="n">
        <v>4</v>
      </c>
      <c r="AC33" s="17" t="n">
        <v>3</v>
      </c>
      <c r="AD33" s="17" t="n">
        <v>5</v>
      </c>
      <c r="AE33" s="17" t="n">
        <v>5</v>
      </c>
      <c r="AF33" s="17" t="n">
        <v>3</v>
      </c>
      <c r="AG33" s="17" t="n">
        <v>4</v>
      </c>
      <c r="AH33" s="17" t="n">
        <v>5</v>
      </c>
      <c r="AI33" s="17" t="n">
        <v>3</v>
      </c>
      <c r="AJ33" s="17" t="n">
        <v>4</v>
      </c>
      <c r="AK33" s="17" t="n">
        <v>4</v>
      </c>
      <c r="AL33" s="17" t="n">
        <v>4</v>
      </c>
      <c r="AM33" s="17" t="n">
        <v>4</v>
      </c>
      <c r="AN33" s="17" t="n">
        <v>4</v>
      </c>
      <c r="AO33" s="17" t="n">
        <v>4</v>
      </c>
      <c r="AP33" s="17" t="n">
        <v>4</v>
      </c>
      <c r="AQ33" s="17" t="n">
        <v>5</v>
      </c>
      <c r="AR33" s="17" t="n">
        <v>4</v>
      </c>
      <c r="AS33" s="17" t="n">
        <v>4</v>
      </c>
      <c r="AT33" s="8">
        <f>SUM(AB33:AS33)</f>
        <v/>
      </c>
      <c r="AU33" s="8">
        <f>AU11</f>
        <v/>
      </c>
      <c r="AV33" s="8">
        <f>AT33-AU33</f>
        <v/>
      </c>
      <c r="AW33" s="8">
        <f>MAX(0,25-AV33)*1.0</f>
        <v/>
      </c>
      <c r="AX33" s="18">
        <f>AA33+AW33</f>
        <v/>
      </c>
    </row>
    <row r="34">
      <c r="A34" s="8" t="n">
        <v>22</v>
      </c>
      <c r="B34" t="inlineStr">
        <is>
          <t>Pedro Aires</t>
        </is>
      </c>
      <c r="C34" s="8" t="inlineStr">
        <is>
          <t>42068</t>
        </is>
      </c>
      <c r="D34" t="inlineStr">
        <is>
          <t>Citynorte</t>
        </is>
      </c>
      <c r="E34" s="8" t="n">
        <v>8.5</v>
      </c>
      <c r="F34" s="17" t="n">
        <v>5</v>
      </c>
      <c r="G34" s="17" t="n">
        <v>7</v>
      </c>
      <c r="H34" s="17" t="n">
        <v>5</v>
      </c>
      <c r="I34" s="17" t="n">
        <v>4</v>
      </c>
      <c r="J34" s="17" t="n">
        <v>3</v>
      </c>
      <c r="K34" s="17" t="n">
        <v>4</v>
      </c>
      <c r="L34" s="17" t="n">
        <v>5</v>
      </c>
      <c r="M34" s="17" t="n">
        <v>4</v>
      </c>
      <c r="N34" s="17" t="n">
        <v>3</v>
      </c>
      <c r="O34" s="17" t="n">
        <v>5</v>
      </c>
      <c r="P34" s="17" t="n">
        <v>3</v>
      </c>
      <c r="Q34" s="17" t="n">
        <v>5</v>
      </c>
      <c r="R34" s="17" t="n">
        <v>5</v>
      </c>
      <c r="S34" s="17" t="n">
        <v>5</v>
      </c>
      <c r="T34" s="17" t="n">
        <v>3</v>
      </c>
      <c r="U34" s="17" t="n">
        <v>4</v>
      </c>
      <c r="V34" s="17" t="n">
        <v>4</v>
      </c>
      <c r="W34" s="17" t="n">
        <v>5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7" t="n">
        <v>4</v>
      </c>
      <c r="AC34" s="17" t="n">
        <v>3</v>
      </c>
      <c r="AD34" s="17" t="n">
        <v>8</v>
      </c>
      <c r="AE34" s="17" t="n">
        <v>5</v>
      </c>
      <c r="AF34" s="17" t="n">
        <v>6</v>
      </c>
      <c r="AG34" s="17" t="n">
        <v>4</v>
      </c>
      <c r="AH34" s="17" t="n">
        <v>5</v>
      </c>
      <c r="AI34" s="17" t="n">
        <v>4</v>
      </c>
      <c r="AJ34" s="17" t="n">
        <v>5</v>
      </c>
      <c r="AK34" s="17" t="n">
        <v>5</v>
      </c>
      <c r="AL34" s="17" t="n">
        <v>4</v>
      </c>
      <c r="AM34" s="17" t="n">
        <v>4</v>
      </c>
      <c r="AN34" s="17" t="n">
        <v>7</v>
      </c>
      <c r="AO34" s="17" t="n">
        <v>3</v>
      </c>
      <c r="AP34" s="17" t="n">
        <v>4</v>
      </c>
      <c r="AQ34" s="17" t="n">
        <v>4</v>
      </c>
      <c r="AR34" s="17" t="n">
        <v>4</v>
      </c>
      <c r="AS34" s="17" t="n">
        <v>4</v>
      </c>
      <c r="AT34" s="8">
        <f>SUM(AB34:AS34)</f>
        <v/>
      </c>
      <c r="AU34" s="8">
        <f>AU11</f>
        <v/>
      </c>
      <c r="AV34" s="8">
        <f>AT34-AU34</f>
        <v/>
      </c>
      <c r="AW34" s="8">
        <f>MAX(0,25-AV34)*1.0</f>
        <v/>
      </c>
      <c r="AX34" s="18">
        <f>AA34+AW34</f>
        <v/>
      </c>
    </row>
    <row r="35">
      <c r="A35" s="8" t="n">
        <v>23</v>
      </c>
      <c r="B35" t="inlineStr">
        <is>
          <t>Laura Santos</t>
        </is>
      </c>
      <c r="C35" s="8" t="inlineStr">
        <is>
          <t>45393</t>
        </is>
      </c>
      <c r="D35" t="inlineStr">
        <is>
          <t>PXO Clube</t>
        </is>
      </c>
      <c r="E35" s="8" t="n">
        <v>3.3</v>
      </c>
      <c r="F35" s="17" t="n">
        <v>6</v>
      </c>
      <c r="G35" s="17" t="n">
        <v>5</v>
      </c>
      <c r="H35" s="17" t="n">
        <v>5</v>
      </c>
      <c r="I35" s="17" t="n">
        <v>4</v>
      </c>
      <c r="J35" s="17" t="n">
        <v>3</v>
      </c>
      <c r="K35" s="17" t="n">
        <v>5</v>
      </c>
      <c r="L35" s="17" t="n">
        <v>5</v>
      </c>
      <c r="M35" s="17" t="n">
        <v>2</v>
      </c>
      <c r="N35" s="17" t="n">
        <v>5</v>
      </c>
      <c r="O35" s="17" t="n">
        <v>4</v>
      </c>
      <c r="P35" s="17" t="n">
        <v>2</v>
      </c>
      <c r="Q35" s="17" t="n">
        <v>4</v>
      </c>
      <c r="R35" s="17" t="n">
        <v>6</v>
      </c>
      <c r="S35" s="17" t="n">
        <v>5</v>
      </c>
      <c r="T35" s="17" t="n">
        <v>5</v>
      </c>
      <c r="U35" s="17" t="n">
        <v>5</v>
      </c>
      <c r="V35" s="17" t="n">
        <v>3</v>
      </c>
      <c r="W35" s="17" t="n">
        <v>5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7" t="n">
        <v>5</v>
      </c>
      <c r="AC35" s="17" t="n">
        <v>5</v>
      </c>
      <c r="AD35" s="17" t="n">
        <v>5</v>
      </c>
      <c r="AE35" s="17" t="n">
        <v>4</v>
      </c>
      <c r="AF35" s="17" t="n">
        <v>3</v>
      </c>
      <c r="AG35" s="17" t="n">
        <v>4</v>
      </c>
      <c r="AH35" s="17" t="n">
        <v>8</v>
      </c>
      <c r="AI35" s="17" t="n">
        <v>3</v>
      </c>
      <c r="AJ35" s="17" t="n">
        <v>4</v>
      </c>
      <c r="AK35" s="17" t="n">
        <v>5</v>
      </c>
      <c r="AL35" s="17" t="n">
        <v>3</v>
      </c>
      <c r="AM35" s="17" t="n">
        <v>4</v>
      </c>
      <c r="AN35" s="17" t="n">
        <v>4</v>
      </c>
      <c r="AO35" s="17" t="n">
        <v>5</v>
      </c>
      <c r="AP35" s="17" t="n">
        <v>5</v>
      </c>
      <c r="AQ35" s="17" t="n">
        <v>5</v>
      </c>
      <c r="AR35" s="17" t="n">
        <v>3</v>
      </c>
      <c r="AS35" s="17" t="n">
        <v>5</v>
      </c>
      <c r="AT35" s="8">
        <f>SUM(AB35:AS35)</f>
        <v/>
      </c>
      <c r="AU35" s="8">
        <f>AU11</f>
        <v/>
      </c>
      <c r="AV35" s="8">
        <f>AT35-AU35</f>
        <v/>
      </c>
      <c r="AW35" s="8">
        <f>MAX(0,25-AV35)*1.0</f>
        <v/>
      </c>
      <c r="AX35" s="18">
        <f>AA35+AW35</f>
        <v/>
      </c>
    </row>
    <row r="36">
      <c r="A36" s="8" t="n">
        <v>24</v>
      </c>
      <c r="B36" t="inlineStr">
        <is>
          <t>Afonso Silva Pinto</t>
        </is>
      </c>
      <c r="C36" s="8" t="inlineStr">
        <is>
          <t>46309</t>
        </is>
      </c>
      <c r="D36" t="inlineStr">
        <is>
          <t>Miramar</t>
        </is>
      </c>
      <c r="E36" s="8" t="n">
        <v>5.6</v>
      </c>
      <c r="F36" s="17" t="n">
        <v>4</v>
      </c>
      <c r="G36" s="17" t="n">
        <v>4</v>
      </c>
      <c r="H36" s="17" t="n">
        <v>5</v>
      </c>
      <c r="I36" s="17" t="n">
        <v>4</v>
      </c>
      <c r="J36" s="17" t="n">
        <v>5</v>
      </c>
      <c r="K36" s="17" t="n">
        <v>4</v>
      </c>
      <c r="L36" s="17" t="n">
        <v>5</v>
      </c>
      <c r="M36" s="17" t="n">
        <v>4</v>
      </c>
      <c r="N36" s="17" t="n">
        <v>5</v>
      </c>
      <c r="O36" s="17" t="n">
        <v>5</v>
      </c>
      <c r="P36" s="17" t="n">
        <v>3</v>
      </c>
      <c r="Q36" s="17" t="n">
        <v>5</v>
      </c>
      <c r="R36" s="17" t="n">
        <v>5</v>
      </c>
      <c r="S36" s="17" t="n">
        <v>4</v>
      </c>
      <c r="T36" s="17" t="n">
        <v>5</v>
      </c>
      <c r="U36" s="17" t="n">
        <v>5</v>
      </c>
      <c r="V36" s="17" t="n">
        <v>3</v>
      </c>
      <c r="W36" s="17" t="n">
        <v>5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7" t="n">
        <v>5</v>
      </c>
      <c r="AC36" s="17" t="n">
        <v>6</v>
      </c>
      <c r="AD36" s="17" t="n">
        <v>5</v>
      </c>
      <c r="AE36" s="17" t="n">
        <v>4</v>
      </c>
      <c r="AF36" s="17" t="n">
        <v>3</v>
      </c>
      <c r="AG36" s="17" t="n">
        <v>5</v>
      </c>
      <c r="AH36" s="17" t="n">
        <v>6</v>
      </c>
      <c r="AI36" s="17" t="n">
        <v>4</v>
      </c>
      <c r="AJ36" s="17" t="n">
        <v>6</v>
      </c>
      <c r="AK36" s="17" t="n">
        <v>6</v>
      </c>
      <c r="AL36" s="17" t="n">
        <v>3</v>
      </c>
      <c r="AM36" s="17" t="n">
        <v>4</v>
      </c>
      <c r="AN36" s="17" t="n">
        <v>6</v>
      </c>
      <c r="AO36" s="17" t="n">
        <v>4</v>
      </c>
      <c r="AP36" s="17" t="n">
        <v>4</v>
      </c>
      <c r="AQ36" s="17" t="n">
        <v>5</v>
      </c>
      <c r="AR36" s="17" t="n">
        <v>3</v>
      </c>
      <c r="AS36" s="17" t="n">
        <v>4</v>
      </c>
      <c r="AT36" s="8">
        <f>SUM(AB36:AS36)</f>
        <v/>
      </c>
      <c r="AU36" s="8">
        <f>AU11</f>
        <v/>
      </c>
      <c r="AV36" s="8">
        <f>AT36-AU36</f>
        <v/>
      </c>
      <c r="AW36" s="8">
        <f>MAX(0,25-AV36)*1.0</f>
        <v/>
      </c>
      <c r="AX36" s="18">
        <f>AA36+AW36</f>
        <v/>
      </c>
    </row>
    <row r="37">
      <c r="A37" s="8" t="n">
        <v>25</v>
      </c>
      <c r="B37" t="inlineStr">
        <is>
          <t>Ethan Prybys Orton</t>
        </is>
      </c>
      <c r="C37" s="8" t="inlineStr">
        <is>
          <t>42374</t>
        </is>
      </c>
      <c r="D37" t="inlineStr">
        <is>
          <t>Vila Sol</t>
        </is>
      </c>
      <c r="E37" s="8" t="n">
        <v>3.6</v>
      </c>
      <c r="F37" s="17" t="n">
        <v>4</v>
      </c>
      <c r="G37" s="17" t="n">
        <v>4</v>
      </c>
      <c r="H37" s="17" t="n">
        <v>5</v>
      </c>
      <c r="I37" s="17" t="n">
        <v>4</v>
      </c>
      <c r="J37" s="17" t="n">
        <v>4</v>
      </c>
      <c r="K37" s="17" t="n">
        <v>4</v>
      </c>
      <c r="L37" s="17" t="n">
        <v>5</v>
      </c>
      <c r="M37" s="17" t="n">
        <v>5</v>
      </c>
      <c r="N37" s="17" t="n">
        <v>5</v>
      </c>
      <c r="O37" s="17" t="n">
        <v>5</v>
      </c>
      <c r="P37" s="17" t="n">
        <v>4</v>
      </c>
      <c r="Q37" s="17" t="n">
        <v>3</v>
      </c>
      <c r="R37" s="17" t="n">
        <v>5</v>
      </c>
      <c r="S37" s="17" t="n">
        <v>5</v>
      </c>
      <c r="T37" s="17" t="n">
        <v>5</v>
      </c>
      <c r="U37" s="17" t="n">
        <v>5</v>
      </c>
      <c r="V37" s="17" t="n">
        <v>4</v>
      </c>
      <c r="W37" s="17" t="n">
        <v>4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7" t="n">
        <v>5</v>
      </c>
      <c r="AC37" s="17" t="n">
        <v>5</v>
      </c>
      <c r="AD37" s="17" t="n">
        <v>7</v>
      </c>
      <c r="AE37" s="17" t="n">
        <v>4</v>
      </c>
      <c r="AF37" s="17" t="n">
        <v>4</v>
      </c>
      <c r="AG37" s="17" t="n">
        <v>5</v>
      </c>
      <c r="AH37" s="17" t="n">
        <v>5</v>
      </c>
      <c r="AI37" s="17" t="n">
        <v>3</v>
      </c>
      <c r="AJ37" s="17" t="n">
        <v>5</v>
      </c>
      <c r="AK37" s="17" t="n">
        <v>5</v>
      </c>
      <c r="AL37" s="17" t="n">
        <v>3</v>
      </c>
      <c r="AM37" s="17" t="n">
        <v>4</v>
      </c>
      <c r="AN37" s="17" t="n">
        <v>4</v>
      </c>
      <c r="AO37" s="17" t="n">
        <v>4</v>
      </c>
      <c r="AP37" s="17" t="n">
        <v>5</v>
      </c>
      <c r="AQ37" s="17" t="n">
        <v>4</v>
      </c>
      <c r="AR37" s="17" t="n">
        <v>3</v>
      </c>
      <c r="AS37" s="17" t="n">
        <v>4</v>
      </c>
      <c r="AT37" s="8">
        <f>SUM(AB37:AS37)</f>
        <v/>
      </c>
      <c r="AU37" s="8">
        <f>AU11</f>
        <v/>
      </c>
      <c r="AV37" s="8">
        <f>AT37-AU37</f>
        <v/>
      </c>
      <c r="AW37" s="8">
        <f>MAX(0,25-AV37)*1.0</f>
        <v/>
      </c>
      <c r="AX37" s="18">
        <f>AA37+AW37</f>
        <v/>
      </c>
    </row>
    <row r="38">
      <c r="A38" s="8" t="n">
        <v>26</v>
      </c>
      <c r="B38" t="inlineStr">
        <is>
          <t>Eva Silva</t>
        </is>
      </c>
      <c r="C38" s="8" t="inlineStr">
        <is>
          <t>46437</t>
        </is>
      </c>
      <c r="D38" t="inlineStr">
        <is>
          <t>Oporto</t>
        </is>
      </c>
      <c r="E38" s="8" t="n">
        <v>0.5</v>
      </c>
      <c r="F38" s="17" t="n">
        <v>5</v>
      </c>
      <c r="G38" s="17" t="n">
        <v>5</v>
      </c>
      <c r="H38" s="17" t="n">
        <v>5</v>
      </c>
      <c r="I38" s="17" t="n">
        <v>4</v>
      </c>
      <c r="J38" s="17" t="n">
        <v>3</v>
      </c>
      <c r="K38" s="17" t="n">
        <v>4</v>
      </c>
      <c r="L38" s="17" t="n">
        <v>6</v>
      </c>
      <c r="M38" s="17" t="n">
        <v>3</v>
      </c>
      <c r="N38" s="17" t="n">
        <v>4</v>
      </c>
      <c r="O38" s="17" t="n">
        <v>6</v>
      </c>
      <c r="P38" s="17" t="n">
        <v>3</v>
      </c>
      <c r="Q38" s="17" t="n">
        <v>5</v>
      </c>
      <c r="R38" s="17" t="n">
        <v>5</v>
      </c>
      <c r="S38" s="17" t="n">
        <v>4</v>
      </c>
      <c r="T38" s="17" t="n">
        <v>4</v>
      </c>
      <c r="U38" s="17" t="n">
        <v>5</v>
      </c>
      <c r="V38" s="17" t="n">
        <v>4</v>
      </c>
      <c r="W38" s="17" t="n">
        <v>5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7" t="n">
        <v>4</v>
      </c>
      <c r="AC38" s="17" t="n">
        <v>4</v>
      </c>
      <c r="AD38" s="17" t="n">
        <v>5</v>
      </c>
      <c r="AE38" s="17" t="n">
        <v>3</v>
      </c>
      <c r="AF38" s="17" t="n">
        <v>3</v>
      </c>
      <c r="AG38" s="17" t="n">
        <v>4</v>
      </c>
      <c r="AH38" s="17" t="n">
        <v>5</v>
      </c>
      <c r="AI38" s="17" t="n">
        <v>3</v>
      </c>
      <c r="AJ38" s="17" t="n">
        <v>4</v>
      </c>
      <c r="AK38" s="17" t="n">
        <v>5</v>
      </c>
      <c r="AL38" s="17" t="n">
        <v>3</v>
      </c>
      <c r="AM38" s="17" t="n">
        <v>3</v>
      </c>
      <c r="AN38" s="17" t="n">
        <v>7</v>
      </c>
      <c r="AO38" s="17" t="n">
        <v>4</v>
      </c>
      <c r="AP38" s="17" t="n">
        <v>5</v>
      </c>
      <c r="AQ38" s="17" t="n">
        <v>5</v>
      </c>
      <c r="AR38" s="17" t="n">
        <v>4</v>
      </c>
      <c r="AS38" s="17" t="n">
        <v>3</v>
      </c>
      <c r="AT38" s="8">
        <f>SUM(AB38:AS38)</f>
        <v/>
      </c>
      <c r="AU38" s="8">
        <f>AU11</f>
        <v/>
      </c>
      <c r="AV38" s="8">
        <f>AT38-AU38</f>
        <v/>
      </c>
      <c r="AW38" s="8">
        <f>MAX(0,25-AV38)*1.0</f>
        <v/>
      </c>
      <c r="AX38" s="18">
        <f>AA38+AW38</f>
        <v/>
      </c>
    </row>
    <row r="39">
      <c r="A39" s="8" t="n">
        <v>26</v>
      </c>
      <c r="B39" t="inlineStr">
        <is>
          <t>João Araújo</t>
        </is>
      </c>
      <c r="C39" s="8" t="inlineStr">
        <is>
          <t>49012</t>
        </is>
      </c>
      <c r="D39" t="inlineStr">
        <is>
          <t>Citynorte</t>
        </is>
      </c>
      <c r="E39" s="8" t="n">
        <v>5.8</v>
      </c>
      <c r="F39" s="17" t="n">
        <v>5</v>
      </c>
      <c r="G39" s="17" t="n">
        <v>4</v>
      </c>
      <c r="H39" s="17" t="n">
        <v>7</v>
      </c>
      <c r="I39" s="17" t="n">
        <v>4</v>
      </c>
      <c r="J39" s="17" t="n">
        <v>3</v>
      </c>
      <c r="K39" s="17" t="n">
        <v>4</v>
      </c>
      <c r="L39" s="17" t="n">
        <v>5</v>
      </c>
      <c r="M39" s="17" t="n">
        <v>3</v>
      </c>
      <c r="N39" s="17" t="n">
        <v>4</v>
      </c>
      <c r="O39" s="17" t="n">
        <v>6</v>
      </c>
      <c r="P39" s="17" t="n">
        <v>4</v>
      </c>
      <c r="Q39" s="17" t="n">
        <v>4</v>
      </c>
      <c r="R39" s="17" t="n">
        <v>5</v>
      </c>
      <c r="S39" s="17" t="n">
        <v>4</v>
      </c>
      <c r="T39" s="17" t="n">
        <v>4</v>
      </c>
      <c r="U39" s="17" t="n">
        <v>6</v>
      </c>
      <c r="V39" s="17" t="n">
        <v>3</v>
      </c>
      <c r="W39" s="17" t="n">
        <v>5</v>
      </c>
      <c r="X39" s="8">
        <f>SUM(F39:W39)</f>
        <v/>
      </c>
      <c r="Y39" s="8">
        <f>Y11</f>
        <v/>
      </c>
      <c r="Z39" s="8">
        <f>X39-Y39</f>
        <v/>
      </c>
      <c r="AA39" s="8">
        <f>MAX(0,25-Z39)*1.0</f>
        <v/>
      </c>
      <c r="AB39" s="17" t="n">
        <v>5</v>
      </c>
      <c r="AC39" s="17" t="n">
        <v>4</v>
      </c>
      <c r="AD39" s="17" t="n">
        <v>6</v>
      </c>
      <c r="AE39" s="17" t="n">
        <v>4</v>
      </c>
      <c r="AF39" s="17" t="n">
        <v>3</v>
      </c>
      <c r="AG39" s="17" t="n">
        <v>5</v>
      </c>
      <c r="AH39" s="17" t="n">
        <v>7</v>
      </c>
      <c r="AI39" s="17" t="n">
        <v>3</v>
      </c>
      <c r="AJ39" s="17" t="n">
        <v>7</v>
      </c>
      <c r="AK39" s="17" t="n">
        <v>6</v>
      </c>
      <c r="AL39" s="17" t="n">
        <v>3</v>
      </c>
      <c r="AM39" s="17" t="n">
        <v>4</v>
      </c>
      <c r="AN39" s="17" t="n">
        <v>5</v>
      </c>
      <c r="AO39" s="17" t="n">
        <v>4</v>
      </c>
      <c r="AP39" s="17" t="n">
        <v>4</v>
      </c>
      <c r="AQ39" s="17" t="n">
        <v>6</v>
      </c>
      <c r="AR39" s="17" t="n">
        <v>4</v>
      </c>
      <c r="AS39" s="17" t="n">
        <v>7</v>
      </c>
      <c r="AT39" s="8">
        <f>SUM(AB39:AS39)</f>
        <v/>
      </c>
      <c r="AU39" s="8">
        <f>AU11</f>
        <v/>
      </c>
      <c r="AV39" s="8">
        <f>AT39-AU39</f>
        <v/>
      </c>
      <c r="AW39" s="8">
        <f>MAX(0,25-AV39)*1.0</f>
        <v/>
      </c>
      <c r="AX39" s="18">
        <f>AA39+AW39</f>
        <v/>
      </c>
    </row>
    <row r="40">
      <c r="A40" s="8" t="n">
        <v>28</v>
      </c>
      <c r="B40" t="inlineStr">
        <is>
          <t>Pedro Ferreira</t>
        </is>
      </c>
      <c r="C40" s="8" t="inlineStr">
        <is>
          <t>43810</t>
        </is>
      </c>
      <c r="D40" t="inlineStr">
        <is>
          <t>Oporto</t>
        </is>
      </c>
      <c r="E40" s="8" t="n">
        <v>0.2</v>
      </c>
      <c r="F40" s="17" t="n">
        <v>5</v>
      </c>
      <c r="G40" s="17" t="n">
        <v>4</v>
      </c>
      <c r="H40" s="17" t="n">
        <v>5</v>
      </c>
      <c r="I40" s="17" t="n">
        <v>5</v>
      </c>
      <c r="J40" s="17" t="n">
        <v>3</v>
      </c>
      <c r="K40" s="17" t="n">
        <v>4</v>
      </c>
      <c r="L40" s="17" t="n">
        <v>5</v>
      </c>
      <c r="M40" s="17" t="n">
        <v>4</v>
      </c>
      <c r="N40" s="17" t="n">
        <v>3</v>
      </c>
      <c r="O40" s="17" t="n">
        <v>6</v>
      </c>
      <c r="P40" s="17" t="n">
        <v>4</v>
      </c>
      <c r="Q40" s="17" t="n">
        <v>4</v>
      </c>
      <c r="R40" s="17" t="n">
        <v>6</v>
      </c>
      <c r="S40" s="17" t="n">
        <v>4</v>
      </c>
      <c r="T40" s="17" t="n">
        <v>5</v>
      </c>
      <c r="U40" s="17" t="n">
        <v>5</v>
      </c>
      <c r="V40" s="17" t="n">
        <v>4</v>
      </c>
      <c r="W40" s="17" t="n">
        <v>4</v>
      </c>
      <c r="X40" s="8">
        <f>SUM(F40:W40)</f>
        <v/>
      </c>
      <c r="Y40" s="8">
        <f>Y11</f>
        <v/>
      </c>
      <c r="Z40" s="8">
        <f>X40-Y40</f>
        <v/>
      </c>
      <c r="AA40" s="8">
        <f>MAX(0,25-Z40)*1.0</f>
        <v/>
      </c>
      <c r="AB40" s="17" t="n">
        <v>4</v>
      </c>
      <c r="AC40" s="17" t="n">
        <v>4</v>
      </c>
      <c r="AD40" s="17" t="n">
        <v>6</v>
      </c>
      <c r="AE40" s="17" t="n">
        <v>5</v>
      </c>
      <c r="AF40" s="17" t="n">
        <v>3</v>
      </c>
      <c r="AG40" s="17" t="n">
        <v>4</v>
      </c>
      <c r="AH40" s="17" t="n">
        <v>5</v>
      </c>
      <c r="AI40" s="17" t="n">
        <v>5</v>
      </c>
      <c r="AJ40" s="17" t="n">
        <v>4</v>
      </c>
      <c r="AK40" s="17" t="n">
        <v>5</v>
      </c>
      <c r="AL40" s="17" t="n">
        <v>4</v>
      </c>
      <c r="AM40" s="17" t="n">
        <v>3</v>
      </c>
      <c r="AN40" s="17" t="n">
        <v>5</v>
      </c>
      <c r="AO40" s="17" t="n">
        <v>4</v>
      </c>
      <c r="AP40" s="17" t="n">
        <v>5</v>
      </c>
      <c r="AQ40" s="17" t="n">
        <v>5</v>
      </c>
      <c r="AR40" s="17" t="n">
        <v>3</v>
      </c>
      <c r="AS40" s="17" t="n">
        <v>4</v>
      </c>
      <c r="AT40" s="8">
        <f>SUM(AB40:AS40)</f>
        <v/>
      </c>
      <c r="AU40" s="8">
        <f>AU11</f>
        <v/>
      </c>
      <c r="AV40" s="8">
        <f>AT40-AU40</f>
        <v/>
      </c>
      <c r="AW40" s="8">
        <f>MAX(0,25-AV40)*1.0</f>
        <v/>
      </c>
      <c r="AX40" s="18">
        <f>AA40+AW40</f>
        <v/>
      </c>
    </row>
    <row r="41">
      <c r="A41" s="8" t="n">
        <v>29</v>
      </c>
      <c r="B41" t="inlineStr">
        <is>
          <t>Angelina Gao</t>
        </is>
      </c>
      <c r="C41" s="8" t="inlineStr">
        <is>
          <t>51523</t>
        </is>
      </c>
      <c r="D41" t="inlineStr">
        <is>
          <t>Quinta do Peru</t>
        </is>
      </c>
      <c r="E41" s="8" t="n">
        <v>4.2</v>
      </c>
      <c r="F41" s="17" t="n">
        <v>5</v>
      </c>
      <c r="G41" s="17" t="n">
        <v>3</v>
      </c>
      <c r="H41" s="17" t="n">
        <v>6</v>
      </c>
      <c r="I41" s="17" t="n">
        <v>4</v>
      </c>
      <c r="J41" s="17" t="n">
        <v>3</v>
      </c>
      <c r="K41" s="17" t="n">
        <v>4</v>
      </c>
      <c r="L41" s="17" t="n">
        <v>5</v>
      </c>
      <c r="M41" s="17" t="n">
        <v>3</v>
      </c>
      <c r="N41" s="17" t="n">
        <v>5</v>
      </c>
      <c r="O41" s="17" t="n">
        <v>5</v>
      </c>
      <c r="P41" s="17" t="n">
        <v>3</v>
      </c>
      <c r="Q41" s="17" t="n">
        <v>5</v>
      </c>
      <c r="R41" s="17" t="n">
        <v>6</v>
      </c>
      <c r="S41" s="17" t="n">
        <v>5</v>
      </c>
      <c r="T41" s="17" t="n">
        <v>4</v>
      </c>
      <c r="U41" s="17" t="n">
        <v>6</v>
      </c>
      <c r="V41" s="17" t="n">
        <v>3</v>
      </c>
      <c r="W41" s="17" t="n">
        <v>5</v>
      </c>
      <c r="X41" s="8">
        <f>SUM(F41:W41)</f>
        <v/>
      </c>
      <c r="Y41" s="8">
        <f>Y11</f>
        <v/>
      </c>
      <c r="Z41" s="8">
        <f>X41-Y41</f>
        <v/>
      </c>
      <c r="AA41" s="8">
        <f>MAX(0,25-Z41)*1.0</f>
        <v/>
      </c>
      <c r="AB41" s="17" t="n">
        <v>5</v>
      </c>
      <c r="AC41" s="17" t="n">
        <v>5</v>
      </c>
      <c r="AD41" s="17" t="n">
        <v>5</v>
      </c>
      <c r="AE41" s="17" t="n">
        <v>4</v>
      </c>
      <c r="AF41" s="17" t="n">
        <v>3</v>
      </c>
      <c r="AG41" s="17" t="n">
        <v>5</v>
      </c>
      <c r="AH41" s="17" t="n">
        <v>7</v>
      </c>
      <c r="AI41" s="17" t="n">
        <v>4</v>
      </c>
      <c r="AJ41" s="17" t="n">
        <v>5</v>
      </c>
      <c r="AK41" s="17" t="n">
        <v>6</v>
      </c>
      <c r="AL41" s="17" t="n">
        <v>4</v>
      </c>
      <c r="AM41" s="17" t="n">
        <v>6</v>
      </c>
      <c r="AN41" s="17" t="n">
        <v>6</v>
      </c>
      <c r="AO41" s="17" t="n">
        <v>6</v>
      </c>
      <c r="AP41" s="17" t="n">
        <v>3</v>
      </c>
      <c r="AQ41" s="17" t="n">
        <v>5</v>
      </c>
      <c r="AR41" s="17" t="n">
        <v>4</v>
      </c>
      <c r="AS41" s="17" t="n">
        <v>5</v>
      </c>
      <c r="AT41" s="8">
        <f>SUM(AB41:AS41)</f>
        <v/>
      </c>
      <c r="AU41" s="8">
        <f>AU11</f>
        <v/>
      </c>
      <c r="AV41" s="8">
        <f>AT41-AU41</f>
        <v/>
      </c>
      <c r="AW41" s="8">
        <f>MAX(0,25-AV41)*1.0</f>
        <v/>
      </c>
      <c r="AX41" s="18">
        <f>AA41+AW41</f>
        <v/>
      </c>
    </row>
    <row r="42">
      <c r="A42" s="8" t="n">
        <v>30</v>
      </c>
      <c r="B42" t="inlineStr">
        <is>
          <t>Francisca Ferreira da Costa</t>
        </is>
      </c>
      <c r="C42" s="8" t="inlineStr">
        <is>
          <t>40981</t>
        </is>
      </c>
      <c r="D42" t="inlineStr">
        <is>
          <t>Miramar</t>
        </is>
      </c>
      <c r="E42" s="8" t="n">
        <v>-0.3</v>
      </c>
      <c r="F42" s="17" t="n">
        <v>5</v>
      </c>
      <c r="G42" s="17" t="n">
        <v>7</v>
      </c>
      <c r="H42" s="17" t="n">
        <v>6</v>
      </c>
      <c r="I42" s="17" t="n">
        <v>4</v>
      </c>
      <c r="J42" s="17" t="n">
        <v>3</v>
      </c>
      <c r="K42" s="17" t="n">
        <v>4</v>
      </c>
      <c r="L42" s="17" t="n">
        <v>4</v>
      </c>
      <c r="M42" s="17" t="n">
        <v>4</v>
      </c>
      <c r="N42" s="17" t="n">
        <v>4</v>
      </c>
      <c r="O42" s="17" t="n">
        <v>5</v>
      </c>
      <c r="P42" s="17" t="n">
        <v>4</v>
      </c>
      <c r="Q42" s="17" t="n">
        <v>3</v>
      </c>
      <c r="R42" s="17" t="n">
        <v>4</v>
      </c>
      <c r="S42" s="17" t="n">
        <v>4</v>
      </c>
      <c r="T42" s="17" t="n">
        <v>5</v>
      </c>
      <c r="U42" s="17" t="n">
        <v>6</v>
      </c>
      <c r="V42" s="17" t="n">
        <v>4</v>
      </c>
      <c r="W42" s="17" t="n">
        <v>5</v>
      </c>
      <c r="X42" s="8">
        <f>SUM(F42:W42)</f>
        <v/>
      </c>
      <c r="Y42" s="8">
        <f>Y11</f>
        <v/>
      </c>
      <c r="Z42" s="8">
        <f>X42-Y42</f>
        <v/>
      </c>
      <c r="AA42" s="8">
        <f>MAX(0,25-Z42)*1.0</f>
        <v/>
      </c>
      <c r="AB42" s="17" t="n">
        <v>4</v>
      </c>
      <c r="AC42" s="17" t="n">
        <v>4</v>
      </c>
      <c r="AD42" s="17" t="n">
        <v>7</v>
      </c>
      <c r="AE42" s="17" t="n">
        <v>5</v>
      </c>
      <c r="AF42" s="17" t="n">
        <v>3</v>
      </c>
      <c r="AG42" s="17" t="n">
        <v>4</v>
      </c>
      <c r="AH42" s="17" t="n">
        <v>5</v>
      </c>
      <c r="AI42" s="17" t="n">
        <v>3</v>
      </c>
      <c r="AJ42" s="17" t="n">
        <v>4</v>
      </c>
      <c r="AK42" s="17" t="n">
        <v>6</v>
      </c>
      <c r="AL42" s="17" t="n">
        <v>3</v>
      </c>
      <c r="AM42" s="17" t="n">
        <v>4</v>
      </c>
      <c r="AN42" s="17" t="n">
        <v>6</v>
      </c>
      <c r="AO42" s="17" t="n">
        <v>4</v>
      </c>
      <c r="AP42" s="17" t="n">
        <v>4</v>
      </c>
      <c r="AQ42" s="17" t="n">
        <v>6</v>
      </c>
      <c r="AR42" s="17" t="n">
        <v>5</v>
      </c>
      <c r="AS42" s="17" t="n">
        <v>4</v>
      </c>
      <c r="AT42" s="8">
        <f>SUM(AB42:AS42)</f>
        <v/>
      </c>
      <c r="AU42" s="8">
        <f>AU11</f>
        <v/>
      </c>
      <c r="AV42" s="8">
        <f>AT42-AU42</f>
        <v/>
      </c>
      <c r="AW42" s="8">
        <f>MAX(0,25-AV42)*1.0</f>
        <v/>
      </c>
      <c r="AX42" s="18">
        <f>AA42+AW42</f>
        <v/>
      </c>
    </row>
    <row r="43">
      <c r="A43" s="8" t="n">
        <v>31</v>
      </c>
      <c r="B43" t="inlineStr">
        <is>
          <t>Rodrigo Marques Santos</t>
        </is>
      </c>
      <c r="C43" s="8" t="inlineStr">
        <is>
          <t>37152</t>
        </is>
      </c>
      <c r="D43" t="inlineStr">
        <is>
          <t>Vilamoura, C. G</t>
        </is>
      </c>
      <c r="E43" s="8" t="n">
        <v>-1.7</v>
      </c>
      <c r="F43" s="17" t="n">
        <v>3</v>
      </c>
      <c r="G43" s="17" t="n">
        <v>4</v>
      </c>
      <c r="H43" s="17" t="n">
        <v>7</v>
      </c>
      <c r="I43" s="17" t="n">
        <v>4</v>
      </c>
      <c r="J43" s="17" t="n">
        <v>3</v>
      </c>
      <c r="K43" s="17" t="n">
        <v>4</v>
      </c>
      <c r="L43" s="17" t="n">
        <v>6</v>
      </c>
      <c r="M43" s="17" t="n">
        <v>4</v>
      </c>
      <c r="N43" s="17" t="n">
        <v>4</v>
      </c>
      <c r="O43" s="17" t="n">
        <v>6</v>
      </c>
      <c r="P43" s="17" t="n">
        <v>3</v>
      </c>
      <c r="Q43" s="17" t="n">
        <v>4</v>
      </c>
      <c r="R43" s="17" t="n">
        <v>9</v>
      </c>
      <c r="S43" s="17" t="n">
        <v>4</v>
      </c>
      <c r="T43" s="17" t="n">
        <v>3</v>
      </c>
      <c r="U43" s="17" t="n">
        <v>5</v>
      </c>
      <c r="V43" s="17" t="n">
        <v>4</v>
      </c>
      <c r="W43" s="17" t="n">
        <v>4</v>
      </c>
      <c r="X43" s="8">
        <f>SUM(F43:W43)</f>
        <v/>
      </c>
      <c r="Y43" s="8">
        <f>Y11</f>
        <v/>
      </c>
      <c r="Z43" s="8">
        <f>X43-Y43</f>
        <v/>
      </c>
      <c r="AA43" s="8">
        <f>MAX(0,25-Z43)*1.0</f>
        <v/>
      </c>
      <c r="AB43" s="17" t="n">
        <v>5</v>
      </c>
      <c r="AC43" s="17" t="n">
        <v>5</v>
      </c>
      <c r="AD43" s="17" t="n">
        <v>5</v>
      </c>
      <c r="AE43" s="17" t="n">
        <v>4</v>
      </c>
      <c r="AF43" s="17" t="n">
        <v>5</v>
      </c>
      <c r="AG43" s="17" t="n">
        <v>5</v>
      </c>
      <c r="AH43" s="17" t="n">
        <v>5</v>
      </c>
      <c r="AI43" s="17" t="n">
        <v>3</v>
      </c>
      <c r="AJ43" s="17" t="n">
        <v>4</v>
      </c>
      <c r="AK43" s="17" t="n">
        <v>5</v>
      </c>
      <c r="AL43" s="17" t="n">
        <v>4</v>
      </c>
      <c r="AM43" s="17" t="n">
        <v>4</v>
      </c>
      <c r="AN43" s="17" t="n">
        <v>6</v>
      </c>
      <c r="AO43" s="17" t="n">
        <v>3</v>
      </c>
      <c r="AP43" s="17" t="n">
        <v>4</v>
      </c>
      <c r="AQ43" s="17" t="n">
        <v>4</v>
      </c>
      <c r="AR43" s="17" t="n">
        <v>3</v>
      </c>
      <c r="AS43" s="17" t="n">
        <v>4</v>
      </c>
      <c r="AT43" s="8">
        <f>SUM(AB43:AS43)</f>
        <v/>
      </c>
      <c r="AU43" s="8">
        <f>AU11</f>
        <v/>
      </c>
      <c r="AV43" s="8">
        <f>AT43-AU43</f>
        <v/>
      </c>
      <c r="AW43" s="8">
        <f>MAX(0,25-AV43)*1.0</f>
        <v/>
      </c>
      <c r="AX43" s="18">
        <f>AA43+AW43</f>
        <v/>
      </c>
    </row>
    <row r="44">
      <c r="A44" s="8" t="n">
        <v>32</v>
      </c>
      <c r="B44" t="inlineStr">
        <is>
          <t>Camila Pazos</t>
        </is>
      </c>
      <c r="C44" s="8" t="inlineStr">
        <is>
          <t>46297</t>
        </is>
      </c>
      <c r="D44" t="inlineStr">
        <is>
          <t>Miramar</t>
        </is>
      </c>
      <c r="E44" s="8" t="n">
        <v>2.6</v>
      </c>
      <c r="F44" s="17" t="n">
        <v>4</v>
      </c>
      <c r="G44" s="17" t="n">
        <v>4</v>
      </c>
      <c r="H44" s="17" t="n">
        <v>5</v>
      </c>
      <c r="I44" s="17" t="n">
        <v>4</v>
      </c>
      <c r="J44" s="17" t="n">
        <v>3</v>
      </c>
      <c r="K44" s="17" t="n">
        <v>4</v>
      </c>
      <c r="L44" s="17" t="n">
        <v>6</v>
      </c>
      <c r="M44" s="17" t="n">
        <v>4</v>
      </c>
      <c r="N44" s="17" t="n">
        <v>4</v>
      </c>
      <c r="O44" s="17" t="n">
        <v>5</v>
      </c>
      <c r="P44" s="17" t="n">
        <v>3</v>
      </c>
      <c r="Q44" s="17" t="n">
        <v>4</v>
      </c>
      <c r="R44" s="17" t="n">
        <v>6</v>
      </c>
      <c r="S44" s="17" t="n">
        <v>5</v>
      </c>
      <c r="T44" s="17" t="n">
        <v>5</v>
      </c>
      <c r="U44" s="17" t="n">
        <v>4</v>
      </c>
      <c r="V44" s="17" t="n">
        <v>4</v>
      </c>
      <c r="W44" s="17" t="n">
        <v>7</v>
      </c>
      <c r="X44" s="8">
        <f>SUM(F44:W44)</f>
        <v/>
      </c>
      <c r="Y44" s="8">
        <f>Y11</f>
        <v/>
      </c>
      <c r="Z44" s="8">
        <f>X44-Y44</f>
        <v/>
      </c>
      <c r="AA44" s="8">
        <f>MAX(0,25-Z44)*1.0</f>
        <v/>
      </c>
      <c r="AB44" s="17" t="n">
        <v>5</v>
      </c>
      <c r="AC44" s="17" t="n">
        <v>4</v>
      </c>
      <c r="AD44" s="17" t="n">
        <v>5</v>
      </c>
      <c r="AE44" s="17" t="n">
        <v>5</v>
      </c>
      <c r="AF44" s="17" t="n">
        <v>5</v>
      </c>
      <c r="AG44" s="17" t="n">
        <v>6</v>
      </c>
      <c r="AH44" s="17" t="n">
        <v>6</v>
      </c>
      <c r="AI44" s="17" t="n">
        <v>3</v>
      </c>
      <c r="AJ44" s="17" t="n">
        <v>6</v>
      </c>
      <c r="AK44" s="17" t="n">
        <v>6</v>
      </c>
      <c r="AL44" s="17" t="n">
        <v>3</v>
      </c>
      <c r="AM44" s="17" t="n">
        <v>4</v>
      </c>
      <c r="AN44" s="17" t="n">
        <v>5</v>
      </c>
      <c r="AO44" s="17" t="n">
        <v>4</v>
      </c>
      <c r="AP44" s="17" t="n">
        <v>4</v>
      </c>
      <c r="AQ44" s="17" t="n">
        <v>5</v>
      </c>
      <c r="AR44" s="17" t="n">
        <v>3</v>
      </c>
      <c r="AS44" s="17" t="n">
        <v>4</v>
      </c>
      <c r="AT44" s="8">
        <f>SUM(AB44:AS44)</f>
        <v/>
      </c>
      <c r="AU44" s="8">
        <f>AU11</f>
        <v/>
      </c>
      <c r="AV44" s="8">
        <f>AT44-AU44</f>
        <v/>
      </c>
      <c r="AW44" s="8">
        <f>MAX(0,25-AV44)*1.0</f>
        <v/>
      </c>
      <c r="AX44" s="18">
        <f>AA44+AW44</f>
        <v/>
      </c>
    </row>
    <row r="45">
      <c r="A45" s="8" t="n">
        <v>33</v>
      </c>
      <c r="B45" t="inlineStr">
        <is>
          <t>Francisca Salgado</t>
        </is>
      </c>
      <c r="C45" s="8" t="inlineStr">
        <is>
          <t>43832</t>
        </is>
      </c>
      <c r="D45" t="inlineStr">
        <is>
          <t>Vale de Janelas</t>
        </is>
      </c>
      <c r="E45" s="8" t="n">
        <v>0.5</v>
      </c>
      <c r="F45" s="17" t="n">
        <v>5</v>
      </c>
      <c r="G45" s="17" t="n">
        <v>4</v>
      </c>
      <c r="H45" s="17" t="n">
        <v>6</v>
      </c>
      <c r="I45" s="17" t="n">
        <v>4</v>
      </c>
      <c r="J45" s="17" t="n">
        <v>4</v>
      </c>
      <c r="K45" s="17" t="n">
        <v>6</v>
      </c>
      <c r="L45" s="17" t="n">
        <v>6</v>
      </c>
      <c r="M45" s="17" t="n">
        <v>4</v>
      </c>
      <c r="N45" s="17" t="n">
        <v>4</v>
      </c>
      <c r="O45" s="17" t="n">
        <v>5</v>
      </c>
      <c r="P45" s="17" t="n">
        <v>4</v>
      </c>
      <c r="Q45" s="17" t="n">
        <v>4</v>
      </c>
      <c r="R45" s="17" t="n">
        <v>5</v>
      </c>
      <c r="S45" s="17" t="n">
        <v>4</v>
      </c>
      <c r="T45" s="17" t="n">
        <v>4</v>
      </c>
      <c r="U45" s="17" t="n">
        <v>6</v>
      </c>
      <c r="V45" s="17" t="n">
        <v>4</v>
      </c>
      <c r="W45" s="17" t="n">
        <v>3</v>
      </c>
      <c r="X45" s="8">
        <f>SUM(F45:W45)</f>
        <v/>
      </c>
      <c r="Y45" s="8">
        <f>Y11</f>
        <v/>
      </c>
      <c r="Z45" s="8">
        <f>X45-Y45</f>
        <v/>
      </c>
      <c r="AA45" s="8">
        <f>MAX(0,25-Z45)*1.0</f>
        <v/>
      </c>
      <c r="AB45" s="17" t="n">
        <v>3</v>
      </c>
      <c r="AC45" s="17" t="n">
        <v>5</v>
      </c>
      <c r="AD45" s="17" t="n">
        <v>6</v>
      </c>
      <c r="AE45" s="17" t="n">
        <v>3</v>
      </c>
      <c r="AF45" s="17" t="n">
        <v>4</v>
      </c>
      <c r="AG45" s="17" t="n">
        <v>4</v>
      </c>
      <c r="AH45" s="17" t="n">
        <v>6</v>
      </c>
      <c r="AI45" s="17" t="n">
        <v>3</v>
      </c>
      <c r="AJ45" s="17" t="n">
        <v>4</v>
      </c>
      <c r="AK45" s="17" t="n">
        <v>5</v>
      </c>
      <c r="AL45" s="17" t="n">
        <v>3</v>
      </c>
      <c r="AM45" s="17" t="n">
        <v>4</v>
      </c>
      <c r="AN45" s="17" t="n">
        <v>6</v>
      </c>
      <c r="AO45" s="17" t="n">
        <v>3</v>
      </c>
      <c r="AP45" s="17" t="n">
        <v>4</v>
      </c>
      <c r="AQ45" s="17" t="n">
        <v>5</v>
      </c>
      <c r="AR45" s="17" t="n">
        <v>3</v>
      </c>
      <c r="AS45" s="17" t="n">
        <v>5</v>
      </c>
      <c r="AT45" s="8">
        <f>SUM(AB45:AS45)</f>
        <v/>
      </c>
      <c r="AU45" s="8">
        <f>AU11</f>
        <v/>
      </c>
      <c r="AV45" s="8">
        <f>AT45-AU45</f>
        <v/>
      </c>
      <c r="AW45" s="8">
        <f>MAX(0,25-AV45)*1.0</f>
        <v/>
      </c>
      <c r="AX45" s="18">
        <f>AA45+AW45</f>
        <v/>
      </c>
    </row>
    <row r="46">
      <c r="A46" s="8" t="n">
        <v>34</v>
      </c>
      <c r="B46" t="inlineStr">
        <is>
          <t>Dinis Silva Rebelo</t>
        </is>
      </c>
      <c r="C46" s="8" t="inlineStr">
        <is>
          <t>36678</t>
        </is>
      </c>
      <c r="D46" t="inlineStr">
        <is>
          <t>Vilamoura, C. G</t>
        </is>
      </c>
      <c r="E46" s="8" t="n">
        <v>2.3</v>
      </c>
      <c r="F46" s="17" t="n">
        <v>4</v>
      </c>
      <c r="G46" s="17" t="n">
        <v>6</v>
      </c>
      <c r="H46" s="17" t="n">
        <v>9</v>
      </c>
      <c r="I46" s="17" t="n">
        <v>4</v>
      </c>
      <c r="J46" s="17" t="n">
        <v>4</v>
      </c>
      <c r="K46" s="17" t="n">
        <v>4</v>
      </c>
      <c r="L46" s="17" t="n">
        <v>5</v>
      </c>
      <c r="M46" s="17" t="n">
        <v>4</v>
      </c>
      <c r="N46" s="17" t="n">
        <v>3</v>
      </c>
      <c r="O46" s="17" t="n">
        <v>5</v>
      </c>
      <c r="P46" s="17" t="n">
        <v>3</v>
      </c>
      <c r="Q46" s="17" t="n">
        <v>4</v>
      </c>
      <c r="R46" s="17" t="n">
        <v>5</v>
      </c>
      <c r="S46" s="17" t="n">
        <v>4</v>
      </c>
      <c r="T46" s="17" t="n">
        <v>5</v>
      </c>
      <c r="U46" s="17" t="n">
        <v>5</v>
      </c>
      <c r="V46" s="17" t="n">
        <v>4</v>
      </c>
      <c r="W46" s="17" t="n">
        <v>4</v>
      </c>
      <c r="X46" s="8">
        <f>SUM(F46:W46)</f>
        <v/>
      </c>
      <c r="Y46" s="8">
        <f>Y11</f>
        <v/>
      </c>
      <c r="Z46" s="8">
        <f>X46-Y46</f>
        <v/>
      </c>
      <c r="AA46" s="8">
        <f>MAX(0,25-Z46)*1.0</f>
        <v/>
      </c>
      <c r="AB46" s="17" t="n">
        <v>4</v>
      </c>
      <c r="AC46" s="17" t="n">
        <v>6</v>
      </c>
      <c r="AD46" s="17" t="n">
        <v>5</v>
      </c>
      <c r="AE46" s="17" t="n">
        <v>4</v>
      </c>
      <c r="AF46" s="17" t="n">
        <v>3</v>
      </c>
      <c r="AG46" s="17" t="n">
        <v>4</v>
      </c>
      <c r="AH46" s="17" t="n">
        <v>6</v>
      </c>
      <c r="AI46" s="17" t="n">
        <v>3</v>
      </c>
      <c r="AJ46" s="17" t="n">
        <v>3</v>
      </c>
      <c r="AK46" s="17" t="n">
        <v>6</v>
      </c>
      <c r="AL46" s="17" t="n">
        <v>5</v>
      </c>
      <c r="AM46" s="17" t="n">
        <v>4</v>
      </c>
      <c r="AN46" s="17" t="n">
        <v>6</v>
      </c>
      <c r="AO46" s="17" t="n">
        <v>5</v>
      </c>
      <c r="AP46" s="17" t="n">
        <v>4</v>
      </c>
      <c r="AQ46" s="17" t="n">
        <v>5</v>
      </c>
      <c r="AR46" s="17" t="n">
        <v>3</v>
      </c>
      <c r="AS46" s="17" t="n">
        <v>5</v>
      </c>
      <c r="AT46" s="8">
        <f>SUM(AB46:AS46)</f>
        <v/>
      </c>
      <c r="AU46" s="8">
        <f>AU11</f>
        <v/>
      </c>
      <c r="AV46" s="8">
        <f>AT46-AU46</f>
        <v/>
      </c>
      <c r="AW46" s="8">
        <f>MAX(0,25-AV46)*1.0</f>
        <v/>
      </c>
      <c r="AX46" s="18">
        <f>AA46+AW46</f>
        <v/>
      </c>
    </row>
    <row r="47">
      <c r="A47" s="8" t="n">
        <v>35</v>
      </c>
      <c r="B47" t="inlineStr">
        <is>
          <t>Tomás Rente</t>
        </is>
      </c>
      <c r="C47" s="8" t="inlineStr">
        <is>
          <t>46311</t>
        </is>
      </c>
      <c r="D47" t="inlineStr">
        <is>
          <t>Miramar</t>
        </is>
      </c>
      <c r="E47" s="8" t="n">
        <v>5.5</v>
      </c>
      <c r="F47" s="17" t="n">
        <v>5</v>
      </c>
      <c r="G47" s="17" t="n">
        <v>5</v>
      </c>
      <c r="H47" s="17" t="n">
        <v>7</v>
      </c>
      <c r="I47" s="17" t="n">
        <v>5</v>
      </c>
      <c r="J47" s="17" t="n">
        <v>3</v>
      </c>
      <c r="K47" s="17" t="n">
        <v>4</v>
      </c>
      <c r="L47" s="17" t="n">
        <v>5</v>
      </c>
      <c r="M47" s="17" t="n">
        <v>4</v>
      </c>
      <c r="N47" s="17" t="n">
        <v>4</v>
      </c>
      <c r="O47" s="17" t="n">
        <v>6</v>
      </c>
      <c r="P47" s="17" t="n">
        <v>3</v>
      </c>
      <c r="Q47" s="17" t="n">
        <v>4</v>
      </c>
      <c r="R47" s="17" t="n">
        <v>5</v>
      </c>
      <c r="S47" s="17" t="n">
        <v>4</v>
      </c>
      <c r="T47" s="17" t="n">
        <v>6</v>
      </c>
      <c r="U47" s="17" t="n">
        <v>5</v>
      </c>
      <c r="V47" s="17" t="n">
        <v>3</v>
      </c>
      <c r="W47" s="17" t="n">
        <v>4</v>
      </c>
      <c r="X47" s="8">
        <f>SUM(F47:W47)</f>
        <v/>
      </c>
      <c r="Y47" s="8">
        <f>Y11</f>
        <v/>
      </c>
      <c r="Z47" s="8">
        <f>X47-Y47</f>
        <v/>
      </c>
      <c r="AA47" s="8">
        <f>MAX(0,25-Z47)*1.0</f>
        <v/>
      </c>
      <c r="AB47" s="17" t="n">
        <v>4</v>
      </c>
      <c r="AC47" s="17" t="n">
        <v>5</v>
      </c>
      <c r="AD47" s="17" t="n">
        <v>6</v>
      </c>
      <c r="AE47" s="17" t="n">
        <v>5</v>
      </c>
      <c r="AF47" s="17" t="n">
        <v>4</v>
      </c>
      <c r="AG47" s="17" t="n">
        <v>5</v>
      </c>
      <c r="AH47" s="17" t="n">
        <v>6</v>
      </c>
      <c r="AI47" s="17" t="n">
        <v>6</v>
      </c>
      <c r="AJ47" s="17" t="n">
        <v>4</v>
      </c>
      <c r="AK47" s="17" t="n">
        <v>5</v>
      </c>
      <c r="AL47" s="17" t="n">
        <v>3</v>
      </c>
      <c r="AM47" s="17" t="n">
        <v>4</v>
      </c>
      <c r="AN47" s="17" t="n">
        <v>5</v>
      </c>
      <c r="AO47" s="17" t="n">
        <v>4</v>
      </c>
      <c r="AP47" s="17" t="n">
        <v>4</v>
      </c>
      <c r="AQ47" s="17" t="n">
        <v>5</v>
      </c>
      <c r="AR47" s="17" t="n">
        <v>4</v>
      </c>
      <c r="AS47" s="17" t="n">
        <v>5</v>
      </c>
      <c r="AT47" s="8">
        <f>SUM(AB47:AS47)</f>
        <v/>
      </c>
      <c r="AU47" s="8">
        <f>AU11</f>
        <v/>
      </c>
      <c r="AV47" s="8">
        <f>AT47-AU47</f>
        <v/>
      </c>
      <c r="AW47" s="8">
        <f>MAX(0,25-AV47)*1.0</f>
        <v/>
      </c>
      <c r="AX47" s="18">
        <f>AA47+AW47</f>
        <v/>
      </c>
    </row>
    <row r="48">
      <c r="A48" s="8" t="n">
        <v>36</v>
      </c>
      <c r="B48" t="inlineStr">
        <is>
          <t>Santiago Dias</t>
        </is>
      </c>
      <c r="C48" s="8" t="inlineStr">
        <is>
          <t>42908</t>
        </is>
      </c>
      <c r="D48" t="inlineStr">
        <is>
          <t>Oporto</t>
        </is>
      </c>
      <c r="E48" s="8" t="n">
        <v>1.6</v>
      </c>
      <c r="F48" s="17" t="n">
        <v>4</v>
      </c>
      <c r="G48" s="17" t="n">
        <v>5</v>
      </c>
      <c r="H48" s="17" t="n">
        <v>8</v>
      </c>
      <c r="I48" s="17" t="n">
        <v>4</v>
      </c>
      <c r="J48" s="17" t="n">
        <v>3</v>
      </c>
      <c r="K48" s="17" t="n">
        <v>4</v>
      </c>
      <c r="L48" s="17" t="n">
        <v>5</v>
      </c>
      <c r="M48" s="17" t="n">
        <v>4</v>
      </c>
      <c r="N48" s="17" t="n">
        <v>5</v>
      </c>
      <c r="O48" s="17" t="n">
        <v>5</v>
      </c>
      <c r="P48" s="17" t="n">
        <v>3</v>
      </c>
      <c r="Q48" s="17" t="n">
        <v>5</v>
      </c>
      <c r="R48" s="17" t="n">
        <v>5</v>
      </c>
      <c r="S48" s="17" t="n">
        <v>4</v>
      </c>
      <c r="T48" s="17" t="n">
        <v>4</v>
      </c>
      <c r="U48" s="17" t="n">
        <v>5</v>
      </c>
      <c r="V48" s="17" t="n">
        <v>4</v>
      </c>
      <c r="W48" s="17" t="n">
        <v>5</v>
      </c>
      <c r="X48" s="8">
        <f>SUM(F48:W48)</f>
        <v/>
      </c>
      <c r="Y48" s="8">
        <f>Y11</f>
        <v/>
      </c>
      <c r="Z48" s="8">
        <f>X48-Y48</f>
        <v/>
      </c>
      <c r="AA48" s="8">
        <f>MAX(0,25-Z48)*1.0</f>
        <v/>
      </c>
      <c r="AB48" s="17" t="n">
        <v>4</v>
      </c>
      <c r="AC48" s="17" t="n">
        <v>4</v>
      </c>
      <c r="AD48" s="17" t="n">
        <v>5</v>
      </c>
      <c r="AE48" s="17" t="n">
        <v>4</v>
      </c>
      <c r="AF48" s="17" t="n">
        <v>3</v>
      </c>
      <c r="AG48" s="17" t="n">
        <v>6</v>
      </c>
      <c r="AH48" s="17" t="n">
        <v>6</v>
      </c>
      <c r="AI48" s="17" t="n">
        <v>3</v>
      </c>
      <c r="AJ48" s="17" t="n">
        <v>4</v>
      </c>
      <c r="AK48" s="17" t="n">
        <v>5</v>
      </c>
      <c r="AL48" s="17" t="n">
        <v>2</v>
      </c>
      <c r="AM48" s="17" t="n">
        <v>4</v>
      </c>
      <c r="AN48" s="17" t="n">
        <v>5</v>
      </c>
      <c r="AO48" s="17" t="n">
        <v>5</v>
      </c>
      <c r="AP48" s="17" t="n">
        <v>4</v>
      </c>
      <c r="AQ48" s="17" t="n">
        <v>5</v>
      </c>
      <c r="AR48" s="17" t="n">
        <v>4</v>
      </c>
      <c r="AS48" s="17" t="n">
        <v>5</v>
      </c>
      <c r="AT48" s="8">
        <f>SUM(AB48:AS48)</f>
        <v/>
      </c>
      <c r="AU48" s="8">
        <f>AU11</f>
        <v/>
      </c>
      <c r="AV48" s="8">
        <f>AT48-AU48</f>
        <v/>
      </c>
      <c r="AW48" s="8">
        <f>MAX(0,25-AV48)*1.0</f>
        <v/>
      </c>
      <c r="AX48" s="18">
        <f>AA48+AW48</f>
        <v/>
      </c>
    </row>
    <row r="49">
      <c r="A49" s="8" t="n">
        <v>37</v>
      </c>
      <c r="B49" t="inlineStr">
        <is>
          <t>Maria Francisca Santos</t>
        </is>
      </c>
      <c r="C49" s="8" t="inlineStr">
        <is>
          <t>46853</t>
        </is>
      </c>
      <c r="D49" t="inlineStr">
        <is>
          <t>Oporto</t>
        </is>
      </c>
      <c r="E49" s="8" t="n">
        <v>5.3</v>
      </c>
      <c r="F49" s="17" t="n">
        <v>5</v>
      </c>
      <c r="G49" s="17" t="n">
        <v>6</v>
      </c>
      <c r="H49" s="17" t="n">
        <v>6</v>
      </c>
      <c r="I49" s="17" t="n">
        <v>4</v>
      </c>
      <c r="J49" s="17" t="n">
        <v>4</v>
      </c>
      <c r="K49" s="17" t="n">
        <v>4</v>
      </c>
      <c r="L49" s="17" t="n">
        <v>5</v>
      </c>
      <c r="M49" s="17" t="n">
        <v>4</v>
      </c>
      <c r="N49" s="17" t="n">
        <v>4</v>
      </c>
      <c r="O49" s="17" t="n">
        <v>7</v>
      </c>
      <c r="P49" s="17" t="n">
        <v>3</v>
      </c>
      <c r="Q49" s="17" t="n">
        <v>3</v>
      </c>
      <c r="R49" s="17" t="n">
        <v>4</v>
      </c>
      <c r="S49" s="17" t="n">
        <v>4</v>
      </c>
      <c r="T49" s="17" t="n">
        <v>5</v>
      </c>
      <c r="U49" s="17" t="n">
        <v>4</v>
      </c>
      <c r="V49" s="17" t="n">
        <v>4</v>
      </c>
      <c r="W49" s="17" t="n">
        <v>6</v>
      </c>
      <c r="X49" s="8">
        <f>SUM(F49:W49)</f>
        <v/>
      </c>
      <c r="Y49" s="8">
        <f>Y11</f>
        <v/>
      </c>
      <c r="Z49" s="8">
        <f>X49-Y49</f>
        <v/>
      </c>
      <c r="AA49" s="8">
        <f>MAX(0,25-Z49)*1.0</f>
        <v/>
      </c>
      <c r="AB49" s="17" t="n">
        <v>4</v>
      </c>
      <c r="AC49" s="17" t="n">
        <v>5</v>
      </c>
      <c r="AD49" s="17" t="n">
        <v>5</v>
      </c>
      <c r="AE49" s="17" t="n">
        <v>4</v>
      </c>
      <c r="AF49" s="17" t="n">
        <v>4</v>
      </c>
      <c r="AG49" s="17" t="n">
        <v>5</v>
      </c>
      <c r="AH49" s="17" t="n">
        <v>5</v>
      </c>
      <c r="AI49" s="17" t="n">
        <v>4</v>
      </c>
      <c r="AJ49" s="17" t="n">
        <v>6</v>
      </c>
      <c r="AK49" s="17" t="n">
        <v>5</v>
      </c>
      <c r="AL49" s="17" t="n">
        <v>4</v>
      </c>
      <c r="AM49" s="17" t="n">
        <v>4</v>
      </c>
      <c r="AN49" s="17" t="n">
        <v>5</v>
      </c>
      <c r="AO49" s="17" t="n">
        <v>3</v>
      </c>
      <c r="AP49" s="17" t="n">
        <v>4</v>
      </c>
      <c r="AQ49" s="17" t="n">
        <v>5</v>
      </c>
      <c r="AR49" s="17" t="n">
        <v>2</v>
      </c>
      <c r="AS49" s="17" t="n">
        <v>4</v>
      </c>
      <c r="AT49" s="8">
        <f>SUM(AB49:AS49)</f>
        <v/>
      </c>
      <c r="AU49" s="8">
        <f>AU11</f>
        <v/>
      </c>
      <c r="AV49" s="8">
        <f>AT49-AU49</f>
        <v/>
      </c>
      <c r="AW49" s="8">
        <f>MAX(0,25-AV49)*1.0</f>
        <v/>
      </c>
      <c r="AX49" s="18">
        <f>AA49+AW49</f>
        <v/>
      </c>
    </row>
    <row r="50">
      <c r="A50" s="8" t="n">
        <v>38</v>
      </c>
      <c r="B50" t="inlineStr">
        <is>
          <t>João Setúbal</t>
        </is>
      </c>
      <c r="C50" s="8" t="inlineStr">
        <is>
          <t>43732</t>
        </is>
      </c>
      <c r="D50" t="inlineStr">
        <is>
          <t>Quinta do Peru</t>
        </is>
      </c>
      <c r="E50" s="8" t="n">
        <v>0.6</v>
      </c>
      <c r="F50" s="17" t="n">
        <v>4</v>
      </c>
      <c r="G50" s="17" t="n">
        <v>4</v>
      </c>
      <c r="H50" s="17" t="n">
        <v>5</v>
      </c>
      <c r="I50" s="17" t="n">
        <v>4</v>
      </c>
      <c r="J50" s="17" t="n">
        <v>4</v>
      </c>
      <c r="K50" s="17" t="n">
        <v>5</v>
      </c>
      <c r="L50" s="17" t="n">
        <v>9</v>
      </c>
      <c r="M50" s="17" t="n">
        <v>3</v>
      </c>
      <c r="N50" s="17" t="n">
        <v>4</v>
      </c>
      <c r="O50" s="17" t="n">
        <v>6</v>
      </c>
      <c r="P50" s="17" t="n">
        <v>3</v>
      </c>
      <c r="Q50" s="17" t="n">
        <v>3</v>
      </c>
      <c r="R50" s="17" t="n">
        <v>5</v>
      </c>
      <c r="S50" s="17" t="n">
        <v>5</v>
      </c>
      <c r="T50" s="17" t="n">
        <v>4</v>
      </c>
      <c r="U50" s="17" t="n">
        <v>6</v>
      </c>
      <c r="V50" s="17" t="n">
        <v>3</v>
      </c>
      <c r="W50" s="17" t="n">
        <v>5</v>
      </c>
      <c r="X50" s="8">
        <f>SUM(F50:W50)</f>
        <v/>
      </c>
      <c r="Y50" s="8">
        <f>Y11</f>
        <v/>
      </c>
      <c r="Z50" s="8">
        <f>X50-Y50</f>
        <v/>
      </c>
      <c r="AA50" s="8">
        <f>MAX(0,25-Z50)*1.0</f>
        <v/>
      </c>
      <c r="AB50" s="17" t="n">
        <v>5</v>
      </c>
      <c r="AC50" s="17" t="n">
        <v>4</v>
      </c>
      <c r="AD50" s="17" t="n">
        <v>5</v>
      </c>
      <c r="AE50" s="17" t="n">
        <v>4</v>
      </c>
      <c r="AF50" s="17" t="n">
        <v>3</v>
      </c>
      <c r="AG50" s="17" t="n">
        <v>5</v>
      </c>
      <c r="AH50" s="17" t="n">
        <v>5</v>
      </c>
      <c r="AI50" s="17" t="n">
        <v>4</v>
      </c>
      <c r="AJ50" s="17" t="n">
        <v>4</v>
      </c>
      <c r="AK50" s="17" t="n">
        <v>5</v>
      </c>
      <c r="AL50" s="17" t="n">
        <v>5</v>
      </c>
      <c r="AM50" s="17" t="n">
        <v>4</v>
      </c>
      <c r="AN50" s="17" t="n">
        <v>6</v>
      </c>
      <c r="AO50" s="17" t="n">
        <v>6</v>
      </c>
      <c r="AP50" s="17" t="n">
        <v>5</v>
      </c>
      <c r="AQ50" s="17" t="n">
        <v>4</v>
      </c>
      <c r="AR50" s="17" t="n">
        <v>3</v>
      </c>
      <c r="AS50" s="17" t="n">
        <v>4</v>
      </c>
      <c r="AT50" s="8">
        <f>SUM(AB50:AS50)</f>
        <v/>
      </c>
      <c r="AU50" s="8">
        <f>AU11</f>
        <v/>
      </c>
      <c r="AV50" s="8">
        <f>AT50-AU50</f>
        <v/>
      </c>
      <c r="AW50" s="8">
        <f>MAX(0,25-AV50)*1.0</f>
        <v/>
      </c>
      <c r="AX50" s="18">
        <f>AA50+AW50</f>
        <v/>
      </c>
    </row>
    <row r="51">
      <c r="A51" s="8" t="n">
        <v>39</v>
      </c>
      <c r="B51" t="inlineStr">
        <is>
          <t>Francisco Nunes (jr)</t>
        </is>
      </c>
      <c r="C51" s="8" t="inlineStr">
        <is>
          <t>46299</t>
        </is>
      </c>
      <c r="D51" t="inlineStr">
        <is>
          <t>Miramar</t>
        </is>
      </c>
      <c r="E51" s="8" t="n">
        <v>5.9</v>
      </c>
      <c r="F51" s="17" t="n">
        <v>4</v>
      </c>
      <c r="G51" s="17" t="n">
        <v>4</v>
      </c>
      <c r="H51" s="17" t="n">
        <v>7</v>
      </c>
      <c r="I51" s="17" t="n">
        <v>5</v>
      </c>
      <c r="J51" s="17" t="n">
        <v>3</v>
      </c>
      <c r="K51" s="17" t="n">
        <v>5</v>
      </c>
      <c r="L51" s="17" t="n">
        <v>5</v>
      </c>
      <c r="M51" s="17" t="n">
        <v>4</v>
      </c>
      <c r="N51" s="17" t="n">
        <v>4</v>
      </c>
      <c r="O51" s="17" t="n">
        <v>5</v>
      </c>
      <c r="P51" s="17" t="n">
        <v>3</v>
      </c>
      <c r="Q51" s="17" t="n">
        <v>5</v>
      </c>
      <c r="R51" s="17" t="n">
        <v>7</v>
      </c>
      <c r="S51" s="17" t="n">
        <v>4</v>
      </c>
      <c r="T51" s="17" t="n">
        <v>4</v>
      </c>
      <c r="U51" s="17" t="n">
        <v>5</v>
      </c>
      <c r="V51" s="17" t="n">
        <v>3</v>
      </c>
      <c r="W51" s="17" t="n">
        <v>5</v>
      </c>
      <c r="X51" s="8">
        <f>SUM(F51:W51)</f>
        <v/>
      </c>
      <c r="Y51" s="8">
        <f>Y11</f>
        <v/>
      </c>
      <c r="Z51" s="8">
        <f>X51-Y51</f>
        <v/>
      </c>
      <c r="AA51" s="8">
        <f>MAX(0,25-Z51)*1.0</f>
        <v/>
      </c>
      <c r="AB51" s="17" t="n">
        <v>4</v>
      </c>
      <c r="AC51" s="17" t="n">
        <v>4</v>
      </c>
      <c r="AD51" s="17" t="n">
        <v>6</v>
      </c>
      <c r="AE51" s="17" t="n">
        <v>4</v>
      </c>
      <c r="AF51" s="17" t="n">
        <v>3</v>
      </c>
      <c r="AG51" s="17" t="n">
        <v>5</v>
      </c>
      <c r="AH51" s="17" t="n">
        <v>7</v>
      </c>
      <c r="AI51" s="17" t="n">
        <v>3</v>
      </c>
      <c r="AJ51" s="17" t="n">
        <v>5</v>
      </c>
      <c r="AK51" s="17" t="n">
        <v>6</v>
      </c>
      <c r="AL51" s="17" t="n">
        <v>5</v>
      </c>
      <c r="AM51" s="17" t="n">
        <v>4</v>
      </c>
      <c r="AN51" s="17" t="n">
        <v>6</v>
      </c>
      <c r="AO51" s="17" t="n">
        <v>4</v>
      </c>
      <c r="AP51" s="17" t="n">
        <v>4</v>
      </c>
      <c r="AQ51" s="17" t="n">
        <v>6</v>
      </c>
      <c r="AR51" s="17" t="n">
        <v>4</v>
      </c>
      <c r="AS51" s="17" t="n">
        <v>5</v>
      </c>
      <c r="AT51" s="8">
        <f>SUM(AB51:AS51)</f>
        <v/>
      </c>
      <c r="AU51" s="8">
        <f>AU11</f>
        <v/>
      </c>
      <c r="AV51" s="8">
        <f>AT51-AU51</f>
        <v/>
      </c>
      <c r="AW51" s="8">
        <f>MAX(0,25-AV51)*1.0</f>
        <v/>
      </c>
      <c r="AX51" s="18">
        <f>AA51+AW51</f>
        <v/>
      </c>
    </row>
    <row r="52">
      <c r="A52" s="8" t="n">
        <v>40</v>
      </c>
      <c r="B52" t="inlineStr">
        <is>
          <t>João Santos</t>
        </is>
      </c>
      <c r="C52" s="8" t="inlineStr">
        <is>
          <t>40645</t>
        </is>
      </c>
      <c r="D52" t="inlineStr">
        <is>
          <t>PXO Clube</t>
        </is>
      </c>
      <c r="E52" s="8" t="n">
        <v>2.1</v>
      </c>
      <c r="F52" s="17" t="n">
        <v>4</v>
      </c>
      <c r="G52" s="17" t="n">
        <v>5</v>
      </c>
      <c r="H52" s="17" t="n">
        <v>6</v>
      </c>
      <c r="I52" s="17" t="n">
        <v>4</v>
      </c>
      <c r="J52" s="17" t="n">
        <v>5</v>
      </c>
      <c r="K52" s="17" t="n">
        <v>5</v>
      </c>
      <c r="L52" s="17" t="n">
        <v>4</v>
      </c>
      <c r="M52" s="17" t="n">
        <v>3</v>
      </c>
      <c r="N52" s="17" t="n">
        <v>4</v>
      </c>
      <c r="O52" s="17" t="n">
        <v>6</v>
      </c>
      <c r="P52" s="17" t="n">
        <v>3</v>
      </c>
      <c r="Q52" s="17" t="n">
        <v>4</v>
      </c>
      <c r="R52" s="17" t="n">
        <v>7</v>
      </c>
      <c r="S52" s="17" t="n">
        <v>4</v>
      </c>
      <c r="T52" s="17" t="n">
        <v>5</v>
      </c>
      <c r="U52" s="17" t="n">
        <v>5</v>
      </c>
      <c r="V52" s="17" t="n">
        <v>4</v>
      </c>
      <c r="W52" s="17" t="n">
        <v>4</v>
      </c>
      <c r="X52" s="8">
        <f>SUM(F52:W52)</f>
        <v/>
      </c>
      <c r="Y52" s="8">
        <f>Y11</f>
        <v/>
      </c>
      <c r="Z52" s="8">
        <f>X52-Y52</f>
        <v/>
      </c>
      <c r="AA52" s="8">
        <f>MAX(0,25-Z52)*1.0</f>
        <v/>
      </c>
      <c r="AB52" s="17" t="n">
        <v>4</v>
      </c>
      <c r="AC52" s="17" t="n">
        <v>5</v>
      </c>
      <c r="AD52" s="17" t="n">
        <v>5</v>
      </c>
      <c r="AE52" s="17" t="n">
        <v>6</v>
      </c>
      <c r="AF52" s="17" t="n">
        <v>3</v>
      </c>
      <c r="AG52" s="17" t="n">
        <v>5</v>
      </c>
      <c r="AH52" s="17" t="n">
        <v>8</v>
      </c>
      <c r="AI52" s="17" t="n">
        <v>4</v>
      </c>
      <c r="AJ52" s="17" t="n">
        <v>5</v>
      </c>
      <c r="AK52" s="17" t="n">
        <v>5</v>
      </c>
      <c r="AL52" s="17" t="n">
        <v>3</v>
      </c>
      <c r="AM52" s="17" t="n">
        <v>4</v>
      </c>
      <c r="AN52" s="17" t="n">
        <v>4</v>
      </c>
      <c r="AO52" s="17" t="n">
        <v>5</v>
      </c>
      <c r="AP52" s="17" t="n">
        <v>6</v>
      </c>
      <c r="AQ52" s="17" t="n">
        <v>6</v>
      </c>
      <c r="AR52" s="17" t="n">
        <v>6</v>
      </c>
      <c r="AS52" s="17" t="n">
        <v>5</v>
      </c>
      <c r="AT52" s="8">
        <f>SUM(AB52:AS52)</f>
        <v/>
      </c>
      <c r="AU52" s="8">
        <f>AU11</f>
        <v/>
      </c>
      <c r="AV52" s="8">
        <f>AT52-AU52</f>
        <v/>
      </c>
      <c r="AW52" s="8">
        <f>MAX(0,25-AV52)*1.0</f>
        <v/>
      </c>
      <c r="AX52" s="18">
        <f>AA52+AW52</f>
        <v/>
      </c>
    </row>
    <row r="53">
      <c r="A53" s="8" t="n">
        <v>41</v>
      </c>
      <c r="B53" t="inlineStr">
        <is>
          <t>Guilherme Grabner Moreira</t>
        </is>
      </c>
      <c r="C53" s="8" t="inlineStr">
        <is>
          <t>42205</t>
        </is>
      </c>
      <c r="D53" t="inlineStr">
        <is>
          <t>Oporto</t>
        </is>
      </c>
      <c r="E53" s="8" t="n">
        <v>0.5</v>
      </c>
      <c r="F53" s="17" t="n">
        <v>4</v>
      </c>
      <c r="G53" s="17" t="n">
        <v>4</v>
      </c>
      <c r="H53" s="17" t="n">
        <v>5</v>
      </c>
      <c r="I53" s="17" t="n">
        <v>6</v>
      </c>
      <c r="J53" s="17" t="n">
        <v>3</v>
      </c>
      <c r="K53" s="17" t="n">
        <v>4</v>
      </c>
      <c r="L53" s="17" t="n">
        <v>7</v>
      </c>
      <c r="M53" s="17" t="n">
        <v>3</v>
      </c>
      <c r="N53" s="17" t="n">
        <v>4</v>
      </c>
      <c r="O53" s="17" t="n">
        <v>5</v>
      </c>
      <c r="P53" s="17" t="n">
        <v>4</v>
      </c>
      <c r="Q53" s="17" t="n">
        <v>4</v>
      </c>
      <c r="R53" s="17" t="n">
        <v>5</v>
      </c>
      <c r="S53" s="17" t="n">
        <v>5</v>
      </c>
      <c r="T53" s="17" t="n">
        <v>4</v>
      </c>
      <c r="U53" s="17" t="n">
        <v>5</v>
      </c>
      <c r="V53" s="17" t="n">
        <v>4</v>
      </c>
      <c r="W53" s="17" t="n">
        <v>6</v>
      </c>
      <c r="X53" s="8">
        <f>SUM(F53:W53)</f>
        <v/>
      </c>
      <c r="Y53" s="8">
        <f>Y11</f>
        <v/>
      </c>
      <c r="Z53" s="8">
        <f>X53-Y53</f>
        <v/>
      </c>
      <c r="AA53" s="8">
        <f>MAX(0,25-Z53)*1.0</f>
        <v/>
      </c>
      <c r="AB53" s="17" t="n">
        <v>4</v>
      </c>
      <c r="AC53" s="17" t="n">
        <v>4</v>
      </c>
      <c r="AD53" s="17" t="n">
        <v>6</v>
      </c>
      <c r="AE53" s="17" t="n">
        <v>5</v>
      </c>
      <c r="AF53" s="17" t="n">
        <v>4</v>
      </c>
      <c r="AG53" s="17" t="n">
        <v>5</v>
      </c>
      <c r="AH53" s="17" t="n">
        <v>6</v>
      </c>
      <c r="AI53" s="17" t="n">
        <v>4</v>
      </c>
      <c r="AJ53" s="17" t="n">
        <v>5</v>
      </c>
      <c r="AK53" s="17" t="n">
        <v>6</v>
      </c>
      <c r="AL53" s="17" t="n">
        <v>4</v>
      </c>
      <c r="AM53" s="17" t="n">
        <v>6</v>
      </c>
      <c r="AN53" s="17" t="n">
        <v>5</v>
      </c>
      <c r="AO53" s="17" t="n">
        <v>4</v>
      </c>
      <c r="AP53" s="17" t="n">
        <v>4</v>
      </c>
      <c r="AQ53" s="17" t="n">
        <v>5</v>
      </c>
      <c r="AR53" s="17" t="n">
        <v>3</v>
      </c>
      <c r="AS53" s="17" t="n">
        <v>4</v>
      </c>
      <c r="AT53" s="8">
        <f>SUM(AB53:AS53)</f>
        <v/>
      </c>
      <c r="AU53" s="8">
        <f>AU11</f>
        <v/>
      </c>
      <c r="AV53" s="8">
        <f>AT53-AU53</f>
        <v/>
      </c>
      <c r="AW53" s="8">
        <f>MAX(0,25-AV53)*1.0</f>
        <v/>
      </c>
      <c r="AX53" s="18">
        <f>AA53+AW53</f>
        <v/>
      </c>
    </row>
    <row r="54">
      <c r="A54" s="8" t="n">
        <v>42</v>
      </c>
      <c r="B54" t="inlineStr">
        <is>
          <t>Sebastiao Sardinha Saraiva</t>
        </is>
      </c>
      <c r="C54" s="8" t="inlineStr">
        <is>
          <t>46195</t>
        </is>
      </c>
      <c r="D54" t="inlineStr">
        <is>
          <t>Oporto</t>
        </is>
      </c>
      <c r="E54" s="8" t="n">
        <v>5.8</v>
      </c>
      <c r="F54" s="17" t="n">
        <v>5</v>
      </c>
      <c r="G54" s="17" t="n">
        <v>5</v>
      </c>
      <c r="H54" s="17" t="n">
        <v>5</v>
      </c>
      <c r="I54" s="17" t="n">
        <v>4</v>
      </c>
      <c r="J54" s="17" t="n">
        <v>4</v>
      </c>
      <c r="K54" s="17" t="n">
        <v>6</v>
      </c>
      <c r="L54" s="17" t="n">
        <v>6</v>
      </c>
      <c r="M54" s="17" t="n">
        <v>4</v>
      </c>
      <c r="N54" s="17" t="n">
        <v>4</v>
      </c>
      <c r="O54" s="17" t="n">
        <v>6</v>
      </c>
      <c r="P54" s="17" t="n">
        <v>3</v>
      </c>
      <c r="Q54" s="17" t="n">
        <v>4</v>
      </c>
      <c r="R54" s="17" t="n">
        <v>4</v>
      </c>
      <c r="S54" s="17" t="n">
        <v>4</v>
      </c>
      <c r="T54" s="17" t="n">
        <v>5</v>
      </c>
      <c r="U54" s="17" t="n">
        <v>7</v>
      </c>
      <c r="V54" s="17" t="n">
        <v>3</v>
      </c>
      <c r="W54" s="17" t="n">
        <v>4</v>
      </c>
      <c r="X54" s="8">
        <f>SUM(F54:W54)</f>
        <v/>
      </c>
      <c r="Y54" s="8">
        <f>Y11</f>
        <v/>
      </c>
      <c r="Z54" s="8">
        <f>X54-Y54</f>
        <v/>
      </c>
      <c r="AA54" s="8">
        <f>MAX(0,25-Z54)*1.0</f>
        <v/>
      </c>
      <c r="AB54" s="17" t="n">
        <v>5</v>
      </c>
      <c r="AC54" s="17" t="n">
        <v>4</v>
      </c>
      <c r="AD54" s="17" t="n">
        <v>5</v>
      </c>
      <c r="AE54" s="17" t="n">
        <v>5</v>
      </c>
      <c r="AF54" s="17" t="n">
        <v>3</v>
      </c>
      <c r="AG54" s="17" t="n">
        <v>5</v>
      </c>
      <c r="AH54" s="17" t="n">
        <v>6</v>
      </c>
      <c r="AI54" s="17" t="n">
        <v>4</v>
      </c>
      <c r="AJ54" s="17" t="n">
        <v>5</v>
      </c>
      <c r="AK54" s="17" t="n">
        <v>5</v>
      </c>
      <c r="AL54" s="17" t="n">
        <v>4</v>
      </c>
      <c r="AM54" s="17" t="n">
        <v>4</v>
      </c>
      <c r="AN54" s="17" t="n">
        <v>6</v>
      </c>
      <c r="AO54" s="17" t="n">
        <v>4</v>
      </c>
      <c r="AP54" s="17" t="n">
        <v>5</v>
      </c>
      <c r="AQ54" s="17" t="n">
        <v>4</v>
      </c>
      <c r="AR54" s="17" t="n">
        <v>3</v>
      </c>
      <c r="AS54" s="17" t="n">
        <v>5</v>
      </c>
      <c r="AT54" s="8">
        <f>SUM(AB54:AS54)</f>
        <v/>
      </c>
      <c r="AU54" s="8">
        <f>AU11</f>
        <v/>
      </c>
      <c r="AV54" s="8">
        <f>AT54-AU54</f>
        <v/>
      </c>
      <c r="AW54" s="8">
        <f>MAX(0,25-AV54)*1.0</f>
        <v/>
      </c>
      <c r="AX54" s="18">
        <f>AA54+AW54</f>
        <v/>
      </c>
    </row>
    <row r="55">
      <c r="A55" s="8" t="n">
        <v>43</v>
      </c>
      <c r="B55" t="inlineStr">
        <is>
          <t>Pedro Costa Alemão</t>
        </is>
      </c>
      <c r="C55" s="8" t="inlineStr">
        <is>
          <t>46706</t>
        </is>
      </c>
      <c r="D55" t="inlineStr">
        <is>
          <t>Estoril</t>
        </is>
      </c>
      <c r="E55" s="8" t="n">
        <v>4</v>
      </c>
      <c r="F55" s="17" t="n">
        <v>4</v>
      </c>
      <c r="G55" s="17" t="n">
        <v>8</v>
      </c>
      <c r="H55" s="17" t="n">
        <v>5</v>
      </c>
      <c r="I55" s="17" t="n">
        <v>6</v>
      </c>
      <c r="J55" s="17" t="n">
        <v>4</v>
      </c>
      <c r="K55" s="17" t="n">
        <v>4</v>
      </c>
      <c r="L55" s="17" t="n">
        <v>4</v>
      </c>
      <c r="M55" s="17" t="n">
        <v>3</v>
      </c>
      <c r="N55" s="17" t="n">
        <v>4</v>
      </c>
      <c r="O55" s="17" t="n">
        <v>5</v>
      </c>
      <c r="P55" s="17" t="n">
        <v>4</v>
      </c>
      <c r="Q55" s="17" t="n">
        <v>3</v>
      </c>
      <c r="R55" s="17" t="n">
        <v>5</v>
      </c>
      <c r="S55" s="17" t="n">
        <v>4</v>
      </c>
      <c r="T55" s="17" t="n">
        <v>5</v>
      </c>
      <c r="U55" s="17" t="n">
        <v>7</v>
      </c>
      <c r="V55" s="17" t="n">
        <v>4</v>
      </c>
      <c r="W55" s="17" t="n">
        <v>4</v>
      </c>
      <c r="X55" s="8">
        <f>SUM(F55:W55)</f>
        <v/>
      </c>
      <c r="Y55" s="8">
        <f>Y11</f>
        <v/>
      </c>
      <c r="Z55" s="8">
        <f>X55-Y55</f>
        <v/>
      </c>
      <c r="AA55" s="8">
        <f>MAX(0,25-Z55)*1.0</f>
        <v/>
      </c>
      <c r="AB55" s="17" t="n">
        <v>5</v>
      </c>
      <c r="AC55" s="17" t="n">
        <v>5</v>
      </c>
      <c r="AD55" s="17" t="n">
        <v>5</v>
      </c>
      <c r="AE55" s="17" t="n">
        <v>5</v>
      </c>
      <c r="AF55" s="17" t="n">
        <v>3</v>
      </c>
      <c r="AG55" s="17" t="n">
        <v>5</v>
      </c>
      <c r="AH55" s="17" t="n">
        <v>5</v>
      </c>
      <c r="AI55" s="17" t="n">
        <v>4</v>
      </c>
      <c r="AJ55" s="17" t="n">
        <v>4</v>
      </c>
      <c r="AK55" s="17" t="n">
        <v>6</v>
      </c>
      <c r="AL55" s="17" t="n">
        <v>3</v>
      </c>
      <c r="AM55" s="17" t="n">
        <v>4</v>
      </c>
      <c r="AN55" s="17" t="n">
        <v>7</v>
      </c>
      <c r="AO55" s="17" t="n">
        <v>4</v>
      </c>
      <c r="AP55" s="17" t="n">
        <v>4</v>
      </c>
      <c r="AQ55" s="17" t="n">
        <v>5</v>
      </c>
      <c r="AR55" s="17" t="n">
        <v>3</v>
      </c>
      <c r="AS55" s="17" t="n">
        <v>5</v>
      </c>
      <c r="AT55" s="8">
        <f>SUM(AB55:AS55)</f>
        <v/>
      </c>
      <c r="AU55" s="8">
        <f>AU11</f>
        <v/>
      </c>
      <c r="AV55" s="8">
        <f>AT55-AU55</f>
        <v/>
      </c>
      <c r="AW55" s="8">
        <f>MAX(0,25-AV55)*1.0</f>
        <v/>
      </c>
      <c r="AX55" s="18">
        <f>AA55+AW55</f>
        <v/>
      </c>
    </row>
    <row r="56">
      <c r="A56" s="8" t="n">
        <v>44</v>
      </c>
      <c r="B56" t="inlineStr">
        <is>
          <t>Martim Sousa de Morais</t>
        </is>
      </c>
      <c r="C56" s="8" t="inlineStr">
        <is>
          <t>41609</t>
        </is>
      </c>
      <c r="D56" t="inlineStr">
        <is>
          <t>Belas</t>
        </is>
      </c>
      <c r="E56" s="8" t="n">
        <v>4.5</v>
      </c>
      <c r="F56" s="17" t="n">
        <v>4</v>
      </c>
      <c r="G56" s="17" t="n">
        <v>5</v>
      </c>
      <c r="H56" s="17" t="n">
        <v>6</v>
      </c>
      <c r="I56" s="17" t="n">
        <v>4</v>
      </c>
      <c r="J56" s="17" t="n">
        <v>3</v>
      </c>
      <c r="K56" s="17" t="n">
        <v>4</v>
      </c>
      <c r="L56" s="17" t="n">
        <v>6</v>
      </c>
      <c r="M56" s="17" t="n">
        <v>4</v>
      </c>
      <c r="N56" s="17" t="n">
        <v>5</v>
      </c>
      <c r="O56" s="17" t="n">
        <v>7</v>
      </c>
      <c r="P56" s="17" t="n">
        <v>3</v>
      </c>
      <c r="Q56" s="17" t="n">
        <v>4</v>
      </c>
      <c r="R56" s="17" t="n">
        <v>5</v>
      </c>
      <c r="S56" s="17" t="n">
        <v>6</v>
      </c>
      <c r="T56" s="17" t="n">
        <v>5</v>
      </c>
      <c r="U56" s="17" t="n">
        <v>5</v>
      </c>
      <c r="V56" s="17" t="n">
        <v>2</v>
      </c>
      <c r="W56" s="17" t="n">
        <v>5</v>
      </c>
      <c r="X56" s="8">
        <f>SUM(F56:W56)</f>
        <v/>
      </c>
      <c r="Y56" s="8">
        <f>Y11</f>
        <v/>
      </c>
      <c r="Z56" s="8">
        <f>X56-Y56</f>
        <v/>
      </c>
      <c r="AA56" s="8">
        <f>MAX(0,25-Z56)*1.0</f>
        <v/>
      </c>
      <c r="AB56" s="17" t="n">
        <v>4</v>
      </c>
      <c r="AC56" s="17" t="n">
        <v>6</v>
      </c>
      <c r="AD56" s="17" t="n">
        <v>6</v>
      </c>
      <c r="AE56" s="17" t="n">
        <v>5</v>
      </c>
      <c r="AF56" s="17" t="n">
        <v>3</v>
      </c>
      <c r="AG56" s="17" t="n">
        <v>5</v>
      </c>
      <c r="AH56" s="17" t="n">
        <v>5</v>
      </c>
      <c r="AI56" s="17" t="n">
        <v>4</v>
      </c>
      <c r="AJ56" s="17" t="n">
        <v>4</v>
      </c>
      <c r="AK56" s="17" t="n">
        <v>6</v>
      </c>
      <c r="AL56" s="17" t="n">
        <v>3</v>
      </c>
      <c r="AM56" s="17" t="n">
        <v>5</v>
      </c>
      <c r="AN56" s="17" t="n">
        <v>5</v>
      </c>
      <c r="AO56" s="17" t="n">
        <v>4</v>
      </c>
      <c r="AP56" s="17" t="n">
        <v>4</v>
      </c>
      <c r="AQ56" s="17" t="n">
        <v>4</v>
      </c>
      <c r="AR56" s="17" t="n">
        <v>4</v>
      </c>
      <c r="AS56" s="17" t="n">
        <v>5</v>
      </c>
      <c r="AT56" s="8">
        <f>SUM(AB56:AS56)</f>
        <v/>
      </c>
      <c r="AU56" s="8">
        <f>AU11</f>
        <v/>
      </c>
      <c r="AV56" s="8">
        <f>AT56-AU56</f>
        <v/>
      </c>
      <c r="AW56" s="8">
        <f>MAX(0,25-AV56)*1.0</f>
        <v/>
      </c>
      <c r="AX56" s="18">
        <f>AA56+AW56</f>
        <v/>
      </c>
    </row>
    <row r="57">
      <c r="A57" s="8" t="n">
        <v>45</v>
      </c>
      <c r="B57" t="inlineStr">
        <is>
          <t>João Rocha</t>
        </is>
      </c>
      <c r="C57" s="8" t="inlineStr">
        <is>
          <t>48297</t>
        </is>
      </c>
      <c r="D57" t="inlineStr">
        <is>
          <t>Estoril</t>
        </is>
      </c>
      <c r="E57" s="8" t="n">
        <v>3.9</v>
      </c>
      <c r="F57" s="17" t="n">
        <v>4</v>
      </c>
      <c r="G57" s="17" t="n">
        <v>4</v>
      </c>
      <c r="H57" s="17" t="n">
        <v>5</v>
      </c>
      <c r="I57" s="17" t="n">
        <v>4</v>
      </c>
      <c r="J57" s="17" t="n">
        <v>4</v>
      </c>
      <c r="K57" s="17" t="n">
        <v>4</v>
      </c>
      <c r="L57" s="17" t="n">
        <v>5</v>
      </c>
      <c r="M57" s="17" t="n">
        <v>4</v>
      </c>
      <c r="N57" s="17" t="n">
        <v>5</v>
      </c>
      <c r="O57" s="17" t="n">
        <v>5</v>
      </c>
      <c r="P57" s="17" t="n">
        <v>4</v>
      </c>
      <c r="Q57" s="17" t="n">
        <v>4</v>
      </c>
      <c r="R57" s="17" t="n">
        <v>7</v>
      </c>
      <c r="S57" s="17" t="n">
        <v>4</v>
      </c>
      <c r="T57" s="17" t="n">
        <v>4</v>
      </c>
      <c r="U57" s="17" t="n">
        <v>7</v>
      </c>
      <c r="V57" s="17" t="n">
        <v>4</v>
      </c>
      <c r="W57" s="17" t="n">
        <v>5</v>
      </c>
      <c r="X57" s="8">
        <f>SUM(F57:W57)</f>
        <v/>
      </c>
      <c r="Y57" s="8">
        <f>Y11</f>
        <v/>
      </c>
      <c r="Z57" s="8">
        <f>X57-Y57</f>
        <v/>
      </c>
      <c r="AA57" s="8">
        <f>MAX(0,25-Z57)*1.0</f>
        <v/>
      </c>
      <c r="AB57" s="17" t="n">
        <v>4</v>
      </c>
      <c r="AC57" s="17" t="n">
        <v>5</v>
      </c>
      <c r="AD57" s="17" t="n">
        <v>7</v>
      </c>
      <c r="AE57" s="17" t="n">
        <v>4</v>
      </c>
      <c r="AF57" s="17" t="n">
        <v>3</v>
      </c>
      <c r="AG57" s="17" t="n">
        <v>5</v>
      </c>
      <c r="AH57" s="17" t="n">
        <v>5</v>
      </c>
      <c r="AI57" s="17" t="n">
        <v>3</v>
      </c>
      <c r="AJ57" s="17" t="n">
        <v>4</v>
      </c>
      <c r="AK57" s="17" t="n">
        <v>5</v>
      </c>
      <c r="AL57" s="17" t="n">
        <v>3</v>
      </c>
      <c r="AM57" s="17" t="n">
        <v>5</v>
      </c>
      <c r="AN57" s="17" t="n">
        <v>5</v>
      </c>
      <c r="AO57" s="17" t="n">
        <v>4</v>
      </c>
      <c r="AP57" s="17" t="n">
        <v>6</v>
      </c>
      <c r="AQ57" s="17" t="n">
        <v>5</v>
      </c>
      <c r="AR57" s="17" t="n">
        <v>3</v>
      </c>
      <c r="AS57" s="17" t="n">
        <v>4</v>
      </c>
      <c r="AT57" s="8">
        <f>SUM(AB57:AS57)</f>
        <v/>
      </c>
      <c r="AU57" s="8">
        <f>AU11</f>
        <v/>
      </c>
      <c r="AV57" s="8">
        <f>AT57-AU57</f>
        <v/>
      </c>
      <c r="AW57" s="8">
        <f>MAX(0,25-AV57)*1.0</f>
        <v/>
      </c>
      <c r="AX57" s="18">
        <f>AA57+AW57</f>
        <v/>
      </c>
    </row>
    <row r="58">
      <c r="A58" s="8" t="n">
        <v>46</v>
      </c>
      <c r="B58" t="inlineStr">
        <is>
          <t>João Costa</t>
        </is>
      </c>
      <c r="C58" s="8" t="inlineStr">
        <is>
          <t>35027</t>
        </is>
      </c>
      <c r="D58" t="inlineStr">
        <is>
          <t>Quinta do Peru</t>
        </is>
      </c>
      <c r="E58" s="8" t="n">
        <v>5.8</v>
      </c>
      <c r="F58" s="17" t="n">
        <v>5</v>
      </c>
      <c r="G58" s="17" t="n">
        <v>4</v>
      </c>
      <c r="H58" s="17" t="n">
        <v>5</v>
      </c>
      <c r="I58" s="17" t="n">
        <v>4</v>
      </c>
      <c r="J58" s="17" t="n">
        <v>3</v>
      </c>
      <c r="K58" s="17" t="n">
        <v>4</v>
      </c>
      <c r="L58" s="17" t="n">
        <v>6</v>
      </c>
      <c r="M58" s="17" t="n">
        <v>4</v>
      </c>
      <c r="N58" s="17" t="n">
        <v>3</v>
      </c>
      <c r="O58" s="17" t="n">
        <v>6</v>
      </c>
      <c r="P58" s="17" t="n">
        <v>3</v>
      </c>
      <c r="Q58" s="17" t="n">
        <v>5</v>
      </c>
      <c r="R58" s="17" t="n">
        <v>6</v>
      </c>
      <c r="S58" s="17" t="n">
        <v>5</v>
      </c>
      <c r="T58" s="17" t="n">
        <v>6</v>
      </c>
      <c r="U58" s="17" t="n">
        <v>6</v>
      </c>
      <c r="V58" s="17" t="n">
        <v>3</v>
      </c>
      <c r="W58" s="17" t="n">
        <v>5</v>
      </c>
      <c r="X58" s="8">
        <f>SUM(F58:W58)</f>
        <v/>
      </c>
      <c r="Y58" s="8">
        <f>Y11</f>
        <v/>
      </c>
      <c r="Z58" s="8">
        <f>X58-Y58</f>
        <v/>
      </c>
      <c r="AA58" s="8">
        <f>MAX(0,25-Z58)*1.0</f>
        <v/>
      </c>
      <c r="AB58" s="17" t="n">
        <v>3</v>
      </c>
      <c r="AC58" s="17" t="n">
        <v>5</v>
      </c>
      <c r="AD58" s="17" t="n">
        <v>4</v>
      </c>
      <c r="AE58" s="17" t="n">
        <v>5</v>
      </c>
      <c r="AF58" s="17" t="n">
        <v>2</v>
      </c>
      <c r="AG58" s="17" t="n">
        <v>4</v>
      </c>
      <c r="AH58" s="17" t="n">
        <v>6</v>
      </c>
      <c r="AI58" s="17" t="n">
        <v>3</v>
      </c>
      <c r="AJ58" s="17" t="n">
        <v>4</v>
      </c>
      <c r="AK58" s="17" t="n">
        <v>6</v>
      </c>
      <c r="AL58" s="17" t="n">
        <v>4</v>
      </c>
      <c r="AM58" s="17" t="n">
        <v>4</v>
      </c>
      <c r="AN58" s="17" t="n">
        <v>4</v>
      </c>
      <c r="AO58" s="17" t="n">
        <v>4</v>
      </c>
      <c r="AP58" s="17" t="n">
        <v>4</v>
      </c>
      <c r="AQ58" s="17" t="n">
        <v>5</v>
      </c>
      <c r="AR58" s="17" t="n">
        <v>5</v>
      </c>
      <c r="AS58" s="17" t="n">
        <v>5</v>
      </c>
      <c r="AT58" s="8">
        <f>SUM(AB58:AS58)</f>
        <v/>
      </c>
      <c r="AU58" s="8">
        <f>AU11</f>
        <v/>
      </c>
      <c r="AV58" s="8">
        <f>AT58-AU58</f>
        <v/>
      </c>
      <c r="AW58" s="8">
        <f>MAX(0,25-AV58)*1.0</f>
        <v/>
      </c>
      <c r="AX58" s="18">
        <f>AA58+AW58</f>
        <v/>
      </c>
    </row>
    <row r="59">
      <c r="A59" s="8" t="n">
        <v>47</v>
      </c>
      <c r="B59" t="inlineStr">
        <is>
          <t>Dinis Silva</t>
        </is>
      </c>
      <c r="C59" s="8" t="inlineStr">
        <is>
          <t>40910</t>
        </is>
      </c>
      <c r="D59" t="inlineStr">
        <is>
          <t>Oporto</t>
        </is>
      </c>
      <c r="E59" s="8" t="n">
        <v>3.5</v>
      </c>
      <c r="F59" s="17" t="n">
        <v>5</v>
      </c>
      <c r="G59" s="17" t="n">
        <v>4</v>
      </c>
      <c r="H59" s="17" t="n">
        <v>5</v>
      </c>
      <c r="I59" s="17" t="n">
        <v>5</v>
      </c>
      <c r="J59" s="17" t="n">
        <v>4</v>
      </c>
      <c r="K59" s="17" t="n">
        <v>8</v>
      </c>
      <c r="L59" s="17" t="n">
        <v>5</v>
      </c>
      <c r="M59" s="17" t="n">
        <v>3</v>
      </c>
      <c r="N59" s="17" t="n">
        <v>4</v>
      </c>
      <c r="O59" s="17" t="n">
        <v>5</v>
      </c>
      <c r="P59" s="17" t="n">
        <v>4</v>
      </c>
      <c r="Q59" s="17" t="n">
        <v>4</v>
      </c>
      <c r="R59" s="17" t="n">
        <v>5</v>
      </c>
      <c r="S59" s="17" t="n">
        <v>4</v>
      </c>
      <c r="T59" s="17" t="n">
        <v>4</v>
      </c>
      <c r="U59" s="17" t="n">
        <v>8</v>
      </c>
      <c r="V59" s="17" t="n">
        <v>3</v>
      </c>
      <c r="W59" s="17" t="n">
        <v>4</v>
      </c>
      <c r="X59" s="8">
        <f>SUM(F59:W59)</f>
        <v/>
      </c>
      <c r="Y59" s="8">
        <f>Y11</f>
        <v/>
      </c>
      <c r="Z59" s="8">
        <f>X59-Y59</f>
        <v/>
      </c>
      <c r="AA59" s="8">
        <f>MAX(0,25-Z59)*1.0</f>
        <v/>
      </c>
      <c r="AB59" s="17" t="n">
        <v>3</v>
      </c>
      <c r="AC59" s="17" t="n">
        <v>4</v>
      </c>
      <c r="AD59" s="17" t="n">
        <v>7</v>
      </c>
      <c r="AE59" s="17" t="n">
        <v>5</v>
      </c>
      <c r="AF59" s="17" t="n">
        <v>3</v>
      </c>
      <c r="AG59" s="17" t="n">
        <v>7</v>
      </c>
      <c r="AH59" s="17" t="n">
        <v>5</v>
      </c>
      <c r="AI59" s="17" t="n">
        <v>3</v>
      </c>
      <c r="AJ59" s="17" t="n">
        <v>4</v>
      </c>
      <c r="AK59" s="17" t="n">
        <v>6</v>
      </c>
      <c r="AL59" s="17" t="n">
        <v>4</v>
      </c>
      <c r="AM59" s="17" t="n">
        <v>4</v>
      </c>
      <c r="AN59" s="17" t="n">
        <v>5</v>
      </c>
      <c r="AO59" s="17" t="n">
        <v>4</v>
      </c>
      <c r="AP59" s="17" t="n">
        <v>4</v>
      </c>
      <c r="AQ59" s="17" t="n">
        <v>4</v>
      </c>
      <c r="AR59" s="17" t="n">
        <v>3</v>
      </c>
      <c r="AS59" s="17" t="n">
        <v>4</v>
      </c>
      <c r="AT59" s="8">
        <f>SUM(AB59:AS59)</f>
        <v/>
      </c>
      <c r="AU59" s="8">
        <f>AU11</f>
        <v/>
      </c>
      <c r="AV59" s="8">
        <f>AT59-AU59</f>
        <v/>
      </c>
      <c r="AW59" s="8">
        <f>MAX(0,25-AV59)*1.0</f>
        <v/>
      </c>
      <c r="AX59" s="18">
        <f>AA59+AW59</f>
        <v/>
      </c>
    </row>
    <row r="60">
      <c r="A60" s="8" t="n">
        <v>48</v>
      </c>
      <c r="B60" t="inlineStr">
        <is>
          <t>Duarte Soares Franco</t>
        </is>
      </c>
      <c r="C60" s="8" t="inlineStr">
        <is>
          <t>48531</t>
        </is>
      </c>
      <c r="D60" t="inlineStr">
        <is>
          <t>Estoril</t>
        </is>
      </c>
      <c r="E60" s="8" t="n">
        <v>8.800000000000001</v>
      </c>
      <c r="F60" s="17" t="n">
        <v>4</v>
      </c>
      <c r="G60" s="17" t="n">
        <v>5</v>
      </c>
      <c r="H60" s="17" t="n">
        <v>6</v>
      </c>
      <c r="I60" s="17" t="n">
        <v>4</v>
      </c>
      <c r="J60" s="17" t="n">
        <v>4</v>
      </c>
      <c r="K60" s="17" t="n">
        <v>5</v>
      </c>
      <c r="L60" s="17" t="n">
        <v>6</v>
      </c>
      <c r="M60" s="17" t="n">
        <v>4</v>
      </c>
      <c r="N60" s="17" t="n">
        <v>4</v>
      </c>
      <c r="O60" s="17" t="n">
        <v>7</v>
      </c>
      <c r="P60" s="17" t="n">
        <v>4</v>
      </c>
      <c r="Q60" s="17" t="n">
        <v>3</v>
      </c>
      <c r="R60" s="17" t="n">
        <v>5</v>
      </c>
      <c r="S60" s="17" t="n">
        <v>5</v>
      </c>
      <c r="T60" s="17" t="n">
        <v>3</v>
      </c>
      <c r="U60" s="17" t="n">
        <v>6</v>
      </c>
      <c r="V60" s="17" t="n">
        <v>4</v>
      </c>
      <c r="W60" s="17" t="n">
        <v>5</v>
      </c>
      <c r="X60" s="8">
        <f>SUM(F60:W60)</f>
        <v/>
      </c>
      <c r="Y60" s="8">
        <f>Y11</f>
        <v/>
      </c>
      <c r="Z60" s="8">
        <f>X60-Y60</f>
        <v/>
      </c>
      <c r="AA60" s="8">
        <f>MAX(0,25-Z60)*1.0</f>
        <v/>
      </c>
      <c r="AB60" s="17" t="n">
        <v>4</v>
      </c>
      <c r="AC60" s="17" t="n">
        <v>4</v>
      </c>
      <c r="AD60" s="17" t="n">
        <v>5</v>
      </c>
      <c r="AE60" s="17" t="n">
        <v>6</v>
      </c>
      <c r="AF60" s="17" t="n">
        <v>3</v>
      </c>
      <c r="AG60" s="17" t="n">
        <v>5</v>
      </c>
      <c r="AH60" s="17" t="n">
        <v>5</v>
      </c>
      <c r="AI60" s="17" t="n">
        <v>3</v>
      </c>
      <c r="AJ60" s="17" t="n">
        <v>5</v>
      </c>
      <c r="AK60" s="17" t="n">
        <v>6</v>
      </c>
      <c r="AL60" s="17" t="n">
        <v>4</v>
      </c>
      <c r="AM60" s="17" t="n">
        <v>5</v>
      </c>
      <c r="AN60" s="17" t="n">
        <v>7</v>
      </c>
      <c r="AO60" s="17" t="n">
        <v>4</v>
      </c>
      <c r="AP60" s="17" t="n">
        <v>4</v>
      </c>
      <c r="AQ60" s="17" t="n">
        <v>4</v>
      </c>
      <c r="AR60" s="17" t="n">
        <v>3</v>
      </c>
      <c r="AS60" s="17" t="n">
        <v>5</v>
      </c>
      <c r="AT60" s="8">
        <f>SUM(AB60:AS60)</f>
        <v/>
      </c>
      <c r="AU60" s="8">
        <f>AU11</f>
        <v/>
      </c>
      <c r="AV60" s="8">
        <f>AT60-AU60</f>
        <v/>
      </c>
      <c r="AW60" s="8">
        <f>MAX(0,25-AV60)*1.0</f>
        <v/>
      </c>
      <c r="AX60" s="18">
        <f>AA60+AW60</f>
        <v/>
      </c>
    </row>
    <row r="61">
      <c r="A61" s="8" t="n">
        <v>49</v>
      </c>
      <c r="B61" t="inlineStr">
        <is>
          <t>Finn Gordon</t>
        </is>
      </c>
      <c r="C61" s="8" t="inlineStr">
        <is>
          <t>55269</t>
        </is>
      </c>
      <c r="D61" t="inlineStr">
        <is>
          <t>Vilamoura, C. G</t>
        </is>
      </c>
      <c r="E61" s="8" t="n">
        <v>6.1</v>
      </c>
      <c r="F61" s="17" t="n">
        <v>5</v>
      </c>
      <c r="G61" s="17" t="n">
        <v>4</v>
      </c>
      <c r="H61" s="17" t="n">
        <v>6</v>
      </c>
      <c r="I61" s="17" t="n">
        <v>3</v>
      </c>
      <c r="J61" s="17" t="n">
        <v>4</v>
      </c>
      <c r="K61" s="17" t="n">
        <v>5</v>
      </c>
      <c r="L61" s="17" t="n">
        <v>7</v>
      </c>
      <c r="M61" s="17" t="n">
        <v>4</v>
      </c>
      <c r="N61" s="17" t="n">
        <v>3</v>
      </c>
      <c r="O61" s="17" t="n">
        <v>6</v>
      </c>
      <c r="P61" s="17" t="n">
        <v>3</v>
      </c>
      <c r="Q61" s="17" t="n">
        <v>5</v>
      </c>
      <c r="R61" s="17" t="n">
        <v>5</v>
      </c>
      <c r="S61" s="17" t="n">
        <v>4</v>
      </c>
      <c r="T61" s="17" t="n">
        <v>5</v>
      </c>
      <c r="U61" s="17" t="n">
        <v>5</v>
      </c>
      <c r="V61" s="17" t="n">
        <v>4</v>
      </c>
      <c r="W61" s="17" t="n">
        <v>6</v>
      </c>
      <c r="X61" s="8">
        <f>SUM(F61:W61)</f>
        <v/>
      </c>
      <c r="Y61" s="8">
        <f>Y11</f>
        <v/>
      </c>
      <c r="Z61" s="8">
        <f>X61-Y61</f>
        <v/>
      </c>
      <c r="AA61" s="8">
        <f>MAX(0,25-Z61)*1.0</f>
        <v/>
      </c>
      <c r="AB61" s="17" t="n">
        <v>4</v>
      </c>
      <c r="AC61" s="17" t="n">
        <v>5</v>
      </c>
      <c r="AD61" s="17" t="n">
        <v>5</v>
      </c>
      <c r="AE61" s="17" t="n">
        <v>6</v>
      </c>
      <c r="AF61" s="17" t="n">
        <v>3</v>
      </c>
      <c r="AG61" s="17" t="n">
        <v>4</v>
      </c>
      <c r="AH61" s="17" t="n">
        <v>6</v>
      </c>
      <c r="AI61" s="17" t="n">
        <v>3</v>
      </c>
      <c r="AJ61" s="17" t="n">
        <v>5</v>
      </c>
      <c r="AK61" s="17" t="n">
        <v>8</v>
      </c>
      <c r="AL61" s="17" t="n">
        <v>3</v>
      </c>
      <c r="AM61" s="17" t="n">
        <v>4</v>
      </c>
      <c r="AN61" s="17" t="n">
        <v>7</v>
      </c>
      <c r="AO61" s="17" t="n">
        <v>5</v>
      </c>
      <c r="AP61" s="17" t="n">
        <v>5</v>
      </c>
      <c r="AQ61" s="17" t="n">
        <v>4</v>
      </c>
      <c r="AR61" s="17" t="n">
        <v>3</v>
      </c>
      <c r="AS61" s="17" t="n">
        <v>5</v>
      </c>
      <c r="AT61" s="8">
        <f>SUM(AB61:AS61)</f>
        <v/>
      </c>
      <c r="AU61" s="8">
        <f>AU11</f>
        <v/>
      </c>
      <c r="AV61" s="8">
        <f>AT61-AU61</f>
        <v/>
      </c>
      <c r="AW61" s="8">
        <f>MAX(0,25-AV61)*1.0</f>
        <v/>
      </c>
      <c r="AX61" s="18">
        <f>AA61+AW61</f>
        <v/>
      </c>
    </row>
    <row r="62">
      <c r="A62" s="8" t="n">
        <v>50</v>
      </c>
      <c r="B62" t="inlineStr">
        <is>
          <t>Diogo Sequeira</t>
        </is>
      </c>
      <c r="C62" s="8" t="inlineStr">
        <is>
          <t>56654</t>
        </is>
      </c>
      <c r="D62" t="inlineStr">
        <is>
          <t>Quinta do Peru</t>
        </is>
      </c>
      <c r="E62" s="8" t="n">
        <v>4.9</v>
      </c>
      <c r="F62" s="17" t="n">
        <v>4</v>
      </c>
      <c r="G62" s="17" t="n">
        <v>5</v>
      </c>
      <c r="H62" s="17" t="n">
        <v>5</v>
      </c>
      <c r="I62" s="17" t="n">
        <v>4</v>
      </c>
      <c r="J62" s="17" t="n">
        <v>3</v>
      </c>
      <c r="K62" s="17" t="n">
        <v>5</v>
      </c>
      <c r="L62" s="17" t="n">
        <v>5</v>
      </c>
      <c r="M62" s="17" t="n">
        <v>3</v>
      </c>
      <c r="N62" s="17" t="n">
        <v>4</v>
      </c>
      <c r="O62" s="17" t="n">
        <v>6</v>
      </c>
      <c r="P62" s="17" t="n">
        <v>4</v>
      </c>
      <c r="Q62" s="17" t="n">
        <v>4</v>
      </c>
      <c r="R62" s="17" t="n">
        <v>5</v>
      </c>
      <c r="S62" s="17" t="n">
        <v>5</v>
      </c>
      <c r="T62" s="17" t="n">
        <v>5</v>
      </c>
      <c r="U62" s="17" t="n">
        <v>6</v>
      </c>
      <c r="V62" s="17" t="n">
        <v>5</v>
      </c>
      <c r="W62" s="17" t="n">
        <v>6</v>
      </c>
      <c r="X62" s="8">
        <f>SUM(F62:W62)</f>
        <v/>
      </c>
      <c r="Y62" s="8">
        <f>Y11</f>
        <v/>
      </c>
      <c r="Z62" s="8">
        <f>X62-Y62</f>
        <v/>
      </c>
      <c r="AA62" s="8">
        <f>MAX(0,25-Z62)*1.0</f>
        <v/>
      </c>
      <c r="AB62" s="17" t="n">
        <v>4</v>
      </c>
      <c r="AC62" s="17" t="n">
        <v>4</v>
      </c>
      <c r="AD62" s="17" t="n">
        <v>6</v>
      </c>
      <c r="AE62" s="17" t="n">
        <v>4</v>
      </c>
      <c r="AF62" s="17" t="n">
        <v>4</v>
      </c>
      <c r="AG62" s="17" t="n">
        <v>5</v>
      </c>
      <c r="AH62" s="17" t="n">
        <v>5</v>
      </c>
      <c r="AI62" s="17" t="n">
        <v>3</v>
      </c>
      <c r="AJ62" s="17" t="n">
        <v>5</v>
      </c>
      <c r="AK62" s="17" t="n">
        <v>6</v>
      </c>
      <c r="AL62" s="17" t="n">
        <v>4</v>
      </c>
      <c r="AM62" s="17" t="n">
        <v>4</v>
      </c>
      <c r="AN62" s="17" t="n">
        <v>5</v>
      </c>
      <c r="AO62" s="17" t="n">
        <v>4</v>
      </c>
      <c r="AP62" s="17" t="n">
        <v>4</v>
      </c>
      <c r="AQ62" s="17" t="n">
        <v>8</v>
      </c>
      <c r="AR62" s="17" t="n">
        <v>5</v>
      </c>
      <c r="AS62" s="17" t="n">
        <v>5</v>
      </c>
      <c r="AT62" s="8">
        <f>SUM(AB62:AS62)</f>
        <v/>
      </c>
      <c r="AU62" s="8">
        <f>AU11</f>
        <v/>
      </c>
      <c r="AV62" s="8">
        <f>AT62-AU62</f>
        <v/>
      </c>
      <c r="AW62" s="8">
        <f>MAX(0,25-AV62)*1.0</f>
        <v/>
      </c>
      <c r="AX62" s="18">
        <f>AA62+AW62</f>
        <v/>
      </c>
    </row>
    <row r="63">
      <c r="A63" s="8" t="n">
        <v>51</v>
      </c>
      <c r="B63" t="inlineStr">
        <is>
          <t>Diogo Salgueiro</t>
        </is>
      </c>
      <c r="C63" s="8" t="inlineStr">
        <is>
          <t>39524</t>
        </is>
      </c>
      <c r="D63" t="inlineStr">
        <is>
          <t>Belas</t>
        </is>
      </c>
      <c r="E63" s="8" t="n">
        <v>2.5</v>
      </c>
      <c r="F63" s="17" t="n">
        <v>6</v>
      </c>
      <c r="G63" s="17" t="n">
        <v>4</v>
      </c>
      <c r="H63" s="17" t="n">
        <v>5</v>
      </c>
      <c r="I63" s="17" t="n">
        <v>5</v>
      </c>
      <c r="J63" s="17" t="n">
        <v>4</v>
      </c>
      <c r="K63" s="17" t="n">
        <v>6</v>
      </c>
      <c r="L63" s="17" t="n">
        <v>7</v>
      </c>
      <c r="M63" s="17" t="n">
        <v>3</v>
      </c>
      <c r="N63" s="17" t="n">
        <v>4</v>
      </c>
      <c r="O63" s="17" t="n">
        <v>5</v>
      </c>
      <c r="P63" s="17" t="n">
        <v>3</v>
      </c>
      <c r="Q63" s="17" t="n">
        <v>5</v>
      </c>
      <c r="R63" s="17" t="n">
        <v>5</v>
      </c>
      <c r="S63" s="17" t="n">
        <v>5</v>
      </c>
      <c r="T63" s="17" t="n">
        <v>5</v>
      </c>
      <c r="U63" s="17" t="n">
        <v>5</v>
      </c>
      <c r="V63" s="17" t="n">
        <v>4</v>
      </c>
      <c r="W63" s="17" t="n">
        <v>4</v>
      </c>
      <c r="X63" s="8">
        <f>SUM(F63:W63)</f>
        <v/>
      </c>
      <c r="Y63" s="8">
        <f>Y11</f>
        <v/>
      </c>
      <c r="Z63" s="8">
        <f>X63-Y63</f>
        <v/>
      </c>
      <c r="AA63" s="8">
        <f>MAX(0,25-Z63)*1.0</f>
        <v/>
      </c>
      <c r="AB63" s="17" t="n">
        <v>6</v>
      </c>
      <c r="AC63" s="17" t="n">
        <v>5</v>
      </c>
      <c r="AD63" s="17" t="n">
        <v>5</v>
      </c>
      <c r="AE63" s="17" t="n">
        <v>4</v>
      </c>
      <c r="AF63" s="17" t="n">
        <v>4</v>
      </c>
      <c r="AG63" s="17" t="n">
        <v>4</v>
      </c>
      <c r="AH63" s="17" t="n">
        <v>5</v>
      </c>
      <c r="AI63" s="17" t="n">
        <v>3</v>
      </c>
      <c r="AJ63" s="17" t="n">
        <v>4</v>
      </c>
      <c r="AK63" s="17" t="n">
        <v>5</v>
      </c>
      <c r="AL63" s="17" t="n">
        <v>4</v>
      </c>
      <c r="AM63" s="17" t="n">
        <v>4</v>
      </c>
      <c r="AN63" s="17" t="n">
        <v>6</v>
      </c>
      <c r="AO63" s="17" t="n">
        <v>3</v>
      </c>
      <c r="AP63" s="17" t="n">
        <v>4</v>
      </c>
      <c r="AQ63" s="17" t="n">
        <v>5</v>
      </c>
      <c r="AR63" s="17" t="n">
        <v>4</v>
      </c>
      <c r="AS63" s="17" t="n">
        <v>5</v>
      </c>
      <c r="AT63" s="8">
        <f>SUM(AB63:AS63)</f>
        <v/>
      </c>
      <c r="AU63" s="8">
        <f>AU11</f>
        <v/>
      </c>
      <c r="AV63" s="8">
        <f>AT63-AU63</f>
        <v/>
      </c>
      <c r="AW63" s="8">
        <f>MAX(0,25-AV63)*1.0</f>
        <v/>
      </c>
      <c r="AX63" s="18">
        <f>AA63+AW63</f>
        <v/>
      </c>
    </row>
    <row r="64">
      <c r="A64" s="8" t="n">
        <v>52</v>
      </c>
      <c r="B64" t="inlineStr">
        <is>
          <t>Clementy Tarasov</t>
        </is>
      </c>
      <c r="C64" s="8" t="inlineStr">
        <is>
          <t>50919</t>
        </is>
      </c>
      <c r="D64" t="inlineStr">
        <is>
          <t>Vila Sol</t>
        </is>
      </c>
      <c r="E64" s="8" t="n">
        <v>8.199999999999999</v>
      </c>
      <c r="F64" s="17" t="n">
        <v>5</v>
      </c>
      <c r="G64" s="17" t="n">
        <v>4</v>
      </c>
      <c r="H64" s="17" t="n">
        <v>7</v>
      </c>
      <c r="I64" s="17" t="n">
        <v>5</v>
      </c>
      <c r="J64" s="17" t="n">
        <v>4</v>
      </c>
      <c r="K64" s="17" t="n">
        <v>5</v>
      </c>
      <c r="L64" s="17" t="n">
        <v>6</v>
      </c>
      <c r="M64" s="17" t="n">
        <v>4</v>
      </c>
      <c r="N64" s="17" t="n">
        <v>4</v>
      </c>
      <c r="O64" s="17" t="n">
        <v>6</v>
      </c>
      <c r="P64" s="17" t="n">
        <v>3</v>
      </c>
      <c r="Q64" s="17" t="n">
        <v>4</v>
      </c>
      <c r="R64" s="17" t="n">
        <v>6</v>
      </c>
      <c r="S64" s="17" t="n">
        <v>5</v>
      </c>
      <c r="T64" s="17" t="n">
        <v>4</v>
      </c>
      <c r="U64" s="17" t="n">
        <v>6</v>
      </c>
      <c r="V64" s="17" t="n">
        <v>2</v>
      </c>
      <c r="W64" s="17" t="n">
        <v>5</v>
      </c>
      <c r="X64" s="8">
        <f>SUM(F64:W64)</f>
        <v/>
      </c>
      <c r="Y64" s="8">
        <f>Y11</f>
        <v/>
      </c>
      <c r="Z64" s="8">
        <f>X64-Y64</f>
        <v/>
      </c>
      <c r="AA64" s="8">
        <f>MAX(0,25-Z64)*1.0</f>
        <v/>
      </c>
      <c r="AB64" s="17" t="n">
        <v>6</v>
      </c>
      <c r="AC64" s="17" t="n">
        <v>4</v>
      </c>
      <c r="AD64" s="17" t="n">
        <v>6</v>
      </c>
      <c r="AE64" s="17" t="n">
        <v>5</v>
      </c>
      <c r="AF64" s="17" t="n">
        <v>4</v>
      </c>
      <c r="AG64" s="17" t="n">
        <v>4</v>
      </c>
      <c r="AH64" s="17" t="n">
        <v>6</v>
      </c>
      <c r="AI64" s="17" t="n">
        <v>3</v>
      </c>
      <c r="AJ64" s="17" t="n">
        <v>5</v>
      </c>
      <c r="AK64" s="17" t="n">
        <v>4</v>
      </c>
      <c r="AL64" s="17" t="n">
        <v>4</v>
      </c>
      <c r="AM64" s="17" t="n">
        <v>5</v>
      </c>
      <c r="AN64" s="17" t="n">
        <v>5</v>
      </c>
      <c r="AO64" s="17" t="n">
        <v>4</v>
      </c>
      <c r="AP64" s="17" t="n">
        <v>5</v>
      </c>
      <c r="AQ64" s="17" t="n">
        <v>6</v>
      </c>
      <c r="AR64" s="17" t="n">
        <v>4</v>
      </c>
      <c r="AS64" s="17" t="n">
        <v>4</v>
      </c>
      <c r="AT64" s="8">
        <f>SUM(AB64:AS64)</f>
        <v/>
      </c>
      <c r="AU64" s="8">
        <f>AU11</f>
        <v/>
      </c>
      <c r="AV64" s="8">
        <f>AT64-AU64</f>
        <v/>
      </c>
      <c r="AW64" s="8">
        <f>MAX(0,25-AV64)*1.0</f>
        <v/>
      </c>
      <c r="AX64" s="18">
        <f>AA64+AW64</f>
        <v/>
      </c>
    </row>
    <row r="65">
      <c r="A65" s="8" t="n">
        <v>53</v>
      </c>
      <c r="B65" t="inlineStr">
        <is>
          <t>Francisco Costa Mendes</t>
        </is>
      </c>
      <c r="C65" s="8" t="inlineStr">
        <is>
          <t>40318</t>
        </is>
      </c>
      <c r="D65" t="inlineStr">
        <is>
          <t>Citynorte</t>
        </is>
      </c>
      <c r="E65" s="8" t="n">
        <v>5.7</v>
      </c>
      <c r="F65" s="17" t="n">
        <v>5</v>
      </c>
      <c r="G65" s="17" t="n">
        <v>6</v>
      </c>
      <c r="H65" s="17" t="n">
        <v>5</v>
      </c>
      <c r="I65" s="17" t="n">
        <v>4</v>
      </c>
      <c r="J65" s="17" t="n">
        <v>4</v>
      </c>
      <c r="K65" s="17" t="n">
        <v>5</v>
      </c>
      <c r="L65" s="17" t="n">
        <v>6</v>
      </c>
      <c r="M65" s="17" t="n">
        <v>3</v>
      </c>
      <c r="N65" s="17" t="n">
        <v>4</v>
      </c>
      <c r="O65" s="17" t="n">
        <v>6</v>
      </c>
      <c r="P65" s="17" t="n">
        <v>3</v>
      </c>
      <c r="Q65" s="17" t="n">
        <v>5</v>
      </c>
      <c r="R65" s="17" t="n">
        <v>6</v>
      </c>
      <c r="S65" s="17" t="n">
        <v>4</v>
      </c>
      <c r="T65" s="17" t="n">
        <v>6</v>
      </c>
      <c r="U65" s="17" t="n">
        <v>6</v>
      </c>
      <c r="V65" s="17" t="n">
        <v>3</v>
      </c>
      <c r="W65" s="17" t="n">
        <v>4</v>
      </c>
      <c r="X65" s="8">
        <f>SUM(F65:W65)</f>
        <v/>
      </c>
      <c r="Y65" s="8">
        <f>Y11</f>
        <v/>
      </c>
      <c r="Z65" s="8">
        <f>X65-Y65</f>
        <v/>
      </c>
      <c r="AA65" s="8">
        <f>MAX(0,25-Z65)*1.0</f>
        <v/>
      </c>
      <c r="AB65" s="17" t="n">
        <v>4</v>
      </c>
      <c r="AC65" s="17" t="n">
        <v>5</v>
      </c>
      <c r="AD65" s="17" t="n">
        <v>6</v>
      </c>
      <c r="AE65" s="17" t="n">
        <v>4</v>
      </c>
      <c r="AF65" s="17" t="n">
        <v>4</v>
      </c>
      <c r="AG65" s="17" t="n">
        <v>5</v>
      </c>
      <c r="AH65" s="17" t="n">
        <v>8</v>
      </c>
      <c r="AI65" s="17" t="n">
        <v>3</v>
      </c>
      <c r="AJ65" s="17" t="n">
        <v>4</v>
      </c>
      <c r="AK65" s="17" t="n">
        <v>6</v>
      </c>
      <c r="AL65" s="17" t="n">
        <v>3</v>
      </c>
      <c r="AM65" s="17" t="n">
        <v>3</v>
      </c>
      <c r="AN65" s="17" t="n">
        <v>7</v>
      </c>
      <c r="AO65" s="17" t="n">
        <v>5</v>
      </c>
      <c r="AP65" s="17" t="n">
        <v>5</v>
      </c>
      <c r="AQ65" s="17" t="n">
        <v>5</v>
      </c>
      <c r="AR65" s="17" t="n">
        <v>3</v>
      </c>
      <c r="AS65" s="17" t="n">
        <v>5</v>
      </c>
      <c r="AT65" s="8">
        <f>SUM(AB65:AS65)</f>
        <v/>
      </c>
      <c r="AU65" s="8">
        <f>AU11</f>
        <v/>
      </c>
      <c r="AV65" s="8">
        <f>AT65-AU65</f>
        <v/>
      </c>
      <c r="AW65" s="8">
        <f>MAX(0,25-AV65)*1.0</f>
        <v/>
      </c>
      <c r="AX65" s="18">
        <f>AA65+AW65</f>
        <v/>
      </c>
    </row>
    <row r="66">
      <c r="A66" s="8" t="n">
        <v>54</v>
      </c>
      <c r="B66" t="inlineStr">
        <is>
          <t>Maria Cunha</t>
        </is>
      </c>
      <c r="C66" s="8" t="inlineStr">
        <is>
          <t>46482</t>
        </is>
      </c>
      <c r="D66" t="inlineStr">
        <is>
          <t>Palheiro</t>
        </is>
      </c>
      <c r="E66" s="8" t="n">
        <v>4.9</v>
      </c>
      <c r="F66" s="17" t="n">
        <v>6</v>
      </c>
      <c r="G66" s="17" t="n">
        <v>5</v>
      </c>
      <c r="H66" s="17" t="n">
        <v>8</v>
      </c>
      <c r="I66" s="17" t="n">
        <v>3</v>
      </c>
      <c r="J66" s="17" t="n">
        <v>3</v>
      </c>
      <c r="K66" s="17" t="n">
        <v>5</v>
      </c>
      <c r="L66" s="17" t="n">
        <v>5</v>
      </c>
      <c r="M66" s="17" t="n">
        <v>2</v>
      </c>
      <c r="N66" s="17" t="n">
        <v>4</v>
      </c>
      <c r="O66" s="17" t="n">
        <v>6</v>
      </c>
      <c r="P66" s="17" t="n">
        <v>4</v>
      </c>
      <c r="Q66" s="17" t="n">
        <v>6</v>
      </c>
      <c r="R66" s="17" t="n">
        <v>6</v>
      </c>
      <c r="S66" s="17" t="n">
        <v>4</v>
      </c>
      <c r="T66" s="17" t="n">
        <v>5</v>
      </c>
      <c r="U66" s="17" t="n">
        <v>6</v>
      </c>
      <c r="V66" s="17" t="n">
        <v>3</v>
      </c>
      <c r="W66" s="17" t="n">
        <v>4</v>
      </c>
      <c r="X66" s="8">
        <f>SUM(F66:W66)</f>
        <v/>
      </c>
      <c r="Y66" s="8">
        <f>Y11</f>
        <v/>
      </c>
      <c r="Z66" s="8">
        <f>X66-Y66</f>
        <v/>
      </c>
      <c r="AA66" s="8">
        <f>MAX(0,25-Z66)*1.0</f>
        <v/>
      </c>
      <c r="AB66" s="17" t="n">
        <v>6</v>
      </c>
      <c r="AC66" s="17" t="n">
        <v>6</v>
      </c>
      <c r="AD66" s="17" t="n">
        <v>6</v>
      </c>
      <c r="AE66" s="17" t="n">
        <v>5</v>
      </c>
      <c r="AF66" s="17" t="n">
        <v>3</v>
      </c>
      <c r="AG66" s="17" t="n">
        <v>7</v>
      </c>
      <c r="AH66" s="17" t="n">
        <v>5</v>
      </c>
      <c r="AI66" s="17" t="n">
        <v>3</v>
      </c>
      <c r="AJ66" s="17" t="n">
        <v>5</v>
      </c>
      <c r="AK66" s="17" t="n">
        <v>5</v>
      </c>
      <c r="AL66" s="17" t="n">
        <v>3</v>
      </c>
      <c r="AM66" s="17" t="n">
        <v>7</v>
      </c>
      <c r="AN66" s="17" t="n">
        <v>4</v>
      </c>
      <c r="AO66" s="17" t="n">
        <v>4</v>
      </c>
      <c r="AP66" s="17" t="n">
        <v>5</v>
      </c>
      <c r="AQ66" s="17" t="n">
        <v>6</v>
      </c>
      <c r="AR66" s="17" t="n">
        <v>3</v>
      </c>
      <c r="AS66" s="17" t="n">
        <v>4</v>
      </c>
      <c r="AT66" s="8">
        <f>SUM(AB66:AS66)</f>
        <v/>
      </c>
      <c r="AU66" s="8">
        <f>AU11</f>
        <v/>
      </c>
      <c r="AV66" s="8">
        <f>AT66-AU66</f>
        <v/>
      </c>
      <c r="AW66" s="8">
        <f>MAX(0,25-AV66)*1.0</f>
        <v/>
      </c>
      <c r="AX66" s="18">
        <f>AA66+AW66</f>
        <v/>
      </c>
    </row>
    <row r="67">
      <c r="A67" s="8" t="n">
        <v>55</v>
      </c>
      <c r="B67" t="inlineStr">
        <is>
          <t>Salvador Rodrigues</t>
        </is>
      </c>
      <c r="C67" s="8" t="inlineStr">
        <is>
          <t>39465</t>
        </is>
      </c>
      <c r="D67" t="inlineStr">
        <is>
          <t>Palheiro</t>
        </is>
      </c>
      <c r="E67" s="8" t="n">
        <v>6.2</v>
      </c>
      <c r="F67" s="17" t="n">
        <v>6</v>
      </c>
      <c r="G67" s="17" t="n">
        <v>5</v>
      </c>
      <c r="H67" s="17" t="n">
        <v>5</v>
      </c>
      <c r="I67" s="17" t="n">
        <v>4</v>
      </c>
      <c r="J67" s="17" t="n">
        <v>4</v>
      </c>
      <c r="K67" s="17" t="n">
        <v>4</v>
      </c>
      <c r="L67" s="17" t="n">
        <v>5</v>
      </c>
      <c r="M67" s="17" t="n">
        <v>4</v>
      </c>
      <c r="N67" s="17" t="n">
        <v>4</v>
      </c>
      <c r="O67" s="17" t="n">
        <v>7</v>
      </c>
      <c r="P67" s="17" t="n">
        <v>3</v>
      </c>
      <c r="Q67" s="17" t="n">
        <v>5</v>
      </c>
      <c r="R67" s="17" t="n">
        <v>5</v>
      </c>
      <c r="S67" s="17" t="n">
        <v>5</v>
      </c>
      <c r="T67" s="17" t="n">
        <v>5</v>
      </c>
      <c r="U67" s="17" t="n">
        <v>6</v>
      </c>
      <c r="V67" s="17" t="n">
        <v>4</v>
      </c>
      <c r="W67" s="17" t="n">
        <v>4</v>
      </c>
      <c r="X67" s="8">
        <f>SUM(F67:W67)</f>
        <v/>
      </c>
      <c r="Y67" s="8">
        <f>Y11</f>
        <v/>
      </c>
      <c r="Z67" s="8">
        <f>X67-Y67</f>
        <v/>
      </c>
      <c r="AA67" s="8">
        <f>MAX(0,25-Z67)*1.0</f>
        <v/>
      </c>
      <c r="AB67" s="17" t="n">
        <v>5</v>
      </c>
      <c r="AC67" s="17" t="n">
        <v>5</v>
      </c>
      <c r="AD67" s="17" t="n">
        <v>5</v>
      </c>
      <c r="AE67" s="17" t="n">
        <v>4</v>
      </c>
      <c r="AF67" s="17" t="n">
        <v>4</v>
      </c>
      <c r="AG67" s="17" t="n">
        <v>5</v>
      </c>
      <c r="AH67" s="17" t="n">
        <v>5</v>
      </c>
      <c r="AI67" s="17" t="n">
        <v>5</v>
      </c>
      <c r="AJ67" s="17" t="n">
        <v>5</v>
      </c>
      <c r="AK67" s="17" t="n">
        <v>6</v>
      </c>
      <c r="AL67" s="17" t="n">
        <v>5</v>
      </c>
      <c r="AM67" s="17" t="n">
        <v>6</v>
      </c>
      <c r="AN67" s="17" t="n">
        <v>5</v>
      </c>
      <c r="AO67" s="17" t="n">
        <v>5</v>
      </c>
      <c r="AP67" s="17" t="n">
        <v>6</v>
      </c>
      <c r="AQ67" s="17" t="n">
        <v>5</v>
      </c>
      <c r="AR67" s="17" t="n">
        <v>3</v>
      </c>
      <c r="AS67" s="17" t="n">
        <v>6</v>
      </c>
      <c r="AT67" s="8">
        <f>SUM(AB67:AS67)</f>
        <v/>
      </c>
      <c r="AU67" s="8">
        <f>AU11</f>
        <v/>
      </c>
      <c r="AV67" s="8">
        <f>AT67-AU67</f>
        <v/>
      </c>
      <c r="AW67" s="8">
        <f>MAX(0,25-AV67)*1.0</f>
        <v/>
      </c>
      <c r="AX67" s="18">
        <f>AA67+AW67</f>
        <v/>
      </c>
    </row>
    <row r="68">
      <c r="A68" s="8" t="n">
        <v>56</v>
      </c>
      <c r="B68" t="inlineStr">
        <is>
          <t>Teresa Ferreira</t>
        </is>
      </c>
      <c r="C68" s="8" t="inlineStr">
        <is>
          <t>46589</t>
        </is>
      </c>
      <c r="D68" t="inlineStr">
        <is>
          <t>Oporto</t>
        </is>
      </c>
      <c r="E68" s="8" t="n">
        <v>6.8</v>
      </c>
      <c r="F68" s="17" t="n">
        <v>4</v>
      </c>
      <c r="G68" s="17" t="n">
        <v>4</v>
      </c>
      <c r="H68" s="17" t="n">
        <v>6</v>
      </c>
      <c r="I68" s="17" t="n">
        <v>5</v>
      </c>
      <c r="J68" s="17" t="n">
        <v>4</v>
      </c>
      <c r="K68" s="17" t="n">
        <v>5</v>
      </c>
      <c r="L68" s="17" t="n">
        <v>5</v>
      </c>
      <c r="M68" s="17" t="n">
        <v>3</v>
      </c>
      <c r="N68" s="17" t="n">
        <v>4</v>
      </c>
      <c r="O68" s="17" t="n">
        <v>7</v>
      </c>
      <c r="P68" s="17" t="n">
        <v>4</v>
      </c>
      <c r="Q68" s="17" t="n">
        <v>6</v>
      </c>
      <c r="R68" s="17" t="n">
        <v>6</v>
      </c>
      <c r="S68" s="17" t="n">
        <v>4</v>
      </c>
      <c r="T68" s="17" t="n">
        <v>5</v>
      </c>
      <c r="U68" s="17" t="n">
        <v>5</v>
      </c>
      <c r="V68" s="17" t="n">
        <v>4</v>
      </c>
      <c r="W68" s="17" t="n">
        <v>4</v>
      </c>
      <c r="X68" s="8">
        <f>SUM(F68:W68)</f>
        <v/>
      </c>
      <c r="Y68" s="8">
        <f>Y11</f>
        <v/>
      </c>
      <c r="Z68" s="8">
        <f>X68-Y68</f>
        <v/>
      </c>
      <c r="AA68" s="8">
        <f>MAX(0,25-Z68)*1.0</f>
        <v/>
      </c>
      <c r="AB68" s="17" t="n">
        <v>5</v>
      </c>
      <c r="AC68" s="17" t="n">
        <v>5</v>
      </c>
      <c r="AD68" s="17" t="n">
        <v>7</v>
      </c>
      <c r="AE68" s="17" t="n">
        <v>5</v>
      </c>
      <c r="AF68" s="17" t="n">
        <v>3</v>
      </c>
      <c r="AG68" s="17" t="n">
        <v>5</v>
      </c>
      <c r="AH68" s="17" t="n">
        <v>5</v>
      </c>
      <c r="AI68" s="17" t="n">
        <v>4</v>
      </c>
      <c r="AJ68" s="17" t="n">
        <v>4</v>
      </c>
      <c r="AK68" s="17" t="n">
        <v>5</v>
      </c>
      <c r="AL68" s="17" t="n">
        <v>4</v>
      </c>
      <c r="AM68" s="17" t="n">
        <v>5</v>
      </c>
      <c r="AN68" s="17" t="n">
        <v>5</v>
      </c>
      <c r="AO68" s="17" t="n">
        <v>4</v>
      </c>
      <c r="AP68" s="17" t="n">
        <v>5</v>
      </c>
      <c r="AQ68" s="17" t="n">
        <v>6</v>
      </c>
      <c r="AR68" s="17" t="n">
        <v>4</v>
      </c>
      <c r="AS68" s="17" t="n">
        <v>5</v>
      </c>
      <c r="AT68" s="8">
        <f>SUM(AB68:AS68)</f>
        <v/>
      </c>
      <c r="AU68" s="8">
        <f>AU11</f>
        <v/>
      </c>
      <c r="AV68" s="8">
        <f>AT68-AU68</f>
        <v/>
      </c>
      <c r="AW68" s="8">
        <f>MAX(0,25-AV68)*1.0</f>
        <v/>
      </c>
      <c r="AX68" s="18">
        <f>AA68+AW68</f>
        <v/>
      </c>
    </row>
    <row r="69">
      <c r="A69" s="8" t="n">
        <v>57</v>
      </c>
      <c r="B69" t="inlineStr">
        <is>
          <t>Ashton Everest</t>
        </is>
      </c>
      <c r="C69" s="8" t="inlineStr">
        <is>
          <t>47869</t>
        </is>
      </c>
      <c r="D69" t="inlineStr">
        <is>
          <t>Vilamoura, C. G</t>
        </is>
      </c>
      <c r="E69" s="8" t="n">
        <v>4.6</v>
      </c>
      <c r="F69" s="17" t="n">
        <v>5</v>
      </c>
      <c r="G69" s="17" t="n">
        <v>6</v>
      </c>
      <c r="H69" s="17" t="n">
        <v>6</v>
      </c>
      <c r="I69" s="17" t="n">
        <v>4</v>
      </c>
      <c r="J69" s="17" t="n">
        <v>4</v>
      </c>
      <c r="K69" s="17" t="n">
        <v>6</v>
      </c>
      <c r="L69" s="17" t="n">
        <v>6</v>
      </c>
      <c r="M69" s="17" t="n">
        <v>4</v>
      </c>
      <c r="N69" s="17" t="n">
        <v>4</v>
      </c>
      <c r="O69" s="17" t="n">
        <v>5</v>
      </c>
      <c r="P69" s="17" t="n">
        <v>3</v>
      </c>
      <c r="Q69" s="17" t="n">
        <v>4</v>
      </c>
      <c r="R69" s="17" t="n">
        <v>6</v>
      </c>
      <c r="S69" s="17" t="n">
        <v>5</v>
      </c>
      <c r="T69" s="17" t="n">
        <v>4</v>
      </c>
      <c r="U69" s="17" t="n">
        <v>6</v>
      </c>
      <c r="V69" s="17" t="n">
        <v>4</v>
      </c>
      <c r="W69" s="17" t="n">
        <v>4</v>
      </c>
      <c r="X69" s="8">
        <f>SUM(F69:W69)</f>
        <v/>
      </c>
      <c r="Y69" s="8">
        <f>Y11</f>
        <v/>
      </c>
      <c r="Z69" s="8">
        <f>X69-Y69</f>
        <v/>
      </c>
      <c r="AA69" s="8">
        <f>MAX(0,25-Z69)*1.0</f>
        <v/>
      </c>
      <c r="AB69" s="17" t="n">
        <v>4</v>
      </c>
      <c r="AC69" s="17" t="n">
        <v>5</v>
      </c>
      <c r="AD69" s="17" t="n">
        <v>5</v>
      </c>
      <c r="AE69" s="17" t="n">
        <v>3</v>
      </c>
      <c r="AF69" s="17" t="n">
        <v>3</v>
      </c>
      <c r="AG69" s="17" t="n">
        <v>5</v>
      </c>
      <c r="AH69" s="17" t="n">
        <v>5</v>
      </c>
      <c r="AI69" s="17" t="n">
        <v>3</v>
      </c>
      <c r="AJ69" s="17" t="n">
        <v>4</v>
      </c>
      <c r="AK69" s="17" t="n">
        <v>7</v>
      </c>
      <c r="AL69" s="17" t="n">
        <v>3</v>
      </c>
      <c r="AM69" s="17" t="n">
        <v>4</v>
      </c>
      <c r="AN69" s="17" t="n">
        <v>7</v>
      </c>
      <c r="AO69" s="17" t="n">
        <v>4</v>
      </c>
      <c r="AP69" s="17" t="n">
        <v>4</v>
      </c>
      <c r="AQ69" s="17" t="n">
        <v>5</v>
      </c>
      <c r="AR69" s="17" t="n">
        <v>4</v>
      </c>
      <c r="AS69" s="17" t="n">
        <v>5</v>
      </c>
      <c r="AT69" s="8">
        <f>SUM(AB69:AS69)</f>
        <v/>
      </c>
      <c r="AU69" s="8">
        <f>AU11</f>
        <v/>
      </c>
      <c r="AV69" s="8">
        <f>AT69-AU69</f>
        <v/>
      </c>
      <c r="AW69" s="8">
        <f>MAX(0,25-AV69)*1.0</f>
        <v/>
      </c>
      <c r="AX69" s="18">
        <f>AA69+AW69</f>
        <v/>
      </c>
    </row>
    <row r="70">
      <c r="A70" s="8" t="n">
        <v>58</v>
      </c>
      <c r="B70" t="inlineStr">
        <is>
          <t>Margarida Rico</t>
        </is>
      </c>
      <c r="C70" s="8" t="inlineStr">
        <is>
          <t>38633</t>
        </is>
      </c>
      <c r="D70" t="inlineStr">
        <is>
          <t>Verdegolf</t>
        </is>
      </c>
      <c r="E70" s="8" t="n">
        <v>5.1</v>
      </c>
      <c r="F70" s="17" t="n">
        <v>6</v>
      </c>
      <c r="G70" s="17" t="n">
        <v>5</v>
      </c>
      <c r="H70" s="17" t="n">
        <v>6</v>
      </c>
      <c r="I70" s="17" t="n">
        <v>4</v>
      </c>
      <c r="J70" s="17" t="n">
        <v>4</v>
      </c>
      <c r="K70" s="17" t="n">
        <v>5</v>
      </c>
      <c r="L70" s="17" t="n">
        <v>5</v>
      </c>
      <c r="M70" s="17" t="n">
        <v>4</v>
      </c>
      <c r="N70" s="17" t="n">
        <v>4</v>
      </c>
      <c r="O70" s="17" t="n">
        <v>6</v>
      </c>
      <c r="P70" s="17" t="n">
        <v>2</v>
      </c>
      <c r="Q70" s="17" t="n">
        <v>6</v>
      </c>
      <c r="R70" s="17" t="n">
        <v>6</v>
      </c>
      <c r="S70" s="17" t="n">
        <v>5</v>
      </c>
      <c r="T70" s="17" t="n">
        <v>4</v>
      </c>
      <c r="U70" s="17" t="n">
        <v>6</v>
      </c>
      <c r="V70" s="17" t="n">
        <v>3</v>
      </c>
      <c r="W70" s="17" t="n">
        <v>5</v>
      </c>
      <c r="X70" s="8">
        <f>SUM(F70:W70)</f>
        <v/>
      </c>
      <c r="Y70" s="8">
        <f>Y11</f>
        <v/>
      </c>
      <c r="Z70" s="8">
        <f>X70-Y70</f>
        <v/>
      </c>
      <c r="AA70" s="8">
        <f>MAX(0,25-Z70)*1.0</f>
        <v/>
      </c>
      <c r="AB70" s="17" t="n">
        <v>4</v>
      </c>
      <c r="AC70" s="17" t="n">
        <v>5</v>
      </c>
      <c r="AD70" s="17" t="n">
        <v>5</v>
      </c>
      <c r="AE70" s="17" t="n">
        <v>4</v>
      </c>
      <c r="AF70" s="17" t="n">
        <v>4</v>
      </c>
      <c r="AG70" s="17" t="n">
        <v>5</v>
      </c>
      <c r="AH70" s="17" t="n">
        <v>4</v>
      </c>
      <c r="AI70" s="17" t="n">
        <v>3</v>
      </c>
      <c r="AJ70" s="17" t="n">
        <v>5</v>
      </c>
      <c r="AK70" s="17" t="n">
        <v>6</v>
      </c>
      <c r="AL70" s="17" t="n">
        <v>4</v>
      </c>
      <c r="AM70" s="17" t="n">
        <v>5</v>
      </c>
      <c r="AN70" s="17" t="n">
        <v>7</v>
      </c>
      <c r="AO70" s="17" t="n">
        <v>4</v>
      </c>
      <c r="AP70" s="17" t="n">
        <v>4</v>
      </c>
      <c r="AQ70" s="17" t="n">
        <v>5</v>
      </c>
      <c r="AR70" s="17" t="n">
        <v>3</v>
      </c>
      <c r="AS70" s="17" t="n">
        <v>5</v>
      </c>
      <c r="AT70" s="8">
        <f>SUM(AB70:AS70)</f>
        <v/>
      </c>
      <c r="AU70" s="8">
        <f>AU11</f>
        <v/>
      </c>
      <c r="AV70" s="8">
        <f>AT70-AU70</f>
        <v/>
      </c>
      <c r="AW70" s="8">
        <f>MAX(0,25-AV70)*1.0</f>
        <v/>
      </c>
      <c r="AX70" s="18">
        <f>AA70+AW70</f>
        <v/>
      </c>
    </row>
    <row r="71">
      <c r="A71" s="8" t="n">
        <v>59</v>
      </c>
      <c r="B71" t="inlineStr">
        <is>
          <t>Jorge Xavier Graça Silva</t>
        </is>
      </c>
      <c r="C71" s="8" t="inlineStr">
        <is>
          <t>48705</t>
        </is>
      </c>
      <c r="D71" t="inlineStr">
        <is>
          <t>Oporto</t>
        </is>
      </c>
      <c r="E71" s="8" t="n">
        <v>7.2</v>
      </c>
      <c r="F71" s="17" t="n">
        <v>3</v>
      </c>
      <c r="G71" s="17" t="n">
        <v>4</v>
      </c>
      <c r="H71" s="17" t="n">
        <v>7</v>
      </c>
      <c r="I71" s="17" t="n">
        <v>5</v>
      </c>
      <c r="J71" s="17" t="n">
        <v>4</v>
      </c>
      <c r="K71" s="17" t="n">
        <v>7</v>
      </c>
      <c r="L71" s="17" t="n">
        <v>5</v>
      </c>
      <c r="M71" s="17" t="n">
        <v>3</v>
      </c>
      <c r="N71" s="17" t="n">
        <v>4</v>
      </c>
      <c r="O71" s="17" t="n">
        <v>6</v>
      </c>
      <c r="P71" s="17" t="n">
        <v>4</v>
      </c>
      <c r="Q71" s="17" t="n">
        <v>4</v>
      </c>
      <c r="R71" s="17" t="n">
        <v>6</v>
      </c>
      <c r="S71" s="17" t="n">
        <v>4</v>
      </c>
      <c r="T71" s="17" t="n">
        <v>6</v>
      </c>
      <c r="U71" s="17" t="n">
        <v>6</v>
      </c>
      <c r="V71" s="17" t="n">
        <v>3</v>
      </c>
      <c r="W71" s="17" t="n">
        <v>5</v>
      </c>
      <c r="X71" s="8">
        <f>SUM(F71:W71)</f>
        <v/>
      </c>
      <c r="Y71" s="8">
        <f>Y11</f>
        <v/>
      </c>
      <c r="Z71" s="8">
        <f>X71-Y71</f>
        <v/>
      </c>
      <c r="AA71" s="8">
        <f>MAX(0,25-Z71)*1.0</f>
        <v/>
      </c>
      <c r="AB71" s="17" t="n">
        <v>6</v>
      </c>
      <c r="AC71" s="17" t="n">
        <v>5</v>
      </c>
      <c r="AD71" s="17" t="n">
        <v>6</v>
      </c>
      <c r="AE71" s="17" t="n">
        <v>5</v>
      </c>
      <c r="AF71" s="17" t="n">
        <v>3</v>
      </c>
      <c r="AG71" s="17" t="n">
        <v>5</v>
      </c>
      <c r="AH71" s="17" t="n">
        <v>6</v>
      </c>
      <c r="AI71" s="17" t="n">
        <v>3</v>
      </c>
      <c r="AJ71" s="17" t="n">
        <v>5</v>
      </c>
      <c r="AK71" s="17" t="n">
        <v>5</v>
      </c>
      <c r="AL71" s="17" t="n">
        <v>6</v>
      </c>
      <c r="AM71" s="17" t="n">
        <v>4</v>
      </c>
      <c r="AN71" s="17" t="n">
        <v>7</v>
      </c>
      <c r="AO71" s="17" t="n">
        <v>4</v>
      </c>
      <c r="AP71" s="17" t="n">
        <v>4</v>
      </c>
      <c r="AQ71" s="17" t="n">
        <v>6</v>
      </c>
      <c r="AR71" s="17" t="n">
        <v>4</v>
      </c>
      <c r="AS71" s="17" t="n">
        <v>4</v>
      </c>
      <c r="AT71" s="8">
        <f>SUM(AB71:AS71)</f>
        <v/>
      </c>
      <c r="AU71" s="8">
        <f>AU11</f>
        <v/>
      </c>
      <c r="AV71" s="8">
        <f>AT71-AU71</f>
        <v/>
      </c>
      <c r="AW71" s="8">
        <f>MAX(0,25-AV71)*1.0</f>
        <v/>
      </c>
      <c r="AX71" s="18">
        <f>AA71+AW71</f>
        <v/>
      </c>
    </row>
    <row r="72">
      <c r="A72" s="8" t="n">
        <v>60</v>
      </c>
      <c r="B72" t="inlineStr">
        <is>
          <t>Margarida Silva Pinto</t>
        </is>
      </c>
      <c r="C72" s="8" t="inlineStr">
        <is>
          <t>46310</t>
        </is>
      </c>
      <c r="D72" t="inlineStr">
        <is>
          <t>Miramar</t>
        </is>
      </c>
      <c r="E72" s="8" t="n">
        <v>5.6</v>
      </c>
      <c r="F72" s="17" t="n">
        <v>4</v>
      </c>
      <c r="G72" s="17" t="n">
        <v>5</v>
      </c>
      <c r="H72" s="17" t="n">
        <v>8</v>
      </c>
      <c r="I72" s="17" t="n">
        <v>4</v>
      </c>
      <c r="J72" s="17" t="n">
        <v>3</v>
      </c>
      <c r="K72" s="17" t="n">
        <v>5</v>
      </c>
      <c r="L72" s="17" t="n">
        <v>6</v>
      </c>
      <c r="M72" s="17" t="n">
        <v>3</v>
      </c>
      <c r="N72" s="17" t="n">
        <v>4</v>
      </c>
      <c r="O72" s="17" t="n">
        <v>7</v>
      </c>
      <c r="P72" s="17" t="n">
        <v>4</v>
      </c>
      <c r="Q72" s="17" t="n">
        <v>3</v>
      </c>
      <c r="R72" s="17" t="n">
        <v>5</v>
      </c>
      <c r="S72" s="17" t="n">
        <v>5</v>
      </c>
      <c r="T72" s="17" t="n">
        <v>4</v>
      </c>
      <c r="U72" s="17" t="n">
        <v>6</v>
      </c>
      <c r="V72" s="17" t="n">
        <v>4</v>
      </c>
      <c r="W72" s="17" t="n">
        <v>6</v>
      </c>
      <c r="X72" s="8">
        <f>SUM(F72:W72)</f>
        <v/>
      </c>
      <c r="Y72" s="8">
        <f>Y11</f>
        <v/>
      </c>
      <c r="Z72" s="8">
        <f>X72-Y72</f>
        <v/>
      </c>
      <c r="AA72" s="8">
        <f>MAX(0,25-Z72)*1.0</f>
        <v/>
      </c>
      <c r="AB72" s="17" t="n">
        <v>4</v>
      </c>
      <c r="AC72" s="17" t="n">
        <v>4</v>
      </c>
      <c r="AD72" s="17" t="n">
        <v>4</v>
      </c>
      <c r="AE72" s="17" t="n">
        <v>5</v>
      </c>
      <c r="AF72" s="17" t="n">
        <v>3</v>
      </c>
      <c r="AG72" s="17" t="n">
        <v>4</v>
      </c>
      <c r="AH72" s="17" t="n">
        <v>6</v>
      </c>
      <c r="AI72" s="17" t="n">
        <v>3</v>
      </c>
      <c r="AJ72" s="17" t="n">
        <v>4</v>
      </c>
      <c r="AK72" s="17" t="n">
        <v>6</v>
      </c>
      <c r="AL72" s="17" t="n">
        <v>2</v>
      </c>
      <c r="AM72" s="17" t="n">
        <v>3</v>
      </c>
      <c r="AN72" s="17" t="n">
        <v>5</v>
      </c>
      <c r="AO72" s="17" t="n">
        <v>5</v>
      </c>
      <c r="AP72" s="17" t="n">
        <v>4</v>
      </c>
      <c r="AQ72" s="17" t="n">
        <v>4</v>
      </c>
      <c r="AR72" s="17" t="n">
        <v>4</v>
      </c>
      <c r="AS72" s="17" t="n">
        <v>5</v>
      </c>
      <c r="AT72" s="8">
        <f>SUM(AB72:AS72)</f>
        <v/>
      </c>
      <c r="AU72" s="8">
        <f>AU11</f>
        <v/>
      </c>
      <c r="AV72" s="8">
        <f>AT72-AU72</f>
        <v/>
      </c>
      <c r="AW72" s="8">
        <f>MAX(0,25-AV72)*1.0</f>
        <v/>
      </c>
      <c r="AX72" s="18">
        <f>AA72+AW72</f>
        <v/>
      </c>
    </row>
    <row r="73">
      <c r="A73" s="8" t="n">
        <v>61</v>
      </c>
      <c r="B73" t="inlineStr">
        <is>
          <t>Madalena Alexandra Van Zeller</t>
        </is>
      </c>
      <c r="C73" s="8" t="inlineStr">
        <is>
          <t>47078</t>
        </is>
      </c>
      <c r="D73" t="inlineStr">
        <is>
          <t>Ilha Terceira</t>
        </is>
      </c>
      <c r="E73" s="8" t="n">
        <v>7.5</v>
      </c>
      <c r="F73" s="17" t="n">
        <v>6</v>
      </c>
      <c r="G73" s="17" t="n">
        <v>6</v>
      </c>
      <c r="H73" s="17" t="n">
        <v>6</v>
      </c>
      <c r="I73" s="17" t="n">
        <v>4</v>
      </c>
      <c r="J73" s="17" t="n">
        <v>4</v>
      </c>
      <c r="K73" s="17" t="n">
        <v>3</v>
      </c>
      <c r="L73" s="17" t="n">
        <v>5</v>
      </c>
      <c r="M73" s="17" t="n">
        <v>3</v>
      </c>
      <c r="N73" s="17" t="n">
        <v>4</v>
      </c>
      <c r="O73" s="17" t="n">
        <v>5</v>
      </c>
      <c r="P73" s="17" t="n">
        <v>3</v>
      </c>
      <c r="Q73" s="17" t="n">
        <v>4</v>
      </c>
      <c r="R73" s="17" t="n">
        <v>5</v>
      </c>
      <c r="S73" s="17" t="n">
        <v>5</v>
      </c>
      <c r="T73" s="17" t="n">
        <v>6</v>
      </c>
      <c r="U73" s="17" t="n">
        <v>8</v>
      </c>
      <c r="V73" s="17" t="n">
        <v>4</v>
      </c>
      <c r="W73" s="17" t="n">
        <v>5</v>
      </c>
      <c r="X73" s="8">
        <f>SUM(F73:W73)</f>
        <v/>
      </c>
      <c r="Y73" s="8">
        <f>Y11</f>
        <v/>
      </c>
      <c r="Z73" s="8">
        <f>X73-Y73</f>
        <v/>
      </c>
      <c r="AA73" s="8">
        <f>MAX(0,25-Z73)*1.0</f>
        <v/>
      </c>
      <c r="AB73" s="17" t="n">
        <v>5</v>
      </c>
      <c r="AC73" s="17" t="n">
        <v>5</v>
      </c>
      <c r="AD73" s="17" t="n">
        <v>8</v>
      </c>
      <c r="AE73" s="17" t="n">
        <v>5</v>
      </c>
      <c r="AF73" s="17" t="n">
        <v>3</v>
      </c>
      <c r="AG73" s="17" t="n">
        <v>5</v>
      </c>
      <c r="AH73" s="17" t="n">
        <v>5</v>
      </c>
      <c r="AI73" s="17" t="n">
        <v>4</v>
      </c>
      <c r="AJ73" s="17" t="n">
        <v>5</v>
      </c>
      <c r="AK73" s="17" t="n">
        <v>6</v>
      </c>
      <c r="AL73" s="17" t="n">
        <v>4</v>
      </c>
      <c r="AM73" s="17" t="n">
        <v>6</v>
      </c>
      <c r="AN73" s="17" t="n">
        <v>6</v>
      </c>
      <c r="AO73" s="17" t="n">
        <v>4</v>
      </c>
      <c r="AP73" s="17" t="n">
        <v>5</v>
      </c>
      <c r="AQ73" s="17" t="n">
        <v>6</v>
      </c>
      <c r="AR73" s="17" t="n">
        <v>4</v>
      </c>
      <c r="AS73" s="17" t="n">
        <v>6</v>
      </c>
      <c r="AT73" s="8">
        <f>SUM(AB73:AS73)</f>
        <v/>
      </c>
      <c r="AU73" s="8">
        <f>AU11</f>
        <v/>
      </c>
      <c r="AV73" s="8">
        <f>AT73-AU73</f>
        <v/>
      </c>
      <c r="AW73" s="8">
        <f>MAX(0,25-AV73)*1.0</f>
        <v/>
      </c>
      <c r="AX73" s="18">
        <f>AA73+AW73</f>
        <v/>
      </c>
    </row>
    <row r="74">
      <c r="A74" s="8" t="n">
        <v>62</v>
      </c>
      <c r="B74" t="inlineStr">
        <is>
          <t>Ion Orbu</t>
        </is>
      </c>
      <c r="C74" s="8" t="inlineStr">
        <is>
          <t>51352</t>
        </is>
      </c>
      <c r="D74" t="inlineStr">
        <is>
          <t>Amendoeira</t>
        </is>
      </c>
      <c r="E74" s="8" t="n">
        <v>7.8</v>
      </c>
      <c r="F74" s="17" t="n">
        <v>4</v>
      </c>
      <c r="G74" s="17" t="n">
        <v>7</v>
      </c>
      <c r="H74" s="17" t="n">
        <v>7</v>
      </c>
      <c r="I74" s="17" t="n">
        <v>6</v>
      </c>
      <c r="J74" s="17" t="n">
        <v>4</v>
      </c>
      <c r="K74" s="17" t="n">
        <v>4</v>
      </c>
      <c r="L74" s="17" t="n">
        <v>6</v>
      </c>
      <c r="M74" s="17" t="n">
        <v>5</v>
      </c>
      <c r="N74" s="17" t="n">
        <v>6</v>
      </c>
      <c r="O74" s="17" t="n">
        <v>5</v>
      </c>
      <c r="P74" s="17" t="n">
        <v>3</v>
      </c>
      <c r="Q74" s="17" t="n">
        <v>4</v>
      </c>
      <c r="R74" s="17" t="n">
        <v>6</v>
      </c>
      <c r="S74" s="17" t="n">
        <v>4</v>
      </c>
      <c r="T74" s="17" t="n">
        <v>4</v>
      </c>
      <c r="U74" s="17" t="n">
        <v>5</v>
      </c>
      <c r="V74" s="17" t="n">
        <v>3</v>
      </c>
      <c r="W74" s="17" t="n">
        <v>4</v>
      </c>
      <c r="X74" s="8">
        <f>SUM(F74:W74)</f>
        <v/>
      </c>
      <c r="Y74" s="8">
        <f>Y11</f>
        <v/>
      </c>
      <c r="Z74" s="8">
        <f>X74-Y74</f>
        <v/>
      </c>
      <c r="AA74" s="8">
        <f>MAX(0,25-Z74)*1.0</f>
        <v/>
      </c>
      <c r="AW74" s="8" t="n">
        <v>0</v>
      </c>
      <c r="AX74" s="18">
        <f>AA74+AW74</f>
        <v/>
      </c>
    </row>
    <row r="75">
      <c r="A75" s="8" t="n">
        <v>63</v>
      </c>
      <c r="B75" t="inlineStr">
        <is>
          <t>André Gonçalves</t>
        </is>
      </c>
      <c r="C75" s="8" t="inlineStr">
        <is>
          <t>41121</t>
        </is>
      </c>
      <c r="D75" t="inlineStr">
        <is>
          <t>Palheiro</t>
        </is>
      </c>
      <c r="E75" s="8" t="n">
        <v>6.5</v>
      </c>
      <c r="F75" s="17" t="n">
        <v>4</v>
      </c>
      <c r="G75" s="17" t="n">
        <v>6</v>
      </c>
      <c r="H75" s="17" t="n">
        <v>7</v>
      </c>
      <c r="I75" s="17" t="n">
        <v>6</v>
      </c>
      <c r="J75" s="17" t="n">
        <v>8</v>
      </c>
      <c r="K75" s="17" t="n">
        <v>3</v>
      </c>
      <c r="L75" s="17" t="n">
        <v>6</v>
      </c>
      <c r="M75" s="17" t="n">
        <v>3</v>
      </c>
      <c r="N75" s="17" t="n">
        <v>4</v>
      </c>
      <c r="O75" s="17" t="n">
        <v>5</v>
      </c>
      <c r="P75" s="17" t="n">
        <v>3</v>
      </c>
      <c r="Q75" s="17" t="n">
        <v>4</v>
      </c>
      <c r="R75" s="17" t="n">
        <v>5</v>
      </c>
      <c r="S75" s="17" t="n">
        <v>3</v>
      </c>
      <c r="T75" s="17" t="n">
        <v>5</v>
      </c>
      <c r="U75" s="17" t="n">
        <v>6</v>
      </c>
      <c r="V75" s="17" t="n">
        <v>5</v>
      </c>
      <c r="W75" s="17" t="n">
        <v>4</v>
      </c>
      <c r="X75" s="8">
        <f>SUM(F75:W75)</f>
        <v/>
      </c>
      <c r="Y75" s="8">
        <f>Y11</f>
        <v/>
      </c>
      <c r="Z75" s="8">
        <f>X75-Y75</f>
        <v/>
      </c>
      <c r="AA75" s="8">
        <f>MAX(0,25-Z75)*1.0</f>
        <v/>
      </c>
      <c r="AB75" s="17" t="n">
        <v>5</v>
      </c>
      <c r="AC75" s="17" t="n">
        <v>6</v>
      </c>
      <c r="AD75" s="17" t="n">
        <v>5</v>
      </c>
      <c r="AE75" s="17" t="n">
        <v>6</v>
      </c>
      <c r="AF75" s="17" t="n">
        <v>5</v>
      </c>
      <c r="AG75" s="17" t="n">
        <v>4</v>
      </c>
      <c r="AH75" s="17" t="n">
        <v>5</v>
      </c>
      <c r="AI75" s="17" t="n">
        <v>4</v>
      </c>
      <c r="AJ75" s="17" t="n">
        <v>3</v>
      </c>
      <c r="AK75" s="17" t="n">
        <v>6</v>
      </c>
      <c r="AL75" s="17" t="n">
        <v>5</v>
      </c>
      <c r="AM75" s="17" t="n">
        <v>4</v>
      </c>
      <c r="AN75" s="17" t="n">
        <v>5</v>
      </c>
      <c r="AO75" s="17" t="n">
        <v>3</v>
      </c>
      <c r="AP75" s="17" t="n">
        <v>3</v>
      </c>
      <c r="AQ75" s="17" t="n">
        <v>6</v>
      </c>
      <c r="AR75" s="17" t="n">
        <v>4</v>
      </c>
      <c r="AS75" s="17" t="n">
        <v>5</v>
      </c>
      <c r="AT75" s="8">
        <f>SUM(AB75:AS75)</f>
        <v/>
      </c>
      <c r="AU75" s="8">
        <f>AU11</f>
        <v/>
      </c>
      <c r="AV75" s="8">
        <f>AT75-AU75</f>
        <v/>
      </c>
      <c r="AW75" s="8">
        <f>MAX(0,25-AV75)*1.0</f>
        <v/>
      </c>
      <c r="AX75" s="18">
        <f>AA75+AW75</f>
        <v/>
      </c>
    </row>
    <row r="76">
      <c r="A76" s="8" t="n">
        <v>64</v>
      </c>
      <c r="B76" t="inlineStr">
        <is>
          <t>Tomás Trigo Pereira</t>
        </is>
      </c>
      <c r="C76" s="8" t="inlineStr">
        <is>
          <t>38722</t>
        </is>
      </c>
      <c r="D76" t="inlineStr">
        <is>
          <t>Aroeira</t>
        </is>
      </c>
      <c r="E76" s="8" t="n">
        <v>7.7</v>
      </c>
      <c r="F76" s="17" t="n">
        <v>6</v>
      </c>
      <c r="G76" s="17" t="n">
        <v>5</v>
      </c>
      <c r="H76" s="17" t="n">
        <v>6</v>
      </c>
      <c r="I76" s="17" t="n">
        <v>5</v>
      </c>
      <c r="J76" s="17" t="n">
        <v>4</v>
      </c>
      <c r="K76" s="17" t="n">
        <v>5</v>
      </c>
      <c r="L76" s="17" t="n">
        <v>6</v>
      </c>
      <c r="M76" s="17" t="n">
        <v>5</v>
      </c>
      <c r="N76" s="17" t="n">
        <v>5</v>
      </c>
      <c r="O76" s="17" t="n">
        <v>5</v>
      </c>
      <c r="P76" s="17" t="n">
        <v>3</v>
      </c>
      <c r="Q76" s="17" t="n">
        <v>3</v>
      </c>
      <c r="R76" s="17" t="n">
        <v>6</v>
      </c>
      <c r="S76" s="17" t="n">
        <v>4</v>
      </c>
      <c r="T76" s="17" t="n">
        <v>4</v>
      </c>
      <c r="U76" s="17" t="n">
        <v>6</v>
      </c>
      <c r="V76" s="17" t="n">
        <v>4</v>
      </c>
      <c r="W76" s="17" t="n">
        <v>5</v>
      </c>
      <c r="X76" s="8">
        <f>SUM(F76:W76)</f>
        <v/>
      </c>
      <c r="Y76" s="8">
        <f>Y11</f>
        <v/>
      </c>
      <c r="Z76" s="8">
        <f>X76-Y76</f>
        <v/>
      </c>
      <c r="AA76" s="8">
        <f>MAX(0,25-Z76)*1.0</f>
        <v/>
      </c>
      <c r="AB76" s="17" t="n">
        <v>5</v>
      </c>
      <c r="AC76" s="17" t="n">
        <v>4</v>
      </c>
      <c r="AD76" s="17" t="n">
        <v>5</v>
      </c>
      <c r="AE76" s="17" t="n">
        <v>3</v>
      </c>
      <c r="AF76" s="17" t="n">
        <v>4</v>
      </c>
      <c r="AG76" s="17" t="n">
        <v>5</v>
      </c>
      <c r="AH76" s="17" t="n">
        <v>5</v>
      </c>
      <c r="AI76" s="17" t="n">
        <v>4</v>
      </c>
      <c r="AJ76" s="17" t="n">
        <v>5</v>
      </c>
      <c r="AK76" s="17" t="n">
        <v>6</v>
      </c>
      <c r="AL76" s="17" t="n">
        <v>4</v>
      </c>
      <c r="AM76" s="17" t="n">
        <v>4</v>
      </c>
      <c r="AN76" s="17" t="n">
        <v>7</v>
      </c>
      <c r="AO76" s="17" t="n">
        <v>4</v>
      </c>
      <c r="AP76" s="17" t="n">
        <v>5</v>
      </c>
      <c r="AQ76" s="17" t="n">
        <v>6</v>
      </c>
      <c r="AR76" s="17" t="n">
        <v>5</v>
      </c>
      <c r="AS76" s="17" t="n">
        <v>5</v>
      </c>
      <c r="AT76" s="8">
        <f>SUM(AB76:AS76)</f>
        <v/>
      </c>
      <c r="AU76" s="8">
        <f>AU11</f>
        <v/>
      </c>
      <c r="AV76" s="8">
        <f>AT76-AU76</f>
        <v/>
      </c>
      <c r="AW76" s="8">
        <f>MAX(0,25-AV76)*1.0</f>
        <v/>
      </c>
      <c r="AX76" s="18">
        <f>AA76+AW76</f>
        <v/>
      </c>
    </row>
    <row r="77">
      <c r="A77" s="8" t="n">
        <v>65</v>
      </c>
      <c r="B77" t="inlineStr">
        <is>
          <t>Salvador Ivo de Carvalho</t>
        </is>
      </c>
      <c r="C77" s="8" t="inlineStr">
        <is>
          <t>43968</t>
        </is>
      </c>
      <c r="D77" t="inlineStr">
        <is>
          <t>Vilamoura, C. G</t>
        </is>
      </c>
      <c r="E77" s="8" t="n">
        <v>8.1</v>
      </c>
      <c r="F77" s="17" t="n">
        <v>5</v>
      </c>
      <c r="G77" s="17" t="n">
        <v>4</v>
      </c>
      <c r="H77" s="17" t="n">
        <v>6</v>
      </c>
      <c r="I77" s="17" t="n">
        <v>5</v>
      </c>
      <c r="J77" s="17" t="n">
        <v>4</v>
      </c>
      <c r="K77" s="17" t="n">
        <v>5</v>
      </c>
      <c r="L77" s="17" t="n">
        <v>6</v>
      </c>
      <c r="M77" s="17" t="n">
        <v>3</v>
      </c>
      <c r="N77" s="17" t="n">
        <v>4</v>
      </c>
      <c r="O77" s="17" t="n">
        <v>6</v>
      </c>
      <c r="P77" s="17" t="n">
        <v>3</v>
      </c>
      <c r="Q77" s="17" t="n">
        <v>4</v>
      </c>
      <c r="R77" s="17" t="n">
        <v>6</v>
      </c>
      <c r="S77" s="17" t="n">
        <v>5</v>
      </c>
      <c r="T77" s="17" t="n">
        <v>5</v>
      </c>
      <c r="U77" s="17" t="n">
        <v>7</v>
      </c>
      <c r="V77" s="17" t="n">
        <v>4</v>
      </c>
      <c r="W77" s="17" t="n">
        <v>6</v>
      </c>
      <c r="X77" s="8">
        <f>SUM(F77:W77)</f>
        <v/>
      </c>
      <c r="Y77" s="8">
        <f>Y11</f>
        <v/>
      </c>
      <c r="Z77" s="8">
        <f>X77-Y77</f>
        <v/>
      </c>
      <c r="AA77" s="8">
        <f>MAX(0,25-Z77)*1.0</f>
        <v/>
      </c>
      <c r="AB77" s="17" t="n">
        <v>5</v>
      </c>
      <c r="AC77" s="17" t="n">
        <v>5</v>
      </c>
      <c r="AD77" s="17" t="n">
        <v>5</v>
      </c>
      <c r="AE77" s="17" t="n">
        <v>6</v>
      </c>
      <c r="AF77" s="17" t="n">
        <v>4</v>
      </c>
      <c r="AG77" s="17" t="n">
        <v>4</v>
      </c>
      <c r="AH77" s="17" t="n">
        <v>6</v>
      </c>
      <c r="AI77" s="17" t="n">
        <v>3</v>
      </c>
      <c r="AJ77" s="17" t="n">
        <v>5</v>
      </c>
      <c r="AK77" s="17" t="n">
        <v>6</v>
      </c>
      <c r="AL77" s="17" t="n">
        <v>2</v>
      </c>
      <c r="AM77" s="17" t="n">
        <v>5</v>
      </c>
      <c r="AN77" s="17" t="n">
        <v>6</v>
      </c>
      <c r="AO77" s="17" t="n">
        <v>4</v>
      </c>
      <c r="AP77" s="17" t="n">
        <v>4</v>
      </c>
      <c r="AQ77" s="17" t="n">
        <v>5</v>
      </c>
      <c r="AR77" s="17" t="n">
        <v>4</v>
      </c>
      <c r="AS77" s="17" t="n">
        <v>5</v>
      </c>
      <c r="AT77" s="8">
        <f>SUM(AB77:AS77)</f>
        <v/>
      </c>
      <c r="AU77" s="8">
        <f>AU11</f>
        <v/>
      </c>
      <c r="AV77" s="8">
        <f>AT77-AU77</f>
        <v/>
      </c>
      <c r="AW77" s="8">
        <f>MAX(0,25-AV77)*1.0</f>
        <v/>
      </c>
      <c r="AX77" s="18">
        <f>AA77+AW77</f>
        <v/>
      </c>
    </row>
    <row r="78">
      <c r="A78" s="8" t="n">
        <v>66</v>
      </c>
      <c r="B78" t="inlineStr">
        <is>
          <t>William Gao</t>
        </is>
      </c>
      <c r="C78" s="8" t="inlineStr">
        <is>
          <t>51524</t>
        </is>
      </c>
      <c r="D78" t="inlineStr">
        <is>
          <t>Quinta do Peru</t>
        </is>
      </c>
      <c r="E78" s="8" t="n">
        <v>8.699999999999999</v>
      </c>
      <c r="F78" s="17" t="n">
        <v>6</v>
      </c>
      <c r="G78" s="17" t="n">
        <v>5</v>
      </c>
      <c r="H78" s="17" t="n">
        <v>5</v>
      </c>
      <c r="I78" s="17" t="n">
        <v>5</v>
      </c>
      <c r="J78" s="17" t="n">
        <v>3</v>
      </c>
      <c r="K78" s="17" t="n">
        <v>4</v>
      </c>
      <c r="L78" s="17" t="n">
        <v>5</v>
      </c>
      <c r="M78" s="17" t="n">
        <v>3</v>
      </c>
      <c r="N78" s="17" t="n">
        <v>4</v>
      </c>
      <c r="O78" s="17" t="n">
        <v>6</v>
      </c>
      <c r="P78" s="17" t="n">
        <v>4</v>
      </c>
      <c r="Q78" s="17" t="n">
        <v>4</v>
      </c>
      <c r="R78" s="17" t="n">
        <v>7</v>
      </c>
      <c r="S78" s="17" t="n">
        <v>5</v>
      </c>
      <c r="T78" s="17" t="n">
        <v>6</v>
      </c>
      <c r="U78" s="17" t="n">
        <v>7</v>
      </c>
      <c r="V78" s="17" t="n">
        <v>3</v>
      </c>
      <c r="W78" s="17" t="n">
        <v>6</v>
      </c>
      <c r="X78" s="8">
        <f>SUM(F78:W78)</f>
        <v/>
      </c>
      <c r="Y78" s="8">
        <f>Y11</f>
        <v/>
      </c>
      <c r="Z78" s="8">
        <f>X78-Y78</f>
        <v/>
      </c>
      <c r="AA78" s="8">
        <f>MAX(0,25-Z78)*1.0</f>
        <v/>
      </c>
      <c r="AB78" s="17" t="n">
        <v>5</v>
      </c>
      <c r="AC78" s="17" t="n">
        <v>5</v>
      </c>
      <c r="AD78" s="17" t="n">
        <v>5</v>
      </c>
      <c r="AE78" s="17" t="n">
        <v>5</v>
      </c>
      <c r="AF78" s="17" t="n">
        <v>3</v>
      </c>
      <c r="AG78" s="17" t="n">
        <v>6</v>
      </c>
      <c r="AH78" s="17" t="n">
        <v>7</v>
      </c>
      <c r="AI78" s="17" t="n">
        <v>3</v>
      </c>
      <c r="AJ78" s="17" t="n">
        <v>4</v>
      </c>
      <c r="AK78" s="17" t="n">
        <v>6</v>
      </c>
      <c r="AL78" s="17" t="n">
        <v>6</v>
      </c>
      <c r="AM78" s="17" t="n">
        <v>4</v>
      </c>
      <c r="AN78" s="17" t="n">
        <v>9</v>
      </c>
      <c r="AO78" s="17" t="n">
        <v>7</v>
      </c>
      <c r="AP78" s="17" t="n">
        <v>5</v>
      </c>
      <c r="AQ78" s="17" t="n">
        <v>6</v>
      </c>
      <c r="AR78" s="17" t="n">
        <v>4</v>
      </c>
      <c r="AS78" s="17" t="n">
        <v>6</v>
      </c>
      <c r="AT78" s="8">
        <f>SUM(AB78:AS78)</f>
        <v/>
      </c>
      <c r="AU78" s="8">
        <f>AU11</f>
        <v/>
      </c>
      <c r="AV78" s="8">
        <f>AT78-AU78</f>
        <v/>
      </c>
      <c r="AW78" s="8">
        <f>MAX(0,25-AV78)*1.0</f>
        <v/>
      </c>
      <c r="AX78" s="18">
        <f>AA78+AW78</f>
        <v/>
      </c>
    </row>
    <row r="79">
      <c r="A79" s="8" t="n">
        <v>67</v>
      </c>
      <c r="B79" t="inlineStr">
        <is>
          <t>José Pedro Miranda</t>
        </is>
      </c>
      <c r="C79" s="8" t="inlineStr">
        <is>
          <t>38976</t>
        </is>
      </c>
      <c r="D79" t="inlineStr">
        <is>
          <t>Palheiro</t>
        </is>
      </c>
      <c r="E79" s="8" t="n">
        <v>6.8</v>
      </c>
      <c r="F79" s="17" t="n">
        <v>4</v>
      </c>
      <c r="G79" s="17" t="n">
        <v>4</v>
      </c>
      <c r="H79" s="17" t="n">
        <v>7</v>
      </c>
      <c r="I79" s="17" t="n">
        <v>6</v>
      </c>
      <c r="J79" s="17" t="n">
        <v>6</v>
      </c>
      <c r="K79" s="17" t="n">
        <v>8</v>
      </c>
      <c r="L79" s="17" t="n">
        <v>5</v>
      </c>
      <c r="M79" s="17" t="n">
        <v>4</v>
      </c>
      <c r="N79" s="17" t="n">
        <v>4</v>
      </c>
      <c r="O79" s="17" t="n">
        <v>5</v>
      </c>
      <c r="P79" s="17" t="n">
        <v>4</v>
      </c>
      <c r="Q79" s="17" t="n">
        <v>4</v>
      </c>
      <c r="R79" s="17" t="n">
        <v>6</v>
      </c>
      <c r="S79" s="17" t="n">
        <v>4</v>
      </c>
      <c r="T79" s="17" t="n">
        <v>5</v>
      </c>
      <c r="U79" s="17" t="n">
        <v>5</v>
      </c>
      <c r="V79" s="17" t="n">
        <v>4</v>
      </c>
      <c r="W79" s="17" t="n">
        <v>4</v>
      </c>
      <c r="X79" s="8">
        <f>SUM(F79:W79)</f>
        <v/>
      </c>
      <c r="Y79" s="8">
        <f>Y11</f>
        <v/>
      </c>
      <c r="Z79" s="8">
        <f>X79-Y79</f>
        <v/>
      </c>
      <c r="AA79" s="8">
        <f>MAX(0,25-Z79)*1.0</f>
        <v/>
      </c>
      <c r="AB79" s="17" t="n">
        <v>5</v>
      </c>
      <c r="AC79" s="17" t="n">
        <v>5</v>
      </c>
      <c r="AD79" s="17" t="n">
        <v>7</v>
      </c>
      <c r="AE79" s="17" t="n">
        <v>4</v>
      </c>
      <c r="AF79" s="17" t="n">
        <v>4</v>
      </c>
      <c r="AG79" s="17" t="n">
        <v>5</v>
      </c>
      <c r="AH79" s="17" t="n">
        <v>7</v>
      </c>
      <c r="AI79" s="17" t="n">
        <v>3</v>
      </c>
      <c r="AJ79" s="17" t="n">
        <v>5</v>
      </c>
      <c r="AK79" s="17" t="n">
        <v>7</v>
      </c>
      <c r="AL79" s="17" t="n">
        <v>5</v>
      </c>
      <c r="AM79" s="17" t="n">
        <v>5</v>
      </c>
      <c r="AN79" s="17" t="n">
        <v>8</v>
      </c>
      <c r="AO79" s="17" t="n">
        <v>3</v>
      </c>
      <c r="AP79" s="17" t="n">
        <v>5</v>
      </c>
      <c r="AQ79" s="17" t="n">
        <v>6</v>
      </c>
      <c r="AR79" s="17" t="n">
        <v>4</v>
      </c>
      <c r="AS79" s="17" t="n">
        <v>4</v>
      </c>
      <c r="AT79" s="8">
        <f>SUM(AB79:AS79)</f>
        <v/>
      </c>
      <c r="AU79" s="8">
        <f>AU11</f>
        <v/>
      </c>
      <c r="AV79" s="8">
        <f>AT79-AU79</f>
        <v/>
      </c>
      <c r="AW79" s="8">
        <f>MAX(0,25-AV79)*1.0</f>
        <v/>
      </c>
      <c r="AX79" s="18">
        <f>AA79+AW79</f>
        <v/>
      </c>
    </row>
    <row r="80">
      <c r="A80" s="8" t="n">
        <v>68</v>
      </c>
      <c r="B80" t="inlineStr">
        <is>
          <t>Maria Loureiro</t>
        </is>
      </c>
      <c r="C80" s="8" t="inlineStr">
        <is>
          <t>46489</t>
        </is>
      </c>
      <c r="D80" t="inlineStr">
        <is>
          <t>Oporto</t>
        </is>
      </c>
      <c r="E80" s="8" t="n">
        <v>6.7</v>
      </c>
      <c r="F80" s="17" t="n">
        <v>6</v>
      </c>
      <c r="G80" s="17" t="n">
        <v>5</v>
      </c>
      <c r="H80" s="17" t="n">
        <v>7</v>
      </c>
      <c r="I80" s="17" t="n">
        <v>4</v>
      </c>
      <c r="J80" s="17" t="n">
        <v>4</v>
      </c>
      <c r="K80" s="17" t="n">
        <v>4</v>
      </c>
      <c r="L80" s="17" t="n">
        <v>5</v>
      </c>
      <c r="M80" s="17" t="n">
        <v>4</v>
      </c>
      <c r="N80" s="17" t="n">
        <v>5</v>
      </c>
      <c r="O80" s="17" t="n">
        <v>6</v>
      </c>
      <c r="P80" s="17" t="n">
        <v>4</v>
      </c>
      <c r="Q80" s="17" t="n">
        <v>5</v>
      </c>
      <c r="R80" s="17" t="n">
        <v>6</v>
      </c>
      <c r="S80" s="17" t="n">
        <v>5</v>
      </c>
      <c r="T80" s="17" t="n">
        <v>4</v>
      </c>
      <c r="U80" s="17" t="n">
        <v>4</v>
      </c>
      <c r="V80" s="17" t="n">
        <v>5</v>
      </c>
      <c r="W80" s="17" t="n">
        <v>6</v>
      </c>
      <c r="X80" s="8">
        <f>SUM(F80:W80)</f>
        <v/>
      </c>
      <c r="Y80" s="8">
        <f>Y11</f>
        <v/>
      </c>
      <c r="Z80" s="8">
        <f>X80-Y80</f>
        <v/>
      </c>
      <c r="AA80" s="8">
        <f>MAX(0,25-Z80)*1.0</f>
        <v/>
      </c>
      <c r="AB80" s="17" t="n">
        <v>4</v>
      </c>
      <c r="AC80" s="17" t="n">
        <v>5</v>
      </c>
      <c r="AD80" s="17" t="n">
        <v>6</v>
      </c>
      <c r="AE80" s="17" t="n">
        <v>6</v>
      </c>
      <c r="AF80" s="17" t="n">
        <v>3</v>
      </c>
      <c r="AG80" s="17" t="n">
        <v>5</v>
      </c>
      <c r="AH80" s="17" t="n">
        <v>6</v>
      </c>
      <c r="AI80" s="17" t="n">
        <v>2</v>
      </c>
      <c r="AJ80" s="17" t="n">
        <v>5</v>
      </c>
      <c r="AK80" s="17" t="n">
        <v>6</v>
      </c>
      <c r="AL80" s="17" t="n">
        <v>3</v>
      </c>
      <c r="AM80" s="17" t="n">
        <v>4</v>
      </c>
      <c r="AN80" s="17" t="n">
        <v>5</v>
      </c>
      <c r="AO80" s="17" t="n">
        <v>3</v>
      </c>
      <c r="AP80" s="17" t="n">
        <v>4</v>
      </c>
      <c r="AQ80" s="17" t="n">
        <v>5</v>
      </c>
      <c r="AR80" s="17" t="n">
        <v>3</v>
      </c>
      <c r="AS80" s="17" t="n">
        <v>4</v>
      </c>
      <c r="AT80" s="8">
        <f>SUM(AB80:AS80)</f>
        <v/>
      </c>
      <c r="AU80" s="8">
        <f>AU11</f>
        <v/>
      </c>
      <c r="AV80" s="8">
        <f>AT80-AU80</f>
        <v/>
      </c>
      <c r="AW80" s="8">
        <f>MAX(0,25-AV80)*1.0</f>
        <v/>
      </c>
      <c r="AX80" s="18">
        <f>AA80+AW80</f>
        <v/>
      </c>
    </row>
    <row r="81">
      <c r="A81" s="8" t="n">
        <v>69</v>
      </c>
      <c r="B81" t="inlineStr">
        <is>
          <t>Gonçalo Maia</t>
        </is>
      </c>
      <c r="C81" s="8" t="inlineStr">
        <is>
          <t>46395</t>
        </is>
      </c>
      <c r="D81" t="inlineStr">
        <is>
          <t>Oporto</t>
        </is>
      </c>
      <c r="E81" s="8" t="n">
        <v>9.800000000000001</v>
      </c>
      <c r="F81" s="17" t="n">
        <v>4</v>
      </c>
      <c r="G81" s="17" t="n">
        <v>6</v>
      </c>
      <c r="H81" s="17" t="n">
        <v>5</v>
      </c>
      <c r="I81" s="17" t="n">
        <v>5</v>
      </c>
      <c r="J81" s="17" t="n">
        <v>3</v>
      </c>
      <c r="K81" s="17" t="n">
        <v>5</v>
      </c>
      <c r="L81" s="17" t="n">
        <v>6</v>
      </c>
      <c r="M81" s="17" t="n">
        <v>4</v>
      </c>
      <c r="N81" s="17" t="n">
        <v>4</v>
      </c>
      <c r="O81" s="17" t="n">
        <v>8</v>
      </c>
      <c r="P81" s="17" t="n">
        <v>3</v>
      </c>
      <c r="Q81" s="17" t="n">
        <v>6</v>
      </c>
      <c r="R81" s="17" t="n">
        <v>5</v>
      </c>
      <c r="S81" s="17" t="n">
        <v>4</v>
      </c>
      <c r="T81" s="17" t="n">
        <v>6</v>
      </c>
      <c r="U81" s="17" t="n">
        <v>5</v>
      </c>
      <c r="V81" s="17" t="n">
        <v>5</v>
      </c>
      <c r="W81" s="17" t="n">
        <v>5</v>
      </c>
      <c r="X81" s="8">
        <f>SUM(F81:W81)</f>
        <v/>
      </c>
      <c r="Y81" s="8">
        <f>Y11</f>
        <v/>
      </c>
      <c r="Z81" s="8">
        <f>X81-Y81</f>
        <v/>
      </c>
      <c r="AA81" s="8">
        <f>MAX(0,25-Z81)*1.0</f>
        <v/>
      </c>
      <c r="AB81" s="17" t="n">
        <v>5</v>
      </c>
      <c r="AC81" s="17" t="n">
        <v>5</v>
      </c>
      <c r="AD81" s="17" t="n">
        <v>6</v>
      </c>
      <c r="AE81" s="17" t="n">
        <v>6</v>
      </c>
      <c r="AF81" s="17" t="n">
        <v>3</v>
      </c>
      <c r="AG81" s="17" t="n">
        <v>5</v>
      </c>
      <c r="AH81" s="17" t="n">
        <v>6</v>
      </c>
      <c r="AI81" s="17" t="n">
        <v>3</v>
      </c>
      <c r="AJ81" s="17" t="n">
        <v>4</v>
      </c>
      <c r="AK81" s="17" t="n">
        <v>6</v>
      </c>
      <c r="AL81" s="17" t="n">
        <v>3</v>
      </c>
      <c r="AM81" s="17" t="n">
        <v>4</v>
      </c>
      <c r="AN81" s="17" t="n">
        <v>6</v>
      </c>
      <c r="AO81" s="17" t="n">
        <v>5</v>
      </c>
      <c r="AP81" s="17" t="n">
        <v>4</v>
      </c>
      <c r="AQ81" s="17" t="n">
        <v>4</v>
      </c>
      <c r="AR81" s="17" t="n">
        <v>3</v>
      </c>
      <c r="AS81" s="17" t="n">
        <v>5</v>
      </c>
      <c r="AT81" s="8">
        <f>SUM(AB81:AS81)</f>
        <v/>
      </c>
      <c r="AU81" s="8">
        <f>AU11</f>
        <v/>
      </c>
      <c r="AV81" s="8">
        <f>AT81-AU81</f>
        <v/>
      </c>
      <c r="AW81" s="8">
        <f>MAX(0,25-AV81)*1.0</f>
        <v/>
      </c>
      <c r="AX81" s="18">
        <f>AA81+AW81</f>
        <v/>
      </c>
    </row>
    <row r="82">
      <c r="A82" s="8" t="n">
        <v>70</v>
      </c>
      <c r="B82" t="inlineStr">
        <is>
          <t>Ethan Sutherland</t>
        </is>
      </c>
      <c r="C82" s="8" t="inlineStr">
        <is>
          <t>48933</t>
        </is>
      </c>
      <c r="D82" t="inlineStr">
        <is>
          <t>Vila Sol</t>
        </is>
      </c>
      <c r="E82" s="8" t="n">
        <v>4</v>
      </c>
      <c r="F82" s="17" t="n">
        <v>6</v>
      </c>
      <c r="G82" s="17" t="n">
        <v>7</v>
      </c>
      <c r="H82" s="17" t="n">
        <v>6</v>
      </c>
      <c r="I82" s="17" t="n">
        <v>3</v>
      </c>
      <c r="J82" s="17" t="n">
        <v>4</v>
      </c>
      <c r="K82" s="17" t="n">
        <v>4</v>
      </c>
      <c r="L82" s="17" t="n">
        <v>5</v>
      </c>
      <c r="M82" s="17" t="n">
        <v>3</v>
      </c>
      <c r="N82" s="17" t="n">
        <v>4</v>
      </c>
      <c r="O82" s="17" t="n">
        <v>5</v>
      </c>
      <c r="P82" s="17" t="n">
        <v>4</v>
      </c>
      <c r="Q82" s="17" t="n">
        <v>5</v>
      </c>
      <c r="R82" s="17" t="n">
        <v>4</v>
      </c>
      <c r="S82" s="17" t="n">
        <v>6</v>
      </c>
      <c r="T82" s="17" t="n">
        <v>6</v>
      </c>
      <c r="U82" s="17" t="n">
        <v>8</v>
      </c>
      <c r="V82" s="17" t="n">
        <v>5</v>
      </c>
      <c r="W82" s="17" t="n">
        <v>4</v>
      </c>
      <c r="X82" s="8">
        <f>SUM(F82:W82)</f>
        <v/>
      </c>
      <c r="Y82" s="8">
        <f>Y11</f>
        <v/>
      </c>
      <c r="Z82" s="8">
        <f>X82-Y82</f>
        <v/>
      </c>
      <c r="AA82" s="8">
        <f>MAX(0,25-Z82)*1.0</f>
        <v/>
      </c>
      <c r="AB82" s="17" t="n">
        <v>6</v>
      </c>
      <c r="AC82" s="17" t="n">
        <v>4</v>
      </c>
      <c r="AD82" s="17" t="n">
        <v>6</v>
      </c>
      <c r="AE82" s="17" t="n">
        <v>6</v>
      </c>
      <c r="AF82" s="17" t="n">
        <v>3</v>
      </c>
      <c r="AG82" s="17" t="n">
        <v>5</v>
      </c>
      <c r="AH82" s="17" t="n">
        <v>5</v>
      </c>
      <c r="AI82" s="17" t="n">
        <v>2</v>
      </c>
      <c r="AJ82" s="17" t="n">
        <v>4</v>
      </c>
      <c r="AK82" s="17" t="n">
        <v>9</v>
      </c>
      <c r="AL82" s="17" t="n">
        <v>4</v>
      </c>
      <c r="AM82" s="17" t="n">
        <v>6</v>
      </c>
      <c r="AN82" s="17" t="n">
        <v>5</v>
      </c>
      <c r="AO82" s="17" t="n">
        <v>4</v>
      </c>
      <c r="AP82" s="17" t="n">
        <v>5</v>
      </c>
      <c r="AQ82" s="17" t="n">
        <v>7</v>
      </c>
      <c r="AR82" s="17" t="n">
        <v>3</v>
      </c>
      <c r="AS82" s="17" t="n">
        <v>5</v>
      </c>
      <c r="AT82" s="8">
        <f>SUM(AB82:AS82)</f>
        <v/>
      </c>
      <c r="AU82" s="8">
        <f>AU11</f>
        <v/>
      </c>
      <c r="AV82" s="8">
        <f>AT82-AU82</f>
        <v/>
      </c>
      <c r="AW82" s="8">
        <f>MAX(0,25-AV82)*1.0</f>
        <v/>
      </c>
      <c r="AX82" s="18">
        <f>AA82+AW82</f>
        <v/>
      </c>
    </row>
    <row r="83">
      <c r="A83" s="8" t="n">
        <v>71</v>
      </c>
      <c r="B83" t="inlineStr">
        <is>
          <t>Madalena Figueiredo</t>
        </is>
      </c>
      <c r="C83" s="8" t="inlineStr">
        <is>
          <t>52011</t>
        </is>
      </c>
      <c r="D83" t="inlineStr">
        <is>
          <t>Belas</t>
        </is>
      </c>
      <c r="E83" s="8" t="n">
        <v>9.300000000000001</v>
      </c>
      <c r="F83" s="17" t="n">
        <v>5</v>
      </c>
      <c r="G83" s="17" t="n">
        <v>5</v>
      </c>
      <c r="H83" s="17" t="n">
        <v>6</v>
      </c>
      <c r="I83" s="17" t="n">
        <v>4</v>
      </c>
      <c r="J83" s="17" t="n">
        <v>3</v>
      </c>
      <c r="K83" s="17" t="n">
        <v>5</v>
      </c>
      <c r="L83" s="17" t="n">
        <v>8</v>
      </c>
      <c r="M83" s="17" t="n">
        <v>3</v>
      </c>
      <c r="N83" s="17" t="n">
        <v>5</v>
      </c>
      <c r="O83" s="17" t="n">
        <v>6</v>
      </c>
      <c r="P83" s="17" t="n">
        <v>3</v>
      </c>
      <c r="Q83" s="17" t="n">
        <v>5</v>
      </c>
      <c r="R83" s="17" t="n">
        <v>7</v>
      </c>
      <c r="S83" s="17" t="n">
        <v>4</v>
      </c>
      <c r="T83" s="17" t="n">
        <v>4</v>
      </c>
      <c r="U83" s="17" t="n">
        <v>7</v>
      </c>
      <c r="V83" s="17" t="n">
        <v>5</v>
      </c>
      <c r="W83" s="17" t="n">
        <v>5</v>
      </c>
      <c r="X83" s="8">
        <f>SUM(F83:W83)</f>
        <v/>
      </c>
      <c r="Y83" s="8">
        <f>Y11</f>
        <v/>
      </c>
      <c r="Z83" s="8">
        <f>X83-Y83</f>
        <v/>
      </c>
      <c r="AA83" s="8">
        <f>MAX(0,25-Z83)*1.0</f>
        <v/>
      </c>
      <c r="AB83" s="17" t="n">
        <v>4</v>
      </c>
      <c r="AC83" s="17" t="n">
        <v>5</v>
      </c>
      <c r="AD83" s="17" t="n">
        <v>6</v>
      </c>
      <c r="AE83" s="17" t="n">
        <v>4</v>
      </c>
      <c r="AF83" s="17" t="n">
        <v>3</v>
      </c>
      <c r="AG83" s="17" t="n">
        <v>4</v>
      </c>
      <c r="AH83" s="17" t="n">
        <v>6</v>
      </c>
      <c r="AI83" s="17" t="n">
        <v>3</v>
      </c>
      <c r="AJ83" s="17" t="n">
        <v>4</v>
      </c>
      <c r="AK83" s="17" t="n">
        <v>6</v>
      </c>
      <c r="AL83" s="17" t="n">
        <v>5</v>
      </c>
      <c r="AM83" s="17" t="n">
        <v>4</v>
      </c>
      <c r="AN83" s="17" t="n">
        <v>5</v>
      </c>
      <c r="AO83" s="17" t="n">
        <v>5</v>
      </c>
      <c r="AP83" s="17" t="n">
        <v>5</v>
      </c>
      <c r="AQ83" s="17" t="n">
        <v>6</v>
      </c>
      <c r="AR83" s="17" t="n">
        <v>3</v>
      </c>
      <c r="AS83" s="17" t="n">
        <v>5</v>
      </c>
      <c r="AT83" s="8">
        <f>SUM(AB83:AS83)</f>
        <v/>
      </c>
      <c r="AU83" s="8">
        <f>AU11</f>
        <v/>
      </c>
      <c r="AV83" s="8">
        <f>AT83-AU83</f>
        <v/>
      </c>
      <c r="AW83" s="8">
        <f>MAX(0,25-AV83)*1.0</f>
        <v/>
      </c>
      <c r="AX83" s="18">
        <f>AA83+AW83</f>
        <v/>
      </c>
    </row>
    <row r="84">
      <c r="A84" s="8" t="n">
        <v>72</v>
      </c>
      <c r="B84" t="inlineStr">
        <is>
          <t>Diogo Marques Lopes</t>
        </is>
      </c>
      <c r="C84" s="8" t="inlineStr">
        <is>
          <t>35874</t>
        </is>
      </c>
      <c r="D84" t="inlineStr">
        <is>
          <t>Citynorte</t>
        </is>
      </c>
      <c r="E84" s="8" t="n">
        <v>5.3</v>
      </c>
      <c r="F84" s="17" t="n">
        <v>4</v>
      </c>
      <c r="G84" s="17" t="n">
        <v>4</v>
      </c>
      <c r="H84" s="17" t="n">
        <v>8</v>
      </c>
      <c r="I84" s="17" t="n">
        <v>7</v>
      </c>
      <c r="J84" s="17" t="n">
        <v>3</v>
      </c>
      <c r="K84" s="17" t="n">
        <v>4</v>
      </c>
      <c r="L84" s="17" t="n">
        <v>6</v>
      </c>
      <c r="M84" s="17" t="n">
        <v>4</v>
      </c>
      <c r="N84" s="17" t="n">
        <v>4</v>
      </c>
      <c r="O84" s="17" t="n">
        <v>5</v>
      </c>
      <c r="P84" s="17" t="n">
        <v>5</v>
      </c>
      <c r="Q84" s="17" t="n">
        <v>5</v>
      </c>
      <c r="R84" s="17" t="n">
        <v>8</v>
      </c>
      <c r="S84" s="17" t="n">
        <v>5</v>
      </c>
      <c r="T84" s="17" t="n">
        <v>4</v>
      </c>
      <c r="U84" s="17" t="n">
        <v>6</v>
      </c>
      <c r="V84" s="17" t="n">
        <v>5</v>
      </c>
      <c r="W84" s="17" t="n">
        <v>4</v>
      </c>
      <c r="X84" s="8">
        <f>SUM(F84:W84)</f>
        <v/>
      </c>
      <c r="Y84" s="8">
        <f>Y11</f>
        <v/>
      </c>
      <c r="Z84" s="8">
        <f>X84-Y84</f>
        <v/>
      </c>
      <c r="AA84" s="8">
        <f>MAX(0,25-Z84)*1.0</f>
        <v/>
      </c>
      <c r="AB84" s="17" t="n">
        <v>6</v>
      </c>
      <c r="AC84" s="17" t="n">
        <v>5</v>
      </c>
      <c r="AD84" s="17" t="n">
        <v>8</v>
      </c>
      <c r="AE84" s="17" t="n">
        <v>5</v>
      </c>
      <c r="AF84" s="17" t="n">
        <v>4</v>
      </c>
      <c r="AG84" s="17" t="n">
        <v>5</v>
      </c>
      <c r="AH84" s="17" t="n">
        <v>5</v>
      </c>
      <c r="AI84" s="17" t="n">
        <v>4</v>
      </c>
      <c r="AJ84" s="17" t="n">
        <v>4</v>
      </c>
      <c r="AK84" s="17" t="n">
        <v>5</v>
      </c>
      <c r="AL84" s="17" t="n">
        <v>4</v>
      </c>
      <c r="AM84" s="17" t="n">
        <v>4</v>
      </c>
      <c r="AN84" s="17" t="n">
        <v>6</v>
      </c>
      <c r="AO84" s="17" t="n">
        <v>4</v>
      </c>
      <c r="AP84" s="17" t="n">
        <v>5</v>
      </c>
      <c r="AQ84" s="17" t="n">
        <v>6</v>
      </c>
      <c r="AR84" s="17" t="n">
        <v>3</v>
      </c>
      <c r="AS84" s="17" t="n">
        <v>5</v>
      </c>
      <c r="AT84" s="8">
        <f>SUM(AB84:AS84)</f>
        <v/>
      </c>
      <c r="AU84" s="8">
        <f>AU11</f>
        <v/>
      </c>
      <c r="AV84" s="8">
        <f>AT84-AU84</f>
        <v/>
      </c>
      <c r="AW84" s="8">
        <f>MAX(0,25-AV84)*1.0</f>
        <v/>
      </c>
      <c r="AX84" s="18">
        <f>AA84+AW84</f>
        <v/>
      </c>
    </row>
    <row r="85">
      <c r="A85" s="8" t="n">
        <v>73</v>
      </c>
      <c r="B85" t="inlineStr">
        <is>
          <t>Francisco Saraiva</t>
        </is>
      </c>
      <c r="C85" s="8" t="inlineStr">
        <is>
          <t>39097</t>
        </is>
      </c>
      <c r="D85" t="inlineStr">
        <is>
          <t>Oporto</t>
        </is>
      </c>
      <c r="E85" s="8" t="n">
        <v>7.6</v>
      </c>
      <c r="F85" s="17" t="n">
        <v>4</v>
      </c>
      <c r="G85" s="17" t="n">
        <v>5</v>
      </c>
      <c r="H85" s="17" t="n">
        <v>7</v>
      </c>
      <c r="I85" s="17" t="n">
        <v>6</v>
      </c>
      <c r="J85" s="17" t="n">
        <v>3</v>
      </c>
      <c r="K85" s="17" t="n">
        <v>6</v>
      </c>
      <c r="L85" s="17" t="n">
        <v>6</v>
      </c>
      <c r="M85" s="17" t="n">
        <v>4</v>
      </c>
      <c r="N85" s="17" t="n">
        <v>5</v>
      </c>
      <c r="O85" s="17" t="n">
        <v>6</v>
      </c>
      <c r="P85" s="17" t="n">
        <v>4</v>
      </c>
      <c r="Q85" s="17" t="n">
        <v>4</v>
      </c>
      <c r="R85" s="17" t="n">
        <v>6</v>
      </c>
      <c r="S85" s="17" t="n">
        <v>5</v>
      </c>
      <c r="T85" s="17" t="n">
        <v>5</v>
      </c>
      <c r="U85" s="17" t="n">
        <v>7</v>
      </c>
      <c r="V85" s="17" t="n">
        <v>4</v>
      </c>
      <c r="W85" s="17" t="n">
        <v>5</v>
      </c>
      <c r="X85" s="8">
        <f>SUM(F85:W85)</f>
        <v/>
      </c>
      <c r="Y85" s="8">
        <f>Y11</f>
        <v/>
      </c>
      <c r="Z85" s="8">
        <f>X85-Y85</f>
        <v/>
      </c>
      <c r="AA85" s="8">
        <f>MAX(0,25-Z85)*1.0</f>
        <v/>
      </c>
      <c r="AB85" s="17" t="n">
        <v>5</v>
      </c>
      <c r="AC85" s="17" t="n">
        <v>5</v>
      </c>
      <c r="AD85" s="17" t="n">
        <v>5</v>
      </c>
      <c r="AE85" s="17" t="n">
        <v>5</v>
      </c>
      <c r="AF85" s="17" t="n">
        <v>3</v>
      </c>
      <c r="AG85" s="17" t="n">
        <v>6</v>
      </c>
      <c r="AH85" s="17" t="n">
        <v>5</v>
      </c>
      <c r="AI85" s="17" t="n">
        <v>5</v>
      </c>
      <c r="AJ85" s="17" t="n">
        <v>5</v>
      </c>
      <c r="AK85" s="17" t="n">
        <v>6</v>
      </c>
      <c r="AL85" s="17" t="n">
        <v>3</v>
      </c>
      <c r="AM85" s="17" t="n">
        <v>5</v>
      </c>
      <c r="AN85" s="17" t="n">
        <v>5</v>
      </c>
      <c r="AO85" s="17" t="n">
        <v>5</v>
      </c>
      <c r="AP85" s="17" t="n">
        <v>5</v>
      </c>
      <c r="AQ85" s="17" t="n">
        <v>6</v>
      </c>
      <c r="AR85" s="17" t="n">
        <v>3</v>
      </c>
      <c r="AS85" s="17" t="n">
        <v>5</v>
      </c>
      <c r="AT85" s="8">
        <f>SUM(AB85:AS85)</f>
        <v/>
      </c>
      <c r="AU85" s="8">
        <f>AU11</f>
        <v/>
      </c>
      <c r="AV85" s="8">
        <f>AT85-AU85</f>
        <v/>
      </c>
      <c r="AW85" s="8">
        <f>MAX(0,25-AV85)*1.0</f>
        <v/>
      </c>
      <c r="AX85" s="18">
        <f>AA85+AW85</f>
        <v/>
      </c>
    </row>
    <row r="86">
      <c r="A86" s="8" t="n">
        <v>74</v>
      </c>
      <c r="B86" t="inlineStr">
        <is>
          <t>Tiago Abrantes</t>
        </is>
      </c>
      <c r="C86" s="8" t="inlineStr">
        <is>
          <t>38315</t>
        </is>
      </c>
      <c r="D86" t="inlineStr">
        <is>
          <t>Vilamoura, C. G</t>
        </is>
      </c>
      <c r="E86" s="8" t="n">
        <v>4.4</v>
      </c>
      <c r="F86" s="17" t="n">
        <v>4</v>
      </c>
      <c r="G86" s="17" t="n">
        <v>4</v>
      </c>
      <c r="H86" s="17" t="n">
        <v>7</v>
      </c>
      <c r="I86" s="17" t="n">
        <v>10</v>
      </c>
      <c r="J86" s="17" t="n">
        <v>5</v>
      </c>
      <c r="K86" s="17" t="n">
        <v>6</v>
      </c>
      <c r="L86" s="17" t="n">
        <v>8</v>
      </c>
      <c r="M86" s="17" t="n">
        <v>4</v>
      </c>
      <c r="N86" s="17" t="n">
        <v>5</v>
      </c>
      <c r="O86" s="17" t="n">
        <v>4</v>
      </c>
      <c r="P86" s="17" t="n">
        <v>3</v>
      </c>
      <c r="Q86" s="17" t="n">
        <v>3</v>
      </c>
      <c r="R86" s="17" t="n">
        <v>8</v>
      </c>
      <c r="S86" s="17" t="n">
        <v>4</v>
      </c>
      <c r="T86" s="17" t="n">
        <v>4</v>
      </c>
      <c r="U86" s="17" t="n">
        <v>6</v>
      </c>
      <c r="V86" s="17" t="n">
        <v>4</v>
      </c>
      <c r="W86" s="17" t="n">
        <v>4</v>
      </c>
      <c r="X86" s="8">
        <f>SUM(F86:W86)</f>
        <v/>
      </c>
      <c r="Y86" s="8">
        <f>Y11</f>
        <v/>
      </c>
      <c r="Z86" s="8">
        <f>X86-Y86</f>
        <v/>
      </c>
      <c r="AA86" s="8">
        <f>MAX(0,25-Z86)*1.0</f>
        <v/>
      </c>
      <c r="AB86" s="17" t="n">
        <v>4</v>
      </c>
      <c r="AC86" s="17" t="n">
        <v>4</v>
      </c>
      <c r="AD86" s="17" t="n">
        <v>7</v>
      </c>
      <c r="AE86" s="17" t="n">
        <v>6</v>
      </c>
      <c r="AF86" s="17" t="n">
        <v>4</v>
      </c>
      <c r="AG86" s="17" t="n">
        <v>5</v>
      </c>
      <c r="AH86" s="17" t="n">
        <v>6</v>
      </c>
      <c r="AI86" s="17" t="n">
        <v>3</v>
      </c>
      <c r="AJ86" s="17" t="n">
        <v>5</v>
      </c>
      <c r="AK86" s="17" t="n">
        <v>7</v>
      </c>
      <c r="AL86" s="17" t="n">
        <v>4</v>
      </c>
      <c r="AM86" s="17" t="n">
        <v>4</v>
      </c>
      <c r="AN86" s="17" t="n">
        <v>5</v>
      </c>
      <c r="AO86" s="17" t="n">
        <v>3</v>
      </c>
      <c r="AP86" s="17" t="n">
        <v>5</v>
      </c>
      <c r="AQ86" s="17" t="n">
        <v>5</v>
      </c>
      <c r="AR86" s="17" t="n">
        <v>4</v>
      </c>
      <c r="AS86" s="17" t="n">
        <v>5</v>
      </c>
      <c r="AT86" s="8">
        <f>SUM(AB86:AS86)</f>
        <v/>
      </c>
      <c r="AU86" s="8">
        <f>AU11</f>
        <v/>
      </c>
      <c r="AV86" s="8">
        <f>AT86-AU86</f>
        <v/>
      </c>
      <c r="AW86" s="8">
        <f>MAX(0,25-AV86)*1.0</f>
        <v/>
      </c>
      <c r="AX86" s="18">
        <f>AA86+AW86</f>
        <v/>
      </c>
    </row>
    <row r="87">
      <c r="A87" s="8" t="n">
        <v>75</v>
      </c>
      <c r="B87" t="inlineStr">
        <is>
          <t>Clara Trindade</t>
        </is>
      </c>
      <c r="C87" s="8" t="inlineStr">
        <is>
          <t>45812</t>
        </is>
      </c>
      <c r="D87" t="inlineStr">
        <is>
          <t>Belas</t>
        </is>
      </c>
      <c r="E87" s="8" t="n">
        <v>7.4</v>
      </c>
      <c r="F87" s="17" t="n">
        <v>5</v>
      </c>
      <c r="G87" s="17" t="n">
        <v>5</v>
      </c>
      <c r="H87" s="17" t="n">
        <v>8</v>
      </c>
      <c r="I87" s="17" t="n">
        <v>5</v>
      </c>
      <c r="J87" s="17" t="n">
        <v>5</v>
      </c>
      <c r="K87" s="17" t="n">
        <v>4</v>
      </c>
      <c r="L87" s="17" t="n">
        <v>5</v>
      </c>
      <c r="M87" s="17" t="n">
        <v>5</v>
      </c>
      <c r="N87" s="17" t="n">
        <v>5</v>
      </c>
      <c r="O87" s="17" t="n">
        <v>6</v>
      </c>
      <c r="P87" s="17" t="n">
        <v>3</v>
      </c>
      <c r="Q87" s="17" t="n">
        <v>4</v>
      </c>
      <c r="R87" s="17" t="n">
        <v>7</v>
      </c>
      <c r="S87" s="17" t="n">
        <v>5</v>
      </c>
      <c r="T87" s="17" t="n">
        <v>6</v>
      </c>
      <c r="U87" s="17" t="n">
        <v>5</v>
      </c>
      <c r="V87" s="17" t="n">
        <v>5</v>
      </c>
      <c r="W87" s="17" t="n">
        <v>5</v>
      </c>
      <c r="X87" s="8">
        <f>SUM(F87:W87)</f>
        <v/>
      </c>
      <c r="Y87" s="8">
        <f>Y11</f>
        <v/>
      </c>
      <c r="Z87" s="8">
        <f>X87-Y87</f>
        <v/>
      </c>
      <c r="AA87" s="8">
        <f>MAX(0,25-Z87)*1.0</f>
        <v/>
      </c>
      <c r="AB87" s="17" t="n">
        <v>4</v>
      </c>
      <c r="AC87" s="17" t="n">
        <v>7</v>
      </c>
      <c r="AD87" s="17" t="n">
        <v>6</v>
      </c>
      <c r="AE87" s="17" t="n">
        <v>5</v>
      </c>
      <c r="AF87" s="17" t="n">
        <v>3</v>
      </c>
      <c r="AG87" s="17" t="n">
        <v>4</v>
      </c>
      <c r="AH87" s="17" t="n">
        <v>6</v>
      </c>
      <c r="AI87" s="17" t="n">
        <v>5</v>
      </c>
      <c r="AJ87" s="17" t="n">
        <v>5</v>
      </c>
      <c r="AK87" s="17" t="n">
        <v>6</v>
      </c>
      <c r="AL87" s="17" t="n">
        <v>4</v>
      </c>
      <c r="AM87" s="17" t="n">
        <v>5</v>
      </c>
      <c r="AN87" s="17" t="n">
        <v>5</v>
      </c>
      <c r="AO87" s="17" t="n">
        <v>4</v>
      </c>
      <c r="AP87" s="17" t="n">
        <v>4</v>
      </c>
      <c r="AQ87" s="17" t="n">
        <v>4</v>
      </c>
      <c r="AR87" s="17" t="n">
        <v>3</v>
      </c>
      <c r="AS87" s="17" t="n">
        <v>5</v>
      </c>
      <c r="AT87" s="8">
        <f>SUM(AB87:AS87)</f>
        <v/>
      </c>
      <c r="AU87" s="8">
        <f>AU11</f>
        <v/>
      </c>
      <c r="AV87" s="8">
        <f>AT87-AU87</f>
        <v/>
      </c>
      <c r="AW87" s="8">
        <f>MAX(0,25-AV87)*1.0</f>
        <v/>
      </c>
      <c r="AX87" s="18">
        <f>AA87+AW87</f>
        <v/>
      </c>
    </row>
    <row r="88">
      <c r="A88" s="8" t="n">
        <v>76</v>
      </c>
      <c r="B88" t="inlineStr">
        <is>
          <t>Sabrina Ribeiro Crisóstomo</t>
        </is>
      </c>
      <c r="C88" s="8" t="inlineStr">
        <is>
          <t>48971</t>
        </is>
      </c>
      <c r="D88" t="inlineStr">
        <is>
          <t>Vilamoura, C. G</t>
        </is>
      </c>
      <c r="E88" s="8" t="n">
        <v>8</v>
      </c>
      <c r="F88" s="17" t="n">
        <v>5</v>
      </c>
      <c r="G88" s="17" t="n">
        <v>5</v>
      </c>
      <c r="H88" s="17" t="n">
        <v>6</v>
      </c>
      <c r="I88" s="17" t="n">
        <v>7</v>
      </c>
      <c r="J88" s="17" t="n">
        <v>4</v>
      </c>
      <c r="K88" s="17" t="n">
        <v>6</v>
      </c>
      <c r="L88" s="17" t="n">
        <v>6</v>
      </c>
      <c r="M88" s="17" t="n">
        <v>3</v>
      </c>
      <c r="N88" s="17" t="n">
        <v>5</v>
      </c>
      <c r="O88" s="17" t="n">
        <v>6</v>
      </c>
      <c r="P88" s="17" t="n">
        <v>4</v>
      </c>
      <c r="Q88" s="17" t="n">
        <v>5</v>
      </c>
      <c r="R88" s="17" t="n">
        <v>7</v>
      </c>
      <c r="S88" s="17" t="n">
        <v>6</v>
      </c>
      <c r="T88" s="17" t="n">
        <v>5</v>
      </c>
      <c r="U88" s="17" t="n">
        <v>6</v>
      </c>
      <c r="V88" s="17" t="n">
        <v>4</v>
      </c>
      <c r="W88" s="17" t="n">
        <v>6</v>
      </c>
      <c r="X88" s="8">
        <f>SUM(F88:W88)</f>
        <v/>
      </c>
      <c r="Y88" s="8">
        <f>Y11</f>
        <v/>
      </c>
      <c r="Z88" s="8">
        <f>X88-Y88</f>
        <v/>
      </c>
      <c r="AA88" s="8">
        <f>MAX(0,25-Z88)*1.0</f>
        <v/>
      </c>
      <c r="AB88" s="17" t="n">
        <v>5</v>
      </c>
      <c r="AC88" s="17" t="n">
        <v>6</v>
      </c>
      <c r="AD88" s="17" t="n">
        <v>5</v>
      </c>
      <c r="AE88" s="17" t="n">
        <v>5</v>
      </c>
      <c r="AF88" s="17" t="n">
        <v>3</v>
      </c>
      <c r="AG88" s="17" t="n">
        <v>6</v>
      </c>
      <c r="AH88" s="17" t="n">
        <v>8</v>
      </c>
      <c r="AI88" s="17" t="n">
        <v>3</v>
      </c>
      <c r="AJ88" s="17" t="n">
        <v>6</v>
      </c>
      <c r="AK88" s="17" t="n">
        <v>7</v>
      </c>
      <c r="AL88" s="17" t="n">
        <v>5</v>
      </c>
      <c r="AM88" s="17" t="n">
        <v>4</v>
      </c>
      <c r="AN88" s="17" t="n">
        <v>6</v>
      </c>
      <c r="AO88" s="17" t="n">
        <v>5</v>
      </c>
      <c r="AP88" s="17" t="n">
        <v>6</v>
      </c>
      <c r="AQ88" s="17" t="n">
        <v>6</v>
      </c>
      <c r="AR88" s="17" t="n">
        <v>4</v>
      </c>
      <c r="AS88" s="17" t="n">
        <v>5</v>
      </c>
      <c r="AT88" s="8">
        <f>SUM(AB88:AS88)</f>
        <v/>
      </c>
      <c r="AU88" s="8">
        <f>AU11</f>
        <v/>
      </c>
      <c r="AV88" s="8">
        <f>AT88-AU88</f>
        <v/>
      </c>
      <c r="AW88" s="8">
        <f>MAX(0,25-AV88)*1.0</f>
        <v/>
      </c>
      <c r="AX88" s="18">
        <f>AA88+AW88</f>
        <v/>
      </c>
    </row>
    <row r="89">
      <c r="A89" s="8" t="inlineStr">
        <is>
          <t>NS</t>
        </is>
      </c>
      <c r="B89" t="inlineStr">
        <is>
          <t>Jack Murtagh</t>
        </is>
      </c>
      <c r="C89" s="8" t="inlineStr"/>
      <c r="D89" t="inlineStr">
        <is>
          <t>Vilamoura, C. G</t>
        </is>
      </c>
      <c r="E89" s="8" t="n">
        <v>8.9</v>
      </c>
      <c r="AA89" s="8" t="n">
        <v>0</v>
      </c>
      <c r="AW89" s="8" t="n">
        <v>0</v>
      </c>
      <c r="AX89" s="18">
        <f>AA89+AW89</f>
        <v/>
      </c>
    </row>
    <row r="90">
      <c r="A90" s="8" t="inlineStr">
        <is>
          <t>RET</t>
        </is>
      </c>
      <c r="B90" t="inlineStr">
        <is>
          <t>João Balixa</t>
        </is>
      </c>
      <c r="C90" s="8" t="inlineStr">
        <is>
          <t>46038</t>
        </is>
      </c>
      <c r="D90" t="inlineStr">
        <is>
          <t>Miramar</t>
        </is>
      </c>
      <c r="E90" s="8" t="n">
        <v>9.9</v>
      </c>
      <c r="AA90" s="8" t="n">
        <v>0</v>
      </c>
      <c r="AW90" s="8" t="n">
        <v>0</v>
      </c>
      <c r="AX90" s="18">
        <f>AA90+AW90</f>
        <v/>
      </c>
    </row>
    <row r="91">
      <c r="A91" s="8" t="inlineStr">
        <is>
          <t>RET</t>
        </is>
      </c>
      <c r="B91" t="inlineStr">
        <is>
          <t>Fernando Serpa</t>
        </is>
      </c>
      <c r="C91" s="8" t="inlineStr">
        <is>
          <t>13870</t>
        </is>
      </c>
      <c r="D91" t="inlineStr">
        <is>
          <t>Beloura - ACGB</t>
        </is>
      </c>
      <c r="E91" s="8" t="n">
        <v>7.7</v>
      </c>
      <c r="AA91" s="8" t="n">
        <v>0</v>
      </c>
      <c r="AW91" s="8" t="n">
        <v>0</v>
      </c>
      <c r="AX91" s="18">
        <f>AA91+AW91</f>
        <v/>
      </c>
    </row>
  </sheetData>
  <mergeCells count="1">
    <mergeCell ref="A1:H1"/>
  </mergeCells>
  <conditionalFormatting sqref="F13:F91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91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91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91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91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91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91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91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91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91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91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91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91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91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91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91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91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91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91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91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91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91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91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91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91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91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91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91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91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91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91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91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91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91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91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91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2º Drive Tour Sul — Vila Sol</t>
        </is>
      </c>
    </row>
    <row r="2">
      <c r="A2" s="10" t="inlineStr">
        <is>
          <t>Data:</t>
        </is>
      </c>
      <c r="B2" t="inlineStr">
        <is>
          <t>2026-02-01</t>
        </is>
      </c>
    </row>
    <row r="3">
      <c r="A3" s="10" t="inlineStr">
        <is>
          <t>Campo:</t>
        </is>
      </c>
      <c r="B3" t="inlineStr">
        <is>
          <t>Vila Sol</t>
        </is>
      </c>
    </row>
    <row r="4">
      <c r="A4" s="10" t="inlineStr">
        <is>
          <t>ccode/tcode:</t>
        </is>
      </c>
      <c r="B4" t="inlineStr">
        <is>
          <t>988/10293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https://scoring.datagolf.pt/pt/Classifications.aspx?ccode=988&amp;tcode=10293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4</v>
      </c>
      <c r="H11" s="14" t="n">
        <v>4</v>
      </c>
      <c r="I11" s="14" t="n">
        <v>3</v>
      </c>
      <c r="J11" s="14" t="n">
        <v>4</v>
      </c>
      <c r="K11" s="14" t="n">
        <v>5</v>
      </c>
      <c r="L11" s="14" t="n">
        <v>3</v>
      </c>
      <c r="M11" s="14" t="n">
        <v>5</v>
      </c>
      <c r="N11" s="14" t="n">
        <v>4</v>
      </c>
      <c r="O11" s="14" t="n">
        <v>4</v>
      </c>
      <c r="P11" s="14" t="n">
        <v>5</v>
      </c>
      <c r="Q11" s="14" t="n">
        <v>4</v>
      </c>
      <c r="R11" s="14" t="n">
        <v>3</v>
      </c>
      <c r="S11" s="14" t="n">
        <v>5</v>
      </c>
      <c r="T11" s="14" t="n">
        <v>3</v>
      </c>
      <c r="U11" s="14" t="n">
        <v>4</v>
      </c>
      <c r="V11" s="14" t="n">
        <v>4</v>
      </c>
      <c r="W11" s="14" t="n">
        <v>4</v>
      </c>
      <c r="Y11" s="15">
        <f>SUM(F11:W11)</f>
        <v/>
      </c>
    </row>
    <row r="12">
      <c r="A12" s="13" t="inlineStr">
        <is>
          <t>—SI—</t>
        </is>
      </c>
      <c r="F12" s="16" t="n">
        <v>3</v>
      </c>
      <c r="G12" s="16" t="n">
        <v>7</v>
      </c>
      <c r="H12" s="16" t="n">
        <v>1</v>
      </c>
      <c r="I12" s="16" t="n">
        <v>15</v>
      </c>
      <c r="J12" s="16" t="n">
        <v>11</v>
      </c>
      <c r="K12" s="16" t="n">
        <v>9</v>
      </c>
      <c r="L12" s="16" t="n">
        <v>13</v>
      </c>
      <c r="M12" s="16" t="n">
        <v>5</v>
      </c>
      <c r="N12" s="16" t="n">
        <v>17</v>
      </c>
      <c r="O12" s="16" t="n">
        <v>10</v>
      </c>
      <c r="P12" s="16" t="n">
        <v>16</v>
      </c>
      <c r="Q12" s="16" t="n">
        <v>6</v>
      </c>
      <c r="R12" s="16" t="n">
        <v>18</v>
      </c>
      <c r="S12" s="16" t="n">
        <v>2</v>
      </c>
      <c r="T12" s="16" t="n">
        <v>14</v>
      </c>
      <c r="U12" s="16" t="n">
        <v>8</v>
      </c>
      <c r="V12" s="16" t="n">
        <v>12</v>
      </c>
      <c r="W12" s="16" t="n">
        <v>4</v>
      </c>
    </row>
    <row r="13">
      <c r="A13" s="8" t="n">
        <v>1</v>
      </c>
      <c r="B13" t="inlineStr">
        <is>
          <t>Joe Short</t>
        </is>
      </c>
      <c r="C13" s="8" t="inlineStr">
        <is>
          <t>51804</t>
        </is>
      </c>
      <c r="D13" t="inlineStr">
        <is>
          <t>Vila Sol</t>
        </is>
      </c>
      <c r="E13" s="8" t="n">
        <v>6.3</v>
      </c>
      <c r="F13" s="17" t="n">
        <v>4</v>
      </c>
      <c r="G13" s="17" t="n">
        <v>5</v>
      </c>
      <c r="H13" s="17" t="n">
        <v>5</v>
      </c>
      <c r="I13" s="17" t="n">
        <v>2</v>
      </c>
      <c r="J13" s="17" t="n">
        <v>4</v>
      </c>
      <c r="K13" s="17" t="n">
        <v>5</v>
      </c>
      <c r="L13" s="17" t="n">
        <v>3</v>
      </c>
      <c r="M13" s="17" t="n">
        <v>5</v>
      </c>
      <c r="N13" s="17" t="n">
        <v>4</v>
      </c>
      <c r="O13" s="17" t="n">
        <v>4</v>
      </c>
      <c r="P13" s="17" t="n">
        <v>5</v>
      </c>
      <c r="Q13" s="17" t="n">
        <v>5</v>
      </c>
      <c r="R13" s="17" t="n">
        <v>4</v>
      </c>
      <c r="S13" s="17" t="n">
        <v>4</v>
      </c>
      <c r="T13" s="17" t="n">
        <v>4</v>
      </c>
      <c r="U13" s="17" t="n">
        <v>6</v>
      </c>
      <c r="V13" s="17" t="n">
        <v>5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Ethan Prybys Orton</t>
        </is>
      </c>
      <c r="C14" s="8" t="inlineStr">
        <is>
          <t>42374</t>
        </is>
      </c>
      <c r="D14" t="inlineStr">
        <is>
          <t>Vila Sol</t>
        </is>
      </c>
      <c r="E14" s="8" t="n">
        <v>3.5</v>
      </c>
      <c r="F14" s="17" t="n">
        <v>5</v>
      </c>
      <c r="G14" s="17" t="n">
        <v>5</v>
      </c>
      <c r="H14" s="17" t="n">
        <v>4</v>
      </c>
      <c r="I14" s="17" t="n">
        <v>4</v>
      </c>
      <c r="J14" s="17" t="n">
        <v>4</v>
      </c>
      <c r="K14" s="17" t="n">
        <v>5</v>
      </c>
      <c r="L14" s="17" t="n">
        <v>5</v>
      </c>
      <c r="M14" s="17" t="n">
        <v>7</v>
      </c>
      <c r="N14" s="17" t="n">
        <v>3</v>
      </c>
      <c r="O14" s="17" t="n">
        <v>4</v>
      </c>
      <c r="P14" s="17" t="n">
        <v>5</v>
      </c>
      <c r="Q14" s="17" t="n">
        <v>4</v>
      </c>
      <c r="R14" s="17" t="n">
        <v>4</v>
      </c>
      <c r="S14" s="17" t="n">
        <v>5</v>
      </c>
      <c r="T14" s="17" t="n">
        <v>3</v>
      </c>
      <c r="U14" s="17" t="n">
        <v>5</v>
      </c>
      <c r="V14" s="17" t="n">
        <v>4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Finn Gordon</t>
        </is>
      </c>
      <c r="C15" s="8" t="inlineStr">
        <is>
          <t>55269</t>
        </is>
      </c>
      <c r="D15" t="inlineStr">
        <is>
          <t>Vilamoura, C. G</t>
        </is>
      </c>
      <c r="E15" s="8" t="n">
        <v>6.1</v>
      </c>
      <c r="F15" s="17" t="n">
        <v>4</v>
      </c>
      <c r="G15" s="17" t="n">
        <v>5</v>
      </c>
      <c r="H15" s="17" t="n">
        <v>5</v>
      </c>
      <c r="I15" s="17" t="n">
        <v>3</v>
      </c>
      <c r="J15" s="17" t="n">
        <v>3</v>
      </c>
      <c r="K15" s="17" t="n">
        <v>6</v>
      </c>
      <c r="L15" s="17" t="n">
        <v>4</v>
      </c>
      <c r="M15" s="17" t="n">
        <v>6</v>
      </c>
      <c r="N15" s="17" t="n">
        <v>4</v>
      </c>
      <c r="O15" s="17" t="n">
        <v>7</v>
      </c>
      <c r="P15" s="17" t="n">
        <v>6</v>
      </c>
      <c r="Q15" s="17" t="n">
        <v>3</v>
      </c>
      <c r="R15" s="17" t="n">
        <v>5</v>
      </c>
      <c r="S15" s="17" t="n">
        <v>4</v>
      </c>
      <c r="T15" s="17" t="n">
        <v>3</v>
      </c>
      <c r="U15" s="17" t="n">
        <v>4</v>
      </c>
      <c r="V15" s="17" t="n">
        <v>4</v>
      </c>
      <c r="W15" s="17" t="n">
        <v>5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Matteo Balzer</t>
        </is>
      </c>
      <c r="C16" s="8" t="inlineStr">
        <is>
          <t>44406</t>
        </is>
      </c>
      <c r="D16" t="inlineStr">
        <is>
          <t>Amendoeira</t>
        </is>
      </c>
      <c r="E16" s="8" t="n">
        <v>3.5</v>
      </c>
      <c r="F16" s="17" t="n">
        <v>7</v>
      </c>
      <c r="G16" s="17" t="n">
        <v>7</v>
      </c>
      <c r="H16" s="17" t="n">
        <v>4</v>
      </c>
      <c r="I16" s="17" t="n">
        <v>4</v>
      </c>
      <c r="J16" s="17" t="n">
        <v>4</v>
      </c>
      <c r="K16" s="17" t="n">
        <v>5</v>
      </c>
      <c r="L16" s="17" t="n">
        <v>3</v>
      </c>
      <c r="M16" s="17" t="n">
        <v>5</v>
      </c>
      <c r="N16" s="17" t="n">
        <v>4</v>
      </c>
      <c r="O16" s="17" t="n">
        <v>4</v>
      </c>
      <c r="P16" s="17" t="n">
        <v>5</v>
      </c>
      <c r="Q16" s="17" t="n">
        <v>5</v>
      </c>
      <c r="R16" s="17" t="n">
        <v>3</v>
      </c>
      <c r="S16" s="17" t="n">
        <v>5</v>
      </c>
      <c r="T16" s="17" t="n">
        <v>3</v>
      </c>
      <c r="U16" s="17" t="n">
        <v>4</v>
      </c>
      <c r="V16" s="17" t="n">
        <v>6</v>
      </c>
      <c r="W16" s="17" t="n">
        <v>4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Martim Pinto Johansen</t>
        </is>
      </c>
      <c r="C17" s="8" t="inlineStr">
        <is>
          <t>40115</t>
        </is>
      </c>
      <c r="D17" t="inlineStr">
        <is>
          <t>Vilamoura, C. G</t>
        </is>
      </c>
      <c r="E17" s="8" t="n">
        <v>-0.5</v>
      </c>
      <c r="F17" s="17" t="n">
        <v>4</v>
      </c>
      <c r="G17" s="17" t="n">
        <v>6</v>
      </c>
      <c r="H17" s="17" t="n">
        <v>4</v>
      </c>
      <c r="I17" s="17" t="n">
        <v>3</v>
      </c>
      <c r="J17" s="17" t="n">
        <v>4</v>
      </c>
      <c r="K17" s="17" t="n">
        <v>5</v>
      </c>
      <c r="L17" s="17" t="n">
        <v>3</v>
      </c>
      <c r="M17" s="17" t="n">
        <v>5</v>
      </c>
      <c r="N17" s="17" t="n">
        <v>4</v>
      </c>
      <c r="O17" s="17" t="n">
        <v>4</v>
      </c>
      <c r="P17" s="17" t="n">
        <v>4</v>
      </c>
      <c r="Q17" s="17" t="n">
        <v>4</v>
      </c>
      <c r="R17" s="17" t="n">
        <v>4</v>
      </c>
      <c r="S17" s="17" t="n">
        <v>5</v>
      </c>
      <c r="T17" s="17" t="n">
        <v>3</v>
      </c>
      <c r="U17" s="17" t="n">
        <v>9</v>
      </c>
      <c r="V17" s="17" t="n">
        <v>7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Beau Delfortrie</t>
        </is>
      </c>
      <c r="C18" s="8" t="inlineStr">
        <is>
          <t>50247</t>
        </is>
      </c>
      <c r="D18" t="inlineStr">
        <is>
          <t>Vila Sol</t>
        </is>
      </c>
      <c r="E18" s="8" t="n">
        <v>10.1</v>
      </c>
      <c r="F18" s="17" t="n">
        <v>5</v>
      </c>
      <c r="G18" s="17" t="n">
        <v>8</v>
      </c>
      <c r="H18" s="17" t="n">
        <v>5</v>
      </c>
      <c r="I18" s="17" t="n">
        <v>4</v>
      </c>
      <c r="J18" s="17" t="n">
        <v>4</v>
      </c>
      <c r="K18" s="17" t="n">
        <v>5</v>
      </c>
      <c r="L18" s="17" t="n">
        <v>4</v>
      </c>
      <c r="M18" s="17" t="n">
        <v>5</v>
      </c>
      <c r="N18" s="17" t="n">
        <v>4</v>
      </c>
      <c r="O18" s="17" t="n">
        <v>5</v>
      </c>
      <c r="P18" s="17" t="n">
        <v>5</v>
      </c>
      <c r="Q18" s="17" t="n">
        <v>4</v>
      </c>
      <c r="R18" s="17" t="n">
        <v>3</v>
      </c>
      <c r="S18" s="17" t="n">
        <v>5</v>
      </c>
      <c r="T18" s="17" t="n">
        <v>4</v>
      </c>
      <c r="U18" s="17" t="n">
        <v>5</v>
      </c>
      <c r="V18" s="17" t="n">
        <v>4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Ashton Everest</t>
        </is>
      </c>
      <c r="C19" s="8" t="inlineStr">
        <is>
          <t>47869</t>
        </is>
      </c>
      <c r="D19" t="inlineStr">
        <is>
          <t>Vilamoura, C. G</t>
        </is>
      </c>
      <c r="E19" s="8" t="n">
        <v>4.6</v>
      </c>
      <c r="F19" s="17" t="n">
        <v>4</v>
      </c>
      <c r="G19" s="17" t="n">
        <v>7</v>
      </c>
      <c r="H19" s="17" t="n">
        <v>5</v>
      </c>
      <c r="I19" s="17" t="n">
        <v>4</v>
      </c>
      <c r="J19" s="17" t="n">
        <v>4</v>
      </c>
      <c r="K19" s="17" t="n">
        <v>5</v>
      </c>
      <c r="L19" s="17" t="n">
        <v>3</v>
      </c>
      <c r="M19" s="17" t="n">
        <v>6</v>
      </c>
      <c r="N19" s="17" t="n">
        <v>4</v>
      </c>
      <c r="O19" s="17" t="n">
        <v>3</v>
      </c>
      <c r="P19" s="17" t="n">
        <v>5</v>
      </c>
      <c r="Q19" s="17" t="n">
        <v>5</v>
      </c>
      <c r="R19" s="17" t="n">
        <v>4</v>
      </c>
      <c r="S19" s="17" t="n">
        <v>6</v>
      </c>
      <c r="T19" s="17" t="n">
        <v>4</v>
      </c>
      <c r="U19" s="17" t="n">
        <v>5</v>
      </c>
      <c r="V19" s="17" t="n">
        <v>4</v>
      </c>
      <c r="W19" s="17" t="n">
        <v>6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Ethan Sutherland</t>
        </is>
      </c>
      <c r="C20" s="8" t="inlineStr">
        <is>
          <t>48933</t>
        </is>
      </c>
      <c r="D20" t="inlineStr">
        <is>
          <t>Vila Sol</t>
        </is>
      </c>
      <c r="E20" s="8" t="n">
        <v>4.1</v>
      </c>
      <c r="F20" s="17" t="n">
        <v>5</v>
      </c>
      <c r="G20" s="17" t="n">
        <v>6</v>
      </c>
      <c r="H20" s="17" t="n">
        <v>5</v>
      </c>
      <c r="I20" s="17" t="n">
        <v>5</v>
      </c>
      <c r="J20" s="17" t="n">
        <v>4</v>
      </c>
      <c r="K20" s="17" t="n">
        <v>5</v>
      </c>
      <c r="L20" s="17" t="n">
        <v>3</v>
      </c>
      <c r="M20" s="17" t="n">
        <v>7</v>
      </c>
      <c r="N20" s="17" t="n">
        <v>4</v>
      </c>
      <c r="O20" s="17" t="n">
        <v>6</v>
      </c>
      <c r="P20" s="17" t="n">
        <v>5</v>
      </c>
      <c r="Q20" s="17" t="n">
        <v>4</v>
      </c>
      <c r="R20" s="17" t="n">
        <v>4</v>
      </c>
      <c r="S20" s="17" t="n">
        <v>5</v>
      </c>
      <c r="T20" s="17" t="n">
        <v>3</v>
      </c>
      <c r="U20" s="17" t="n">
        <v>5</v>
      </c>
      <c r="V20" s="17" t="n">
        <v>5</v>
      </c>
      <c r="W20" s="17" t="n">
        <v>4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José Silva</t>
        </is>
      </c>
      <c r="C21" s="8" t="inlineStr">
        <is>
          <t>54845</t>
        </is>
      </c>
      <c r="D21" t="inlineStr">
        <is>
          <t>Amendoeira</t>
        </is>
      </c>
      <c r="E21" s="8" t="n">
        <v>11.5</v>
      </c>
      <c r="F21" s="17" t="n">
        <v>5</v>
      </c>
      <c r="G21" s="17" t="n">
        <v>5</v>
      </c>
      <c r="H21" s="17" t="n">
        <v>5</v>
      </c>
      <c r="I21" s="17" t="n">
        <v>4</v>
      </c>
      <c r="J21" s="17" t="n">
        <v>4</v>
      </c>
      <c r="K21" s="17" t="n">
        <v>6</v>
      </c>
      <c r="L21" s="17" t="n">
        <v>3</v>
      </c>
      <c r="M21" s="17" t="n">
        <v>5</v>
      </c>
      <c r="N21" s="17" t="n">
        <v>4</v>
      </c>
      <c r="O21" s="17" t="n">
        <v>6</v>
      </c>
      <c r="P21" s="17" t="n">
        <v>5</v>
      </c>
      <c r="Q21" s="17" t="n">
        <v>4</v>
      </c>
      <c r="R21" s="17" t="n">
        <v>4</v>
      </c>
      <c r="S21" s="17" t="n">
        <v>8</v>
      </c>
      <c r="T21" s="17" t="n">
        <v>4</v>
      </c>
      <c r="U21" s="17" t="n">
        <v>5</v>
      </c>
      <c r="V21" s="17" t="n">
        <v>4</v>
      </c>
      <c r="W21" s="17" t="n">
        <v>4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Ethan Hutchinson</t>
        </is>
      </c>
      <c r="C22" s="8" t="inlineStr">
        <is>
          <t>48990</t>
        </is>
      </c>
      <c r="D22" t="inlineStr">
        <is>
          <t>Assoc. Qta.Lago</t>
        </is>
      </c>
      <c r="E22" s="8" t="n">
        <v>9.800000000000001</v>
      </c>
      <c r="F22" s="17" t="n">
        <v>5</v>
      </c>
      <c r="G22" s="17" t="n">
        <v>6</v>
      </c>
      <c r="H22" s="17" t="n">
        <v>5</v>
      </c>
      <c r="I22" s="17" t="n">
        <v>4</v>
      </c>
      <c r="J22" s="17" t="n">
        <v>6</v>
      </c>
      <c r="K22" s="17" t="n">
        <v>4</v>
      </c>
      <c r="L22" s="17" t="n">
        <v>3</v>
      </c>
      <c r="M22" s="17" t="n">
        <v>5</v>
      </c>
      <c r="N22" s="17" t="n">
        <v>4</v>
      </c>
      <c r="O22" s="17" t="n">
        <v>6</v>
      </c>
      <c r="P22" s="17" t="n">
        <v>5</v>
      </c>
      <c r="Q22" s="17" t="n">
        <v>6</v>
      </c>
      <c r="R22" s="17" t="n">
        <v>4</v>
      </c>
      <c r="S22" s="17" t="n">
        <v>7</v>
      </c>
      <c r="T22" s="17" t="n">
        <v>5</v>
      </c>
      <c r="U22" s="17" t="n">
        <v>4</v>
      </c>
      <c r="V22" s="17" t="n">
        <v>5</v>
      </c>
      <c r="W22" s="17" t="n">
        <v>4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Jack Brando</t>
        </is>
      </c>
      <c r="C23" s="8" t="inlineStr">
        <is>
          <t>54232</t>
        </is>
      </c>
      <c r="D23" t="inlineStr">
        <is>
          <t>Vila Sol</t>
        </is>
      </c>
      <c r="E23" s="8" t="n">
        <v>12.1</v>
      </c>
      <c r="F23" s="17" t="n">
        <v>6</v>
      </c>
      <c r="G23" s="17" t="n">
        <v>7</v>
      </c>
      <c r="H23" s="17" t="n">
        <v>6</v>
      </c>
      <c r="I23" s="17" t="n">
        <v>5</v>
      </c>
      <c r="J23" s="17" t="n">
        <v>5</v>
      </c>
      <c r="K23" s="17" t="n">
        <v>6</v>
      </c>
      <c r="L23" s="17" t="n">
        <v>5</v>
      </c>
      <c r="M23" s="17" t="n">
        <v>5</v>
      </c>
      <c r="N23" s="17" t="n">
        <v>4</v>
      </c>
      <c r="O23" s="17" t="n">
        <v>6</v>
      </c>
      <c r="P23" s="17" t="n">
        <v>5</v>
      </c>
      <c r="Q23" s="17" t="n">
        <v>5</v>
      </c>
      <c r="R23" s="17" t="n">
        <v>3</v>
      </c>
      <c r="S23" s="17" t="n">
        <v>5</v>
      </c>
      <c r="T23" s="17" t="n">
        <v>4</v>
      </c>
      <c r="U23" s="17" t="n">
        <v>4</v>
      </c>
      <c r="V23" s="17" t="n">
        <v>4</v>
      </c>
      <c r="W23" s="17" t="n">
        <v>4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Marek Pejas</t>
        </is>
      </c>
      <c r="C24" s="8" t="inlineStr">
        <is>
          <t>52069</t>
        </is>
      </c>
      <c r="D24" t="inlineStr">
        <is>
          <t>Vilamoura, C. G</t>
        </is>
      </c>
      <c r="E24" s="8" t="n">
        <v>20.1</v>
      </c>
      <c r="F24" s="17" t="n">
        <v>5</v>
      </c>
      <c r="G24" s="17" t="n">
        <v>6</v>
      </c>
      <c r="H24" s="17" t="n">
        <v>5</v>
      </c>
      <c r="I24" s="17" t="n">
        <v>4</v>
      </c>
      <c r="J24" s="17" t="n">
        <v>5</v>
      </c>
      <c r="K24" s="17" t="n">
        <v>6</v>
      </c>
      <c r="L24" s="17" t="n">
        <v>3</v>
      </c>
      <c r="M24" s="17" t="n">
        <v>7</v>
      </c>
      <c r="N24" s="17" t="n">
        <v>4</v>
      </c>
      <c r="O24" s="17" t="n">
        <v>5</v>
      </c>
      <c r="P24" s="17" t="n">
        <v>6</v>
      </c>
      <c r="Q24" s="17" t="n">
        <v>5</v>
      </c>
      <c r="R24" s="17" t="n">
        <v>4</v>
      </c>
      <c r="S24" s="17" t="n">
        <v>7</v>
      </c>
      <c r="T24" s="17" t="n">
        <v>4</v>
      </c>
      <c r="U24" s="17" t="n">
        <v>6</v>
      </c>
      <c r="V24" s="17" t="n">
        <v>5</v>
      </c>
      <c r="W24" s="17" t="n">
        <v>6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Miguel Silva</t>
        </is>
      </c>
      <c r="C25" s="8" t="inlineStr">
        <is>
          <t>48791</t>
        </is>
      </c>
      <c r="D25" t="inlineStr">
        <is>
          <t>Amendoeira</t>
        </is>
      </c>
      <c r="E25" s="8" t="n">
        <v>9.4</v>
      </c>
      <c r="F25" s="17" t="n">
        <v>6</v>
      </c>
      <c r="G25" s="17" t="n">
        <v>7</v>
      </c>
      <c r="H25" s="17" t="n">
        <v>5</v>
      </c>
      <c r="I25" s="17" t="n">
        <v>4</v>
      </c>
      <c r="J25" s="17" t="n">
        <v>4</v>
      </c>
      <c r="K25" s="17" t="n">
        <v>6</v>
      </c>
      <c r="L25" s="17" t="n">
        <v>4</v>
      </c>
      <c r="M25" s="17" t="n">
        <v>6</v>
      </c>
      <c r="N25" s="17" t="n">
        <v>4</v>
      </c>
      <c r="O25" s="17" t="n">
        <v>6</v>
      </c>
      <c r="P25" s="17" t="n">
        <v>5</v>
      </c>
      <c r="Q25" s="17" t="n">
        <v>5</v>
      </c>
      <c r="R25" s="17" t="n">
        <v>5</v>
      </c>
      <c r="S25" s="17" t="n">
        <v>6</v>
      </c>
      <c r="T25" s="17" t="n">
        <v>5</v>
      </c>
      <c r="U25" s="17" t="n">
        <v>4</v>
      </c>
      <c r="V25" s="17" t="n">
        <v>7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  <row r="26">
      <c r="A26" s="8" t="n">
        <v>14</v>
      </c>
      <c r="B26" t="inlineStr">
        <is>
          <t>Sabrina Ribeiro Crisóstomo</t>
        </is>
      </c>
      <c r="C26" s="8" t="inlineStr">
        <is>
          <t>48971</t>
        </is>
      </c>
      <c r="D26" t="inlineStr">
        <is>
          <t>Vilamoura, C. G</t>
        </is>
      </c>
      <c r="E26" s="8" t="n">
        <v>8.4</v>
      </c>
      <c r="F26" s="17" t="n">
        <v>7</v>
      </c>
      <c r="G26" s="17" t="n">
        <v>6</v>
      </c>
      <c r="H26" s="17" t="n">
        <v>6</v>
      </c>
      <c r="I26" s="17" t="n">
        <v>4</v>
      </c>
      <c r="J26" s="17" t="n">
        <v>3</v>
      </c>
      <c r="K26" s="17" t="n">
        <v>7</v>
      </c>
      <c r="L26" s="17" t="n">
        <v>3</v>
      </c>
      <c r="M26" s="17" t="n">
        <v>7</v>
      </c>
      <c r="N26" s="17" t="n">
        <v>5</v>
      </c>
      <c r="O26" s="17" t="n">
        <v>6</v>
      </c>
      <c r="P26" s="17" t="n">
        <v>7</v>
      </c>
      <c r="Q26" s="17" t="n">
        <v>4</v>
      </c>
      <c r="R26" s="17" t="n">
        <v>5</v>
      </c>
      <c r="S26" s="17" t="n">
        <v>6</v>
      </c>
      <c r="T26" s="17" t="n">
        <v>4</v>
      </c>
      <c r="U26" s="17" t="n">
        <v>5</v>
      </c>
      <c r="V26" s="17" t="n">
        <v>5</v>
      </c>
      <c r="W26" s="17" t="n">
        <v>5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8">
        <f>AA26</f>
        <v/>
      </c>
    </row>
    <row r="27">
      <c r="A27" s="8" t="n">
        <v>15</v>
      </c>
      <c r="B27" t="inlineStr">
        <is>
          <t>Catarina Sousa Conceição</t>
        </is>
      </c>
      <c r="C27" s="8" t="inlineStr">
        <is>
          <t>48794</t>
        </is>
      </c>
      <c r="D27" t="inlineStr">
        <is>
          <t>Vilamoura, C. G</t>
        </is>
      </c>
      <c r="E27" s="8" t="n">
        <v>10.7</v>
      </c>
      <c r="F27" s="17" t="n">
        <v>7</v>
      </c>
      <c r="G27" s="17" t="n">
        <v>7</v>
      </c>
      <c r="H27" s="17" t="n">
        <v>9</v>
      </c>
      <c r="I27" s="17" t="n">
        <v>5</v>
      </c>
      <c r="J27" s="17" t="n">
        <v>6</v>
      </c>
      <c r="K27" s="17" t="n">
        <v>6</v>
      </c>
      <c r="L27" s="17" t="n">
        <v>4</v>
      </c>
      <c r="M27" s="17" t="n">
        <v>5</v>
      </c>
      <c r="N27" s="17" t="n">
        <v>4</v>
      </c>
      <c r="O27" s="17" t="n">
        <v>5</v>
      </c>
      <c r="P27" s="17" t="n">
        <v>4</v>
      </c>
      <c r="Q27" s="17" t="n">
        <v>4</v>
      </c>
      <c r="R27" s="17" t="n">
        <v>5</v>
      </c>
      <c r="S27" s="17" t="n">
        <v>6</v>
      </c>
      <c r="T27" s="17" t="n">
        <v>4</v>
      </c>
      <c r="U27" s="17" t="n">
        <v>6</v>
      </c>
      <c r="V27" s="17" t="n">
        <v>6</v>
      </c>
      <c r="W27" s="17" t="n">
        <v>4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8">
        <f>AA27</f>
        <v/>
      </c>
    </row>
    <row r="28">
      <c r="A28" s="8" t="n">
        <v>16</v>
      </c>
      <c r="B28" t="inlineStr">
        <is>
          <t>Gabriel Costa</t>
        </is>
      </c>
      <c r="C28" s="8" t="inlineStr">
        <is>
          <t>53838</t>
        </is>
      </c>
      <c r="D28" t="inlineStr">
        <is>
          <t>Amendoeira</t>
        </is>
      </c>
      <c r="E28" s="8" t="n">
        <v>21.5</v>
      </c>
      <c r="F28" s="17" t="n">
        <v>6</v>
      </c>
      <c r="G28" s="17" t="n">
        <v>5</v>
      </c>
      <c r="H28" s="17" t="n">
        <v>7</v>
      </c>
      <c r="I28" s="17" t="n">
        <v>5</v>
      </c>
      <c r="J28" s="17" t="n">
        <v>4</v>
      </c>
      <c r="K28" s="17" t="n">
        <v>9</v>
      </c>
      <c r="L28" s="17" t="n">
        <v>4</v>
      </c>
      <c r="M28" s="17" t="n">
        <v>10</v>
      </c>
      <c r="N28" s="17" t="n">
        <v>5</v>
      </c>
      <c r="O28" s="17" t="n">
        <v>5</v>
      </c>
      <c r="P28" s="17" t="n">
        <v>4</v>
      </c>
      <c r="Q28" s="17" t="n">
        <v>4</v>
      </c>
      <c r="R28" s="17" t="n">
        <v>5</v>
      </c>
      <c r="S28" s="17" t="n">
        <v>5</v>
      </c>
      <c r="T28" s="17" t="n">
        <v>4</v>
      </c>
      <c r="U28" s="17" t="n">
        <v>6</v>
      </c>
      <c r="V28" s="17" t="n">
        <v>5</v>
      </c>
      <c r="W28" s="17" t="n">
        <v>5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8">
        <f>AA28</f>
        <v/>
      </c>
    </row>
    <row r="29">
      <c r="A29" s="8" t="n">
        <v>17</v>
      </c>
      <c r="B29" t="inlineStr">
        <is>
          <t>Ethan Van Vuuren Maciel</t>
        </is>
      </c>
      <c r="C29" s="8" t="inlineStr">
        <is>
          <t>56765</t>
        </is>
      </c>
      <c r="D29" t="inlineStr">
        <is>
          <t>Vila Sol</t>
        </is>
      </c>
      <c r="E29" s="8" t="n">
        <v>23.3</v>
      </c>
      <c r="F29" s="17" t="n">
        <v>5</v>
      </c>
      <c r="G29" s="17" t="n">
        <v>6</v>
      </c>
      <c r="H29" s="17" t="n">
        <v>7</v>
      </c>
      <c r="I29" s="17" t="n">
        <v>5</v>
      </c>
      <c r="J29" s="17" t="n">
        <v>5</v>
      </c>
      <c r="K29" s="17" t="n">
        <v>7</v>
      </c>
      <c r="L29" s="17" t="n">
        <v>5</v>
      </c>
      <c r="M29" s="17" t="n">
        <v>6</v>
      </c>
      <c r="N29" s="17" t="n">
        <v>5</v>
      </c>
      <c r="O29" s="17" t="n">
        <v>5</v>
      </c>
      <c r="P29" s="17" t="n">
        <v>6</v>
      </c>
      <c r="Q29" s="17" t="n">
        <v>4</v>
      </c>
      <c r="R29" s="17" t="n">
        <v>4</v>
      </c>
      <c r="S29" s="17" t="n">
        <v>8</v>
      </c>
      <c r="T29" s="17" t="n">
        <v>4</v>
      </c>
      <c r="U29" s="17" t="n">
        <v>6</v>
      </c>
      <c r="V29" s="17" t="n">
        <v>5</v>
      </c>
      <c r="W29" s="17" t="n">
        <v>5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8">
        <f>AA29</f>
        <v/>
      </c>
    </row>
    <row r="30">
      <c r="A30" s="8" t="n">
        <v>18</v>
      </c>
      <c r="B30" t="inlineStr">
        <is>
          <t>Nicholas Cordeiro</t>
        </is>
      </c>
      <c r="C30" s="8" t="inlineStr">
        <is>
          <t>49066</t>
        </is>
      </c>
      <c r="D30" t="inlineStr">
        <is>
          <t>Vilamoura, C. G</t>
        </is>
      </c>
      <c r="E30" s="8" t="n">
        <v>13.2</v>
      </c>
      <c r="F30" s="17" t="n">
        <v>6</v>
      </c>
      <c r="G30" s="17" t="n">
        <v>6</v>
      </c>
      <c r="H30" s="17" t="n">
        <v>6</v>
      </c>
      <c r="I30" s="17" t="n">
        <v>4</v>
      </c>
      <c r="J30" s="17" t="n">
        <v>6</v>
      </c>
      <c r="K30" s="17" t="n">
        <v>7</v>
      </c>
      <c r="L30" s="17" t="n">
        <v>4</v>
      </c>
      <c r="M30" s="17" t="n">
        <v>7</v>
      </c>
      <c r="N30" s="17" t="n">
        <v>5</v>
      </c>
      <c r="O30" s="17" t="n">
        <v>5</v>
      </c>
      <c r="P30" s="17" t="n">
        <v>5</v>
      </c>
      <c r="Q30" s="17" t="n">
        <v>5</v>
      </c>
      <c r="R30" s="17" t="n">
        <v>3</v>
      </c>
      <c r="S30" s="17" t="n">
        <v>6</v>
      </c>
      <c r="T30" s="17" t="n">
        <v>4</v>
      </c>
      <c r="U30" s="17" t="n">
        <v>7</v>
      </c>
      <c r="V30" s="17" t="n">
        <v>6</v>
      </c>
      <c r="W30" s="17" t="n">
        <v>7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8">
        <f>AA30</f>
        <v/>
      </c>
    </row>
    <row r="31">
      <c r="A31" s="8" t="n">
        <v>19</v>
      </c>
      <c r="B31" t="inlineStr">
        <is>
          <t>Carlotta Balzer</t>
        </is>
      </c>
      <c r="C31" s="8" t="inlineStr">
        <is>
          <t>50628</t>
        </is>
      </c>
      <c r="D31" t="inlineStr">
        <is>
          <t>Amendoeira</t>
        </is>
      </c>
      <c r="E31" s="8" t="n">
        <v>19.1</v>
      </c>
      <c r="F31" s="17" t="n">
        <v>6</v>
      </c>
      <c r="G31" s="17" t="n">
        <v>5</v>
      </c>
      <c r="H31" s="17" t="n">
        <v>6</v>
      </c>
      <c r="I31" s="17" t="n">
        <v>4</v>
      </c>
      <c r="J31" s="17" t="n">
        <v>4</v>
      </c>
      <c r="K31" s="17" t="n">
        <v>6</v>
      </c>
      <c r="L31" s="17" t="n">
        <v>3</v>
      </c>
      <c r="M31" s="17" t="n">
        <v>7</v>
      </c>
      <c r="N31" s="17" t="n">
        <v>4</v>
      </c>
      <c r="O31" s="17" t="n">
        <v>9</v>
      </c>
      <c r="P31" s="17" t="n">
        <v>6</v>
      </c>
      <c r="Q31" s="17" t="n">
        <v>6</v>
      </c>
      <c r="R31" s="17" t="n">
        <v>5</v>
      </c>
      <c r="S31" s="17" t="n">
        <v>7</v>
      </c>
      <c r="T31" s="17" t="n">
        <v>4</v>
      </c>
      <c r="U31" s="17" t="n">
        <v>8</v>
      </c>
      <c r="V31" s="17" t="n">
        <v>5</v>
      </c>
      <c r="W31" s="17" t="n">
        <v>7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8">
        <f>AA31</f>
        <v/>
      </c>
    </row>
    <row r="32">
      <c r="A32" s="8" t="n">
        <v>20</v>
      </c>
      <c r="B32" t="inlineStr">
        <is>
          <t>Cole Hutchison</t>
        </is>
      </c>
      <c r="C32" s="8" t="inlineStr">
        <is>
          <t>55065</t>
        </is>
      </c>
      <c r="D32" t="inlineStr">
        <is>
          <t>Vila Sol</t>
        </is>
      </c>
      <c r="E32" s="8" t="n">
        <v>25.4</v>
      </c>
      <c r="F32" s="17" t="n">
        <v>6</v>
      </c>
      <c r="G32" s="17" t="n">
        <v>4</v>
      </c>
      <c r="H32" s="17" t="n">
        <v>7</v>
      </c>
      <c r="I32" s="17" t="n">
        <v>4</v>
      </c>
      <c r="J32" s="17" t="n">
        <v>6</v>
      </c>
      <c r="K32" s="17" t="n">
        <v>7</v>
      </c>
      <c r="L32" s="17" t="n">
        <v>5</v>
      </c>
      <c r="M32" s="17" t="n">
        <v>8</v>
      </c>
      <c r="N32" s="17" t="n">
        <v>8</v>
      </c>
      <c r="O32" s="17" t="n">
        <v>5</v>
      </c>
      <c r="P32" s="17" t="n">
        <v>4</v>
      </c>
      <c r="Q32" s="17" t="n">
        <v>5</v>
      </c>
      <c r="R32" s="17" t="n">
        <v>4</v>
      </c>
      <c r="S32" s="17" t="n">
        <v>7</v>
      </c>
      <c r="T32" s="17" t="n">
        <v>5</v>
      </c>
      <c r="U32" s="17" t="n">
        <v>7</v>
      </c>
      <c r="V32" s="17" t="n">
        <v>7</v>
      </c>
      <c r="W32" s="17" t="n">
        <v>10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8">
        <f>AA32</f>
        <v/>
      </c>
    </row>
    <row r="33">
      <c r="A33" s="8" t="n">
        <v>21</v>
      </c>
      <c r="B33" t="inlineStr">
        <is>
          <t>Luke Samanek</t>
        </is>
      </c>
      <c r="C33" s="8" t="inlineStr">
        <is>
          <t>56491</t>
        </is>
      </c>
      <c r="D33" t="inlineStr">
        <is>
          <t>Vila Sol</t>
        </is>
      </c>
      <c r="E33" s="8" t="n">
        <v>18.2</v>
      </c>
      <c r="F33" s="17" t="n">
        <v>6</v>
      </c>
      <c r="G33" s="17" t="n">
        <v>7</v>
      </c>
      <c r="H33" s="17" t="n">
        <v>8</v>
      </c>
      <c r="I33" s="17" t="n">
        <v>7</v>
      </c>
      <c r="J33" s="17" t="n">
        <v>8</v>
      </c>
      <c r="K33" s="17" t="n">
        <v>9</v>
      </c>
      <c r="L33" s="17" t="n">
        <v>9</v>
      </c>
      <c r="M33" s="17" t="n">
        <v>7</v>
      </c>
      <c r="N33" s="17" t="n">
        <v>5</v>
      </c>
      <c r="O33" s="17" t="n">
        <v>8</v>
      </c>
      <c r="P33" s="17" t="n">
        <v>8</v>
      </c>
      <c r="Q33" s="17" t="n">
        <v>7</v>
      </c>
      <c r="R33" s="17" t="n">
        <v>6</v>
      </c>
      <c r="S33" s="17" t="n">
        <v>8</v>
      </c>
      <c r="T33" s="17" t="n">
        <v>7</v>
      </c>
      <c r="U33" s="17" t="n">
        <v>5</v>
      </c>
      <c r="V33" s="17" t="n">
        <v>6</v>
      </c>
      <c r="W33" s="17" t="n">
        <v>6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8">
        <f>AA33</f>
        <v/>
      </c>
    </row>
    <row r="34">
      <c r="A34" s="8" t="inlineStr">
        <is>
          <t>NS</t>
        </is>
      </c>
      <c r="B34" t="inlineStr">
        <is>
          <t>Jack Murtagh</t>
        </is>
      </c>
      <c r="C34" s="8" t="inlineStr"/>
      <c r="D34" t="inlineStr">
        <is>
          <t>Vilamoura, C. G</t>
        </is>
      </c>
      <c r="E34" s="8" t="n">
        <v>8.9</v>
      </c>
      <c r="AA34" s="8" t="n">
        <v>0</v>
      </c>
      <c r="AB34" s="18">
        <f>AA34</f>
        <v/>
      </c>
    </row>
    <row r="35">
      <c r="A35" s="8" t="inlineStr">
        <is>
          <t>NS</t>
        </is>
      </c>
      <c r="B35" t="inlineStr">
        <is>
          <t>Grace Gordon</t>
        </is>
      </c>
      <c r="C35" s="8" t="inlineStr"/>
      <c r="D35" t="inlineStr">
        <is>
          <t>Vilamoura, C. G</t>
        </is>
      </c>
      <c r="E35" s="8" t="n">
        <v>3.6</v>
      </c>
      <c r="AA35" s="8" t="n">
        <v>0</v>
      </c>
      <c r="AB35" s="18">
        <f>AA35</f>
        <v/>
      </c>
    </row>
    <row r="36">
      <c r="A36" s="8" t="inlineStr">
        <is>
          <t>NS</t>
        </is>
      </c>
      <c r="B36" t="inlineStr">
        <is>
          <t>Tomás Lima Pinto</t>
        </is>
      </c>
      <c r="C36" s="8" t="inlineStr"/>
      <c r="D36" t="inlineStr">
        <is>
          <t>Vilamoura, C. G</t>
        </is>
      </c>
      <c r="E36" s="8" t="n">
        <v>9.6</v>
      </c>
      <c r="AA36" s="8" t="n">
        <v>0</v>
      </c>
      <c r="AB36" s="18">
        <f>AA36</f>
        <v/>
      </c>
    </row>
  </sheetData>
  <mergeCells count="1">
    <mergeCell ref="A1:H1"/>
  </mergeCells>
  <conditionalFormatting sqref="F13:F36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36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36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36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36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36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36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36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36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36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36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36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36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36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36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36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36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36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2º Drive Tour Madeira — Santo da Serra</t>
        </is>
      </c>
    </row>
    <row r="2">
      <c r="A2" s="10" t="inlineStr">
        <is>
          <t>Data:</t>
        </is>
      </c>
      <c r="B2" t="inlineStr">
        <is>
          <t>2026-02-07</t>
        </is>
      </c>
    </row>
    <row r="3">
      <c r="A3" s="10" t="inlineStr">
        <is>
          <t>Campo:</t>
        </is>
      </c>
      <c r="B3" t="inlineStr">
        <is>
          <t>Santo da Serra</t>
        </is>
      </c>
    </row>
    <row r="4">
      <c r="A4" s="10" t="inlineStr">
        <is>
          <t>ccode/tcode:</t>
        </is>
      </c>
      <c r="B4" t="inlineStr">
        <is>
          <t>982/10199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https://scoring.datagolf.pt/pt/Classifications.aspx?ccode=982&amp;tcode=10199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5</v>
      </c>
      <c r="H11" s="14" t="n">
        <v>4</v>
      </c>
      <c r="I11" s="14" t="n">
        <v>4</v>
      </c>
      <c r="J11" s="14" t="n">
        <v>4</v>
      </c>
      <c r="K11" s="14" t="n">
        <v>3</v>
      </c>
      <c r="L11" s="14" t="n">
        <v>5</v>
      </c>
      <c r="M11" s="14" t="n">
        <v>3</v>
      </c>
      <c r="N11" s="14" t="n">
        <v>4</v>
      </c>
      <c r="O11" s="14" t="n">
        <v>5</v>
      </c>
      <c r="P11" s="14" t="n">
        <v>4</v>
      </c>
      <c r="Q11" s="14" t="n">
        <v>4</v>
      </c>
      <c r="R11" s="14" t="n">
        <v>4</v>
      </c>
      <c r="S11" s="14" t="n">
        <v>3</v>
      </c>
      <c r="T11" s="14" t="n">
        <v>4</v>
      </c>
      <c r="U11" s="14" t="n">
        <v>4</v>
      </c>
      <c r="V11" s="14" t="n">
        <v>3</v>
      </c>
      <c r="W11" s="14" t="n">
        <v>5</v>
      </c>
      <c r="Y11" s="15">
        <f>SUM(F11:W11)</f>
        <v/>
      </c>
    </row>
    <row r="12">
      <c r="A12" s="13" t="inlineStr">
        <is>
          <t>—SI—</t>
        </is>
      </c>
      <c r="F12" s="16" t="n">
        <v>5</v>
      </c>
      <c r="G12" s="16" t="n">
        <v>11</v>
      </c>
      <c r="H12" s="16" t="n">
        <v>7</v>
      </c>
      <c r="I12" s="16" t="n">
        <v>3</v>
      </c>
      <c r="J12" s="16" t="n">
        <v>9</v>
      </c>
      <c r="K12" s="16" t="n">
        <v>15</v>
      </c>
      <c r="L12" s="16" t="n">
        <v>1</v>
      </c>
      <c r="M12" s="16" t="n">
        <v>17</v>
      </c>
      <c r="N12" s="16" t="n">
        <v>13</v>
      </c>
      <c r="O12" s="16" t="n">
        <v>2</v>
      </c>
      <c r="P12" s="16" t="n">
        <v>4</v>
      </c>
      <c r="Q12" s="16" t="n">
        <v>14</v>
      </c>
      <c r="R12" s="16" t="n">
        <v>12</v>
      </c>
      <c r="S12" s="16" t="n">
        <v>8</v>
      </c>
      <c r="T12" s="16" t="n">
        <v>6</v>
      </c>
      <c r="U12" s="16" t="n">
        <v>16</v>
      </c>
      <c r="V12" s="16" t="n">
        <v>10</v>
      </c>
      <c r="W12" s="16" t="n">
        <v>18</v>
      </c>
    </row>
    <row r="13">
      <c r="A13" s="8" t="n">
        <v>1</v>
      </c>
      <c r="B13" t="inlineStr">
        <is>
          <t>Matilde Leal Gouveia</t>
        </is>
      </c>
      <c r="C13" s="8" t="inlineStr">
        <is>
          <t>41131</t>
        </is>
      </c>
      <c r="D13" t="inlineStr">
        <is>
          <t>Santo da Serra</t>
        </is>
      </c>
      <c r="E13" s="8" t="n">
        <v>3.6</v>
      </c>
      <c r="F13" s="17" t="n">
        <v>4</v>
      </c>
      <c r="G13" s="17" t="n">
        <v>5</v>
      </c>
      <c r="H13" s="17" t="n">
        <v>5</v>
      </c>
      <c r="I13" s="17" t="n">
        <v>4</v>
      </c>
      <c r="J13" s="17" t="n">
        <v>4</v>
      </c>
      <c r="K13" s="17" t="n">
        <v>2</v>
      </c>
      <c r="L13" s="17" t="n">
        <v>5</v>
      </c>
      <c r="M13" s="17" t="n">
        <v>4</v>
      </c>
      <c r="N13" s="17" t="n">
        <v>4</v>
      </c>
      <c r="O13" s="17" t="n">
        <v>4</v>
      </c>
      <c r="P13" s="17" t="n">
        <v>4</v>
      </c>
      <c r="Q13" s="17" t="n">
        <v>3</v>
      </c>
      <c r="R13" s="17" t="n">
        <v>4</v>
      </c>
      <c r="S13" s="17" t="n">
        <v>4</v>
      </c>
      <c r="T13" s="17" t="n">
        <v>4</v>
      </c>
      <c r="U13" s="17" t="n">
        <v>5</v>
      </c>
      <c r="V13" s="17" t="n">
        <v>3</v>
      </c>
      <c r="W13" s="17" t="n">
        <v>6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Salvador Rodrigues</t>
        </is>
      </c>
      <c r="C14" s="8" t="inlineStr">
        <is>
          <t>39465</t>
        </is>
      </c>
      <c r="D14" t="inlineStr">
        <is>
          <t>Palheiro</t>
        </is>
      </c>
      <c r="E14" s="8" t="n">
        <v>6.4</v>
      </c>
      <c r="F14" s="17" t="n">
        <v>4</v>
      </c>
      <c r="G14" s="17" t="n">
        <v>5</v>
      </c>
      <c r="H14" s="17" t="n">
        <v>4</v>
      </c>
      <c r="I14" s="17" t="n">
        <v>3</v>
      </c>
      <c r="J14" s="17" t="n">
        <v>5</v>
      </c>
      <c r="K14" s="17" t="n">
        <v>3</v>
      </c>
      <c r="L14" s="17" t="n">
        <v>5</v>
      </c>
      <c r="M14" s="17" t="n">
        <v>3</v>
      </c>
      <c r="N14" s="17" t="n">
        <v>6</v>
      </c>
      <c r="O14" s="17" t="n">
        <v>7</v>
      </c>
      <c r="P14" s="17" t="n">
        <v>4</v>
      </c>
      <c r="Q14" s="17" t="n">
        <v>6</v>
      </c>
      <c r="R14" s="17" t="n">
        <v>4</v>
      </c>
      <c r="S14" s="17" t="n">
        <v>3</v>
      </c>
      <c r="T14" s="17" t="n">
        <v>5</v>
      </c>
      <c r="U14" s="17" t="n">
        <v>4</v>
      </c>
      <c r="V14" s="17" t="n">
        <v>3</v>
      </c>
      <c r="W14" s="17" t="n">
        <v>5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André Gonçalves</t>
        </is>
      </c>
      <c r="C15" s="8" t="inlineStr">
        <is>
          <t>41121</t>
        </is>
      </c>
      <c r="D15" t="inlineStr">
        <is>
          <t>Palheiro</t>
        </is>
      </c>
      <c r="E15" s="8" t="n">
        <v>6.7</v>
      </c>
      <c r="F15" s="17" t="n">
        <v>4</v>
      </c>
      <c r="G15" s="17" t="n">
        <v>4</v>
      </c>
      <c r="H15" s="17" t="n">
        <v>6</v>
      </c>
      <c r="I15" s="17" t="n">
        <v>3</v>
      </c>
      <c r="J15" s="17" t="n">
        <v>6</v>
      </c>
      <c r="K15" s="17" t="n">
        <v>3</v>
      </c>
      <c r="L15" s="17" t="n">
        <v>6</v>
      </c>
      <c r="M15" s="17" t="n">
        <v>3</v>
      </c>
      <c r="N15" s="17" t="n">
        <v>5</v>
      </c>
      <c r="O15" s="17" t="n">
        <v>6</v>
      </c>
      <c r="P15" s="17" t="n">
        <v>7</v>
      </c>
      <c r="Q15" s="17" t="n">
        <v>4</v>
      </c>
      <c r="R15" s="17" t="n">
        <v>4</v>
      </c>
      <c r="S15" s="17" t="n">
        <v>2</v>
      </c>
      <c r="T15" s="17" t="n">
        <v>4</v>
      </c>
      <c r="U15" s="17" t="n">
        <v>4</v>
      </c>
      <c r="V15" s="17" t="n">
        <v>3</v>
      </c>
      <c r="W15" s="17" t="n">
        <v>7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José Pedro Miranda</t>
        </is>
      </c>
      <c r="C16" s="8" t="inlineStr">
        <is>
          <t>38976</t>
        </is>
      </c>
      <c r="D16" t="inlineStr">
        <is>
          <t>Palheiro</t>
        </is>
      </c>
      <c r="E16" s="8" t="n">
        <v>6.8</v>
      </c>
      <c r="F16" s="17" t="n">
        <v>4</v>
      </c>
      <c r="G16" s="17" t="n">
        <v>7</v>
      </c>
      <c r="H16" s="17" t="n">
        <v>5</v>
      </c>
      <c r="I16" s="17" t="n">
        <v>3</v>
      </c>
      <c r="J16" s="17" t="n">
        <v>5</v>
      </c>
      <c r="K16" s="17" t="n">
        <v>5</v>
      </c>
      <c r="L16" s="17" t="n">
        <v>6</v>
      </c>
      <c r="M16" s="17" t="n">
        <v>2</v>
      </c>
      <c r="N16" s="17" t="n">
        <v>5</v>
      </c>
      <c r="O16" s="17" t="n">
        <v>4</v>
      </c>
      <c r="P16" s="17" t="n">
        <v>5</v>
      </c>
      <c r="Q16" s="17" t="n">
        <v>4</v>
      </c>
      <c r="R16" s="17" t="n">
        <v>6</v>
      </c>
      <c r="S16" s="17" t="n">
        <v>4</v>
      </c>
      <c r="T16" s="17" t="n">
        <v>4</v>
      </c>
      <c r="U16" s="17" t="n">
        <v>5</v>
      </c>
      <c r="V16" s="17" t="n">
        <v>3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Maria Cunha</t>
        </is>
      </c>
      <c r="C17" s="8" t="inlineStr">
        <is>
          <t>46482</t>
        </is>
      </c>
      <c r="D17" t="inlineStr">
        <is>
          <t>Palheiro</t>
        </is>
      </c>
      <c r="E17" s="8" t="n">
        <v>5.1</v>
      </c>
      <c r="F17" s="17" t="n">
        <v>4</v>
      </c>
      <c r="G17" s="17" t="n">
        <v>5</v>
      </c>
      <c r="H17" s="17" t="n">
        <v>4</v>
      </c>
      <c r="I17" s="17" t="n">
        <v>5</v>
      </c>
      <c r="J17" s="17" t="n">
        <v>5</v>
      </c>
      <c r="K17" s="17" t="n">
        <v>4</v>
      </c>
      <c r="L17" s="17" t="n">
        <v>6</v>
      </c>
      <c r="M17" s="17" t="n">
        <v>3</v>
      </c>
      <c r="N17" s="17" t="n">
        <v>3</v>
      </c>
      <c r="O17" s="17" t="n">
        <v>8</v>
      </c>
      <c r="P17" s="17" t="n">
        <v>6</v>
      </c>
      <c r="Q17" s="17" t="n">
        <v>5</v>
      </c>
      <c r="R17" s="17" t="n">
        <v>3</v>
      </c>
      <c r="S17" s="17" t="n">
        <v>4</v>
      </c>
      <c r="T17" s="17" t="n">
        <v>5</v>
      </c>
      <c r="U17" s="17" t="n">
        <v>3</v>
      </c>
      <c r="V17" s="17" t="n">
        <v>4</v>
      </c>
      <c r="W17" s="17" t="n">
        <v>7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Maria Câmara</t>
        </is>
      </c>
      <c r="C18" s="8" t="inlineStr">
        <is>
          <t>40990</t>
        </is>
      </c>
      <c r="D18" t="inlineStr">
        <is>
          <t>Santo da Serra</t>
        </is>
      </c>
      <c r="E18" s="8" t="n">
        <v>9.4</v>
      </c>
      <c r="F18" s="17" t="n">
        <v>4</v>
      </c>
      <c r="G18" s="17" t="n">
        <v>6</v>
      </c>
      <c r="H18" s="17" t="n">
        <v>4</v>
      </c>
      <c r="I18" s="17" t="n">
        <v>6</v>
      </c>
      <c r="J18" s="17" t="n">
        <v>5</v>
      </c>
      <c r="K18" s="17" t="n">
        <v>3</v>
      </c>
      <c r="L18" s="17" t="n">
        <v>6</v>
      </c>
      <c r="M18" s="17" t="n">
        <v>3</v>
      </c>
      <c r="N18" s="17" t="n">
        <v>4</v>
      </c>
      <c r="O18" s="17" t="n">
        <v>6</v>
      </c>
      <c r="P18" s="17" t="n">
        <v>5</v>
      </c>
      <c r="Q18" s="17" t="n">
        <v>5</v>
      </c>
      <c r="R18" s="17" t="n">
        <v>4</v>
      </c>
      <c r="S18" s="17" t="n">
        <v>2</v>
      </c>
      <c r="T18" s="17" t="n">
        <v>6</v>
      </c>
      <c r="U18" s="17" t="n">
        <v>5</v>
      </c>
      <c r="V18" s="17" t="n">
        <v>3</v>
      </c>
      <c r="W18" s="17" t="n">
        <v>8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Marcelo Gaspar</t>
        </is>
      </c>
      <c r="C19" s="8" t="inlineStr">
        <is>
          <t>38006</t>
        </is>
      </c>
      <c r="D19" t="inlineStr">
        <is>
          <t>Santo da Serra</t>
        </is>
      </c>
      <c r="E19" s="8" t="n">
        <v>6.9</v>
      </c>
      <c r="F19" s="17" t="n">
        <v>5</v>
      </c>
      <c r="G19" s="17" t="n">
        <v>6</v>
      </c>
      <c r="H19" s="17" t="n">
        <v>4</v>
      </c>
      <c r="I19" s="17" t="n">
        <v>5</v>
      </c>
      <c r="J19" s="17" t="n">
        <v>4</v>
      </c>
      <c r="K19" s="17" t="n">
        <v>4</v>
      </c>
      <c r="L19" s="17" t="n">
        <v>8</v>
      </c>
      <c r="M19" s="17" t="n">
        <v>2</v>
      </c>
      <c r="N19" s="17" t="n">
        <v>5</v>
      </c>
      <c r="O19" s="17" t="n">
        <v>6</v>
      </c>
      <c r="P19" s="17" t="n">
        <v>5</v>
      </c>
      <c r="Q19" s="17" t="n">
        <v>6</v>
      </c>
      <c r="R19" s="17" t="n">
        <v>4</v>
      </c>
      <c r="S19" s="17" t="n">
        <v>3</v>
      </c>
      <c r="T19" s="17" t="n">
        <v>5</v>
      </c>
      <c r="U19" s="17" t="n">
        <v>4</v>
      </c>
      <c r="V19" s="17" t="n">
        <v>4</v>
      </c>
      <c r="W19" s="17" t="n">
        <v>6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Rodrigo Abreu</t>
        </is>
      </c>
      <c r="C20" s="8" t="inlineStr">
        <is>
          <t>42684</t>
        </is>
      </c>
      <c r="D20" t="inlineStr">
        <is>
          <t>Palheiro</t>
        </is>
      </c>
      <c r="E20" s="8" t="n">
        <v>10.5</v>
      </c>
      <c r="F20" s="17" t="n">
        <v>5</v>
      </c>
      <c r="G20" s="17" t="n">
        <v>5</v>
      </c>
      <c r="H20" s="17" t="n">
        <v>4</v>
      </c>
      <c r="I20" s="17" t="n">
        <v>3</v>
      </c>
      <c r="J20" s="17" t="n">
        <v>5</v>
      </c>
      <c r="K20" s="17" t="n">
        <v>3</v>
      </c>
      <c r="L20" s="17" t="n">
        <v>6</v>
      </c>
      <c r="M20" s="17" t="n">
        <v>3</v>
      </c>
      <c r="N20" s="17" t="n">
        <v>5</v>
      </c>
      <c r="O20" s="17" t="n">
        <v>7</v>
      </c>
      <c r="P20" s="17" t="n">
        <v>6</v>
      </c>
      <c r="Q20" s="17" t="n">
        <v>5</v>
      </c>
      <c r="R20" s="17" t="n">
        <v>6</v>
      </c>
      <c r="S20" s="17" t="n">
        <v>5</v>
      </c>
      <c r="T20" s="17" t="n">
        <v>5</v>
      </c>
      <c r="U20" s="17" t="n">
        <v>5</v>
      </c>
      <c r="V20" s="17" t="n">
        <v>4</v>
      </c>
      <c r="W20" s="17" t="n">
        <v>4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Manuel Gouveia</t>
        </is>
      </c>
      <c r="C21" s="8" t="inlineStr">
        <is>
          <t>41124</t>
        </is>
      </c>
      <c r="D21" t="inlineStr">
        <is>
          <t>Santo da Serra</t>
        </is>
      </c>
      <c r="E21" s="8" t="n">
        <v>21.3</v>
      </c>
      <c r="F21" s="17" t="n">
        <v>5</v>
      </c>
      <c r="G21" s="17" t="n">
        <v>6</v>
      </c>
      <c r="H21" s="17" t="n">
        <v>5</v>
      </c>
      <c r="I21" s="17" t="n">
        <v>7</v>
      </c>
      <c r="J21" s="17" t="n">
        <v>6</v>
      </c>
      <c r="K21" s="17" t="n">
        <v>2</v>
      </c>
      <c r="L21" s="17" t="n">
        <v>5</v>
      </c>
      <c r="M21" s="17" t="n">
        <v>4</v>
      </c>
      <c r="N21" s="17" t="n">
        <v>6</v>
      </c>
      <c r="O21" s="17" t="n">
        <v>6</v>
      </c>
      <c r="P21" s="17" t="n">
        <v>4</v>
      </c>
      <c r="Q21" s="17" t="n">
        <v>5</v>
      </c>
      <c r="R21" s="17" t="n">
        <v>6</v>
      </c>
      <c r="S21" s="17" t="n">
        <v>3</v>
      </c>
      <c r="T21" s="17" t="n">
        <v>6</v>
      </c>
      <c r="U21" s="17" t="n">
        <v>4</v>
      </c>
      <c r="V21" s="17" t="n">
        <v>3</v>
      </c>
      <c r="W21" s="17" t="n">
        <v>6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Vasco Leal Gouveia</t>
        </is>
      </c>
      <c r="C22" s="8" t="inlineStr">
        <is>
          <t>41130</t>
        </is>
      </c>
      <c r="D22" t="inlineStr">
        <is>
          <t>Santo da Serra</t>
        </is>
      </c>
      <c r="E22" s="8" t="n">
        <v>18.2</v>
      </c>
      <c r="F22" s="17" t="n">
        <v>5</v>
      </c>
      <c r="G22" s="17" t="n">
        <v>7</v>
      </c>
      <c r="H22" s="17" t="n">
        <v>6</v>
      </c>
      <c r="I22" s="17" t="n">
        <v>8</v>
      </c>
      <c r="J22" s="17" t="n">
        <v>5</v>
      </c>
      <c r="K22" s="17" t="n">
        <v>2</v>
      </c>
      <c r="L22" s="17" t="n">
        <v>7</v>
      </c>
      <c r="M22" s="17" t="n">
        <v>3</v>
      </c>
      <c r="N22" s="17" t="n">
        <v>5</v>
      </c>
      <c r="O22" s="17" t="n">
        <v>5</v>
      </c>
      <c r="P22" s="17" t="n">
        <v>7</v>
      </c>
      <c r="Q22" s="17" t="n">
        <v>4</v>
      </c>
      <c r="R22" s="17" t="n">
        <v>5</v>
      </c>
      <c r="S22" s="17" t="n">
        <v>4</v>
      </c>
      <c r="T22" s="17" t="n">
        <v>4</v>
      </c>
      <c r="U22" s="17" t="n">
        <v>4</v>
      </c>
      <c r="V22" s="17" t="n">
        <v>4</v>
      </c>
      <c r="W22" s="17" t="n">
        <v>7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Mateus Penucho</t>
        </is>
      </c>
      <c r="C23" s="8" t="inlineStr">
        <is>
          <t>52393</t>
        </is>
      </c>
      <c r="D23" t="inlineStr">
        <is>
          <t>Santo da Serra</t>
        </is>
      </c>
      <c r="E23" s="8" t="n">
        <v>16.9</v>
      </c>
      <c r="F23" s="17" t="n">
        <v>6</v>
      </c>
      <c r="G23" s="17" t="n">
        <v>7</v>
      </c>
      <c r="H23" s="17" t="n">
        <v>4</v>
      </c>
      <c r="I23" s="17" t="n">
        <v>5</v>
      </c>
      <c r="J23" s="17" t="n">
        <v>7</v>
      </c>
      <c r="K23" s="17" t="n">
        <v>4</v>
      </c>
      <c r="L23" s="17" t="n">
        <v>6</v>
      </c>
      <c r="M23" s="17" t="n">
        <v>4</v>
      </c>
      <c r="N23" s="17" t="n">
        <v>5</v>
      </c>
      <c r="O23" s="17" t="n">
        <v>5</v>
      </c>
      <c r="P23" s="17" t="n">
        <v>7</v>
      </c>
      <c r="Q23" s="17" t="n">
        <v>4</v>
      </c>
      <c r="R23" s="17" t="n">
        <v>5</v>
      </c>
      <c r="S23" s="17" t="n">
        <v>4</v>
      </c>
      <c r="T23" s="17" t="n">
        <v>5</v>
      </c>
      <c r="U23" s="17" t="n">
        <v>5</v>
      </c>
      <c r="V23" s="17" t="n">
        <v>3</v>
      </c>
      <c r="W23" s="17" t="n">
        <v>7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Manuel Goulartt Medeiros</t>
        </is>
      </c>
      <c r="C24" s="8" t="inlineStr">
        <is>
          <t>52884</t>
        </is>
      </c>
      <c r="D24" t="inlineStr">
        <is>
          <t>Santo da Serra</t>
        </is>
      </c>
      <c r="E24" s="8" t="n">
        <v>12.1</v>
      </c>
      <c r="F24" s="17" t="n">
        <v>5</v>
      </c>
      <c r="G24" s="17" t="n">
        <v>5</v>
      </c>
      <c r="H24" s="17" t="n">
        <v>6</v>
      </c>
      <c r="I24" s="17" t="n">
        <v>5</v>
      </c>
      <c r="J24" s="17" t="n">
        <v>5</v>
      </c>
      <c r="K24" s="17" t="n">
        <v>4</v>
      </c>
      <c r="L24" s="17" t="n">
        <v>6</v>
      </c>
      <c r="M24" s="17" t="n">
        <v>4</v>
      </c>
      <c r="N24" s="17" t="n">
        <v>4</v>
      </c>
      <c r="O24" s="17" t="n">
        <v>6</v>
      </c>
      <c r="P24" s="17" t="n">
        <v>8</v>
      </c>
      <c r="Q24" s="17" t="n">
        <v>7</v>
      </c>
      <c r="R24" s="17" t="n">
        <v>4</v>
      </c>
      <c r="S24" s="17" t="n">
        <v>5</v>
      </c>
      <c r="T24" s="17" t="n">
        <v>5</v>
      </c>
      <c r="U24" s="17" t="n">
        <v>5</v>
      </c>
      <c r="V24" s="17" t="n">
        <v>4</v>
      </c>
      <c r="W24" s="17" t="n">
        <v>6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Gonçalo Gouveia</t>
        </is>
      </c>
      <c r="C25" s="8" t="inlineStr">
        <is>
          <t>50398</t>
        </is>
      </c>
      <c r="D25" t="inlineStr">
        <is>
          <t>Santo da Serra</t>
        </is>
      </c>
      <c r="E25" s="8" t="n">
        <v>23.5</v>
      </c>
      <c r="F25" s="17" t="n">
        <v>7</v>
      </c>
      <c r="G25" s="17" t="n">
        <v>10</v>
      </c>
      <c r="H25" s="17" t="n">
        <v>3</v>
      </c>
      <c r="I25" s="17" t="n">
        <v>6</v>
      </c>
      <c r="J25" s="17" t="n">
        <v>4</v>
      </c>
      <c r="K25" s="17" t="n">
        <v>4</v>
      </c>
      <c r="L25" s="17" t="n">
        <v>5</v>
      </c>
      <c r="M25" s="17" t="n">
        <v>4</v>
      </c>
      <c r="N25" s="17" t="n">
        <v>5</v>
      </c>
      <c r="O25" s="17" t="n">
        <v>7</v>
      </c>
      <c r="P25" s="17" t="n">
        <v>7</v>
      </c>
      <c r="Q25" s="17" t="n">
        <v>4</v>
      </c>
      <c r="R25" s="17" t="n">
        <v>6</v>
      </c>
      <c r="S25" s="17" t="n">
        <v>3</v>
      </c>
      <c r="T25" s="17" t="n">
        <v>6</v>
      </c>
      <c r="U25" s="17" t="n">
        <v>5</v>
      </c>
      <c r="V25" s="17" t="n">
        <v>5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</sheetData>
  <mergeCells count="1">
    <mergeCell ref="A1:H1"/>
  </mergeCells>
  <conditionalFormatting sqref="F13:F25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25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25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25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25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25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25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25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25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25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25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25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25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25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25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25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25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25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T39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8" customWidth="1" min="68" max="68"/>
    <col width="6" customWidth="1" min="69" max="69"/>
    <col width="8" customWidth="1" min="70" max="70"/>
    <col width="8" customWidth="1" min="71" max="71"/>
    <col width="12" customWidth="1" min="72" max="72"/>
  </cols>
  <sheetData>
    <row r="1" ht="22" customHeight="1">
      <c r="A1" s="1" t="inlineStr">
        <is>
          <t>Greatgolf Junior Open (Main 3R, Sub 16+)</t>
        </is>
      </c>
    </row>
    <row r="2">
      <c r="A2" s="10" t="inlineStr">
        <is>
          <t>Data:</t>
        </is>
      </c>
      <c r="B2" t="inlineStr">
        <is>
          <t>2026-02-15</t>
        </is>
      </c>
    </row>
    <row r="3">
      <c r="A3" s="10" t="inlineStr">
        <is>
          <t>Campo:</t>
        </is>
      </c>
      <c r="B3" t="inlineStr">
        <is>
          <t>Vilamoura — Millennium</t>
        </is>
      </c>
    </row>
    <row r="4">
      <c r="A4" s="10" t="inlineStr">
        <is>
          <t>ccode/tcode:</t>
        </is>
      </c>
      <c r="B4" t="inlineStr">
        <is>
          <t>935/10294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https://scoring.datagolf.pt/pt/Classifications.aspx?ccode=935&amp;tcode=10294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GG_MAIN</t>
        </is>
      </c>
    </row>
    <row r="8">
      <c r="A8" s="10" t="inlineStr">
        <is>
          <t>Nota:</t>
        </is>
      </c>
      <c r="B8" s="19" t="inlineStr">
        <is>
          <t>3 rondas; só R2+R3 contam para o ranking PJA (R1 omitida do total)</t>
        </is>
      </c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R3 h1</t>
        </is>
      </c>
      <c r="AY10" s="12" t="inlineStr">
        <is>
          <t>h2</t>
        </is>
      </c>
      <c r="AZ10" s="12" t="inlineStr">
        <is>
          <t>h3</t>
        </is>
      </c>
      <c r="BA10" s="12" t="inlineStr">
        <is>
          <t>h4</t>
        </is>
      </c>
      <c r="BB10" s="12" t="inlineStr">
        <is>
          <t>h5</t>
        </is>
      </c>
      <c r="BC10" s="12" t="inlineStr">
        <is>
          <t>h6</t>
        </is>
      </c>
      <c r="BD10" s="12" t="inlineStr">
        <is>
          <t>h7</t>
        </is>
      </c>
      <c r="BE10" s="12" t="inlineStr">
        <is>
          <t>h8</t>
        </is>
      </c>
      <c r="BF10" s="12" t="inlineStr">
        <is>
          <t>h9</t>
        </is>
      </c>
      <c r="BG10" s="12" t="inlineStr">
        <is>
          <t>h10</t>
        </is>
      </c>
      <c r="BH10" s="12" t="inlineStr">
        <is>
          <t>h11</t>
        </is>
      </c>
      <c r="BI10" s="12" t="inlineStr">
        <is>
          <t>h12</t>
        </is>
      </c>
      <c r="BJ10" s="12" t="inlineStr">
        <is>
          <t>h13</t>
        </is>
      </c>
      <c r="BK10" s="12" t="inlineStr">
        <is>
          <t>h14</t>
        </is>
      </c>
      <c r="BL10" s="12" t="inlineStr">
        <is>
          <t>h15</t>
        </is>
      </c>
      <c r="BM10" s="12" t="inlineStr">
        <is>
          <t>h16</t>
        </is>
      </c>
      <c r="BN10" s="12" t="inlineStr">
        <is>
          <t>h17</t>
        </is>
      </c>
      <c r="BO10" s="12" t="inlineStr">
        <is>
          <t>h18</t>
        </is>
      </c>
      <c r="BP10" s="12" t="inlineStr">
        <is>
          <t>R3 Gross</t>
        </is>
      </c>
      <c r="BQ10" s="12" t="inlineStr">
        <is>
          <t>R3 Par</t>
        </is>
      </c>
      <c r="BR10" s="12" t="inlineStr">
        <is>
          <t>R3 ToPar</t>
        </is>
      </c>
      <c r="BS10" s="12" t="inlineStr">
        <is>
          <t>R3 Pts</t>
        </is>
      </c>
      <c r="BT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4</v>
      </c>
      <c r="L11" s="14" t="n">
        <v>4</v>
      </c>
      <c r="M11" s="14" t="n">
        <v>5</v>
      </c>
      <c r="N11" s="14" t="n">
        <v>4</v>
      </c>
      <c r="O11" s="14" t="n">
        <v>5</v>
      </c>
      <c r="P11" s="14" t="n">
        <v>4</v>
      </c>
      <c r="Q11" s="14" t="n">
        <v>3</v>
      </c>
      <c r="R11" s="14" t="n">
        <v>4</v>
      </c>
      <c r="S11" s="14" t="n">
        <v>4</v>
      </c>
      <c r="T11" s="14" t="n">
        <v>5</v>
      </c>
      <c r="U11" s="14" t="n">
        <v>4</v>
      </c>
      <c r="V11" s="14" t="n">
        <v>3</v>
      </c>
      <c r="W11" s="14" t="n">
        <v>4</v>
      </c>
      <c r="Y11" s="15">
        <f>SUM(F11:W11)</f>
        <v/>
      </c>
      <c r="AB11" s="14" t="n">
        <v>5</v>
      </c>
      <c r="AC11" s="14" t="n">
        <v>3</v>
      </c>
      <c r="AD11" s="14" t="n">
        <v>4</v>
      </c>
      <c r="AE11" s="14" t="n">
        <v>3</v>
      </c>
      <c r="AF11" s="14" t="n">
        <v>4</v>
      </c>
      <c r="AG11" s="14" t="n">
        <v>4</v>
      </c>
      <c r="AH11" s="14" t="n">
        <v>4</v>
      </c>
      <c r="AI11" s="14" t="n">
        <v>5</v>
      </c>
      <c r="AJ11" s="14" t="n">
        <v>4</v>
      </c>
      <c r="AK11" s="14" t="n">
        <v>5</v>
      </c>
      <c r="AL11" s="14" t="n">
        <v>4</v>
      </c>
      <c r="AM11" s="14" t="n">
        <v>3</v>
      </c>
      <c r="AN11" s="14" t="n">
        <v>4</v>
      </c>
      <c r="AO11" s="14" t="n">
        <v>4</v>
      </c>
      <c r="AP11" s="14" t="n">
        <v>5</v>
      </c>
      <c r="AQ11" s="14" t="n">
        <v>4</v>
      </c>
      <c r="AR11" s="14" t="n">
        <v>3</v>
      </c>
      <c r="AS11" s="14" t="n">
        <v>4</v>
      </c>
      <c r="AU11" s="15">
        <f>SUM(AB11:AS11)</f>
        <v/>
      </c>
      <c r="AX11" s="14" t="n">
        <v>5</v>
      </c>
      <c r="AY11" s="14" t="n">
        <v>3</v>
      </c>
      <c r="AZ11" s="14" t="n">
        <v>4</v>
      </c>
      <c r="BA11" s="14" t="n">
        <v>3</v>
      </c>
      <c r="BB11" s="14" t="n">
        <v>4</v>
      </c>
      <c r="BC11" s="14" t="n">
        <v>4</v>
      </c>
      <c r="BD11" s="14" t="n">
        <v>4</v>
      </c>
      <c r="BE11" s="14" t="n">
        <v>5</v>
      </c>
      <c r="BF11" s="14" t="n">
        <v>4</v>
      </c>
      <c r="BG11" s="14" t="n">
        <v>5</v>
      </c>
      <c r="BH11" s="14" t="n">
        <v>4</v>
      </c>
      <c r="BI11" s="14" t="n">
        <v>3</v>
      </c>
      <c r="BJ11" s="14" t="n">
        <v>4</v>
      </c>
      <c r="BK11" s="14" t="n">
        <v>4</v>
      </c>
      <c r="BL11" s="14" t="n">
        <v>5</v>
      </c>
      <c r="BM11" s="14" t="n">
        <v>4</v>
      </c>
      <c r="BN11" s="14" t="n">
        <v>3</v>
      </c>
      <c r="BO11" s="14" t="n">
        <v>4</v>
      </c>
      <c r="BQ11" s="15">
        <f>SUM(AX11:BO11)</f>
        <v/>
      </c>
    </row>
    <row r="12">
      <c r="A12" s="13" t="inlineStr">
        <is>
          <t>—SI—</t>
        </is>
      </c>
      <c r="F12" s="16" t="n">
        <v>16</v>
      </c>
      <c r="G12" s="16" t="n">
        <v>12</v>
      </c>
      <c r="H12" s="16" t="n">
        <v>4</v>
      </c>
      <c r="I12" s="16" t="n">
        <v>6</v>
      </c>
      <c r="J12" s="16" t="n">
        <v>8</v>
      </c>
      <c r="K12" s="16" t="n">
        <v>18</v>
      </c>
      <c r="L12" s="16" t="n">
        <v>10</v>
      </c>
      <c r="M12" s="16" t="n">
        <v>14</v>
      </c>
      <c r="N12" s="16" t="n">
        <v>2</v>
      </c>
      <c r="O12" s="16" t="n">
        <v>17</v>
      </c>
      <c r="P12" s="16" t="n">
        <v>7</v>
      </c>
      <c r="Q12" s="16" t="n">
        <v>5</v>
      </c>
      <c r="R12" s="16" t="n">
        <v>1</v>
      </c>
      <c r="S12" s="16" t="n">
        <v>3</v>
      </c>
      <c r="T12" s="16" t="n">
        <v>13</v>
      </c>
      <c r="U12" s="16" t="n">
        <v>15</v>
      </c>
      <c r="V12" s="16" t="n">
        <v>11</v>
      </c>
      <c r="W12" s="16" t="n">
        <v>9</v>
      </c>
      <c r="AB12" s="16" t="n">
        <v>16</v>
      </c>
      <c r="AC12" s="16" t="n">
        <v>12</v>
      </c>
      <c r="AD12" s="16" t="n">
        <v>4</v>
      </c>
      <c r="AE12" s="16" t="n">
        <v>6</v>
      </c>
      <c r="AF12" s="16" t="n">
        <v>8</v>
      </c>
      <c r="AG12" s="16" t="n">
        <v>18</v>
      </c>
      <c r="AH12" s="16" t="n">
        <v>10</v>
      </c>
      <c r="AI12" s="16" t="n">
        <v>14</v>
      </c>
      <c r="AJ12" s="16" t="n">
        <v>2</v>
      </c>
      <c r="AK12" s="16" t="n">
        <v>17</v>
      </c>
      <c r="AL12" s="16" t="n">
        <v>7</v>
      </c>
      <c r="AM12" s="16" t="n">
        <v>5</v>
      </c>
      <c r="AN12" s="16" t="n">
        <v>1</v>
      </c>
      <c r="AO12" s="16" t="n">
        <v>3</v>
      </c>
      <c r="AP12" s="16" t="n">
        <v>13</v>
      </c>
      <c r="AQ12" s="16" t="n">
        <v>15</v>
      </c>
      <c r="AR12" s="16" t="n">
        <v>11</v>
      </c>
      <c r="AS12" s="16" t="n">
        <v>9</v>
      </c>
      <c r="AX12" s="16" t="n">
        <v>16</v>
      </c>
      <c r="AY12" s="16" t="n">
        <v>12</v>
      </c>
      <c r="AZ12" s="16" t="n">
        <v>4</v>
      </c>
      <c r="BA12" s="16" t="n">
        <v>6</v>
      </c>
      <c r="BB12" s="16" t="n">
        <v>8</v>
      </c>
      <c r="BC12" s="16" t="n">
        <v>18</v>
      </c>
      <c r="BD12" s="16" t="n">
        <v>10</v>
      </c>
      <c r="BE12" s="16" t="n">
        <v>14</v>
      </c>
      <c r="BF12" s="16" t="n">
        <v>2</v>
      </c>
      <c r="BG12" s="16" t="n">
        <v>17</v>
      </c>
      <c r="BH12" s="16" t="n">
        <v>7</v>
      </c>
      <c r="BI12" s="16" t="n">
        <v>5</v>
      </c>
      <c r="BJ12" s="16" t="n">
        <v>1</v>
      </c>
      <c r="BK12" s="16" t="n">
        <v>3</v>
      </c>
      <c r="BL12" s="16" t="n">
        <v>13</v>
      </c>
      <c r="BM12" s="16" t="n">
        <v>15</v>
      </c>
      <c r="BN12" s="16" t="n">
        <v>11</v>
      </c>
      <c r="BO12" s="16" t="n">
        <v>9</v>
      </c>
    </row>
    <row r="13">
      <c r="A13" s="8" t="n">
        <v>1</v>
      </c>
      <c r="B13" t="inlineStr">
        <is>
          <t>Guilherme Grabner Moreira</t>
        </is>
      </c>
      <c r="C13" s="8" t="inlineStr">
        <is>
          <t>42205</t>
        </is>
      </c>
      <c r="D13" t="inlineStr">
        <is>
          <t>Oporto</t>
        </is>
      </c>
      <c r="E13" s="8" t="n">
        <v>2.1</v>
      </c>
      <c r="F13" s="17" t="n">
        <v>6</v>
      </c>
      <c r="G13" s="17" t="n">
        <v>2</v>
      </c>
      <c r="H13" s="17" t="n">
        <v>6</v>
      </c>
      <c r="I13" s="17" t="n">
        <v>4</v>
      </c>
      <c r="J13" s="17" t="n">
        <v>4</v>
      </c>
      <c r="K13" s="17" t="n">
        <v>4</v>
      </c>
      <c r="L13" s="17" t="n">
        <v>4</v>
      </c>
      <c r="M13" s="17" t="n">
        <v>5</v>
      </c>
      <c r="N13" s="17" t="n">
        <v>4</v>
      </c>
      <c r="O13" s="17" t="n">
        <v>5</v>
      </c>
      <c r="P13" s="17" t="n">
        <v>3</v>
      </c>
      <c r="Q13" s="17" t="n">
        <v>2</v>
      </c>
      <c r="R13" s="17" t="n">
        <v>3</v>
      </c>
      <c r="S13" s="17" t="n">
        <v>4</v>
      </c>
      <c r="T13" s="17" t="n">
        <v>5</v>
      </c>
      <c r="U13" s="17" t="n">
        <v>5</v>
      </c>
      <c r="V13" s="17" t="n">
        <v>2</v>
      </c>
      <c r="W13" s="17" t="n">
        <v>3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7</v>
      </c>
      <c r="AC13" s="17" t="n">
        <v>3</v>
      </c>
      <c r="AD13" s="17" t="n">
        <v>3</v>
      </c>
      <c r="AE13" s="17" t="n">
        <v>3</v>
      </c>
      <c r="AF13" s="17" t="n">
        <v>4</v>
      </c>
      <c r="AG13" s="17" t="n">
        <v>5</v>
      </c>
      <c r="AH13" s="17" t="n">
        <v>3</v>
      </c>
      <c r="AI13" s="17" t="n">
        <v>4</v>
      </c>
      <c r="AJ13" s="17" t="n">
        <v>4</v>
      </c>
      <c r="AK13" s="17" t="n">
        <v>5</v>
      </c>
      <c r="AL13" s="17" t="n">
        <v>3</v>
      </c>
      <c r="AM13" s="17" t="n">
        <v>4</v>
      </c>
      <c r="AN13" s="17" t="n">
        <v>4</v>
      </c>
      <c r="AO13" s="17" t="n">
        <v>3</v>
      </c>
      <c r="AP13" s="17" t="n">
        <v>7</v>
      </c>
      <c r="AQ13" s="17" t="n">
        <v>5</v>
      </c>
      <c r="AR13" s="17" t="n">
        <v>3</v>
      </c>
      <c r="AS13" s="17" t="n">
        <v>4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7" t="n">
        <v>6</v>
      </c>
      <c r="AY13" s="17" t="n">
        <v>3</v>
      </c>
      <c r="AZ13" s="17" t="n">
        <v>4</v>
      </c>
      <c r="BA13" s="17" t="n">
        <v>3</v>
      </c>
      <c r="BB13" s="17" t="n">
        <v>5</v>
      </c>
      <c r="BC13" s="17" t="n">
        <v>6</v>
      </c>
      <c r="BD13" s="17" t="n">
        <v>4</v>
      </c>
      <c r="BE13" s="17" t="n">
        <v>5</v>
      </c>
      <c r="BF13" s="17" t="n">
        <v>4</v>
      </c>
      <c r="BG13" s="17" t="n">
        <v>7</v>
      </c>
      <c r="BH13" s="17" t="n">
        <v>5</v>
      </c>
      <c r="BI13" s="17" t="n">
        <v>3</v>
      </c>
      <c r="BJ13" s="17" t="n">
        <v>4</v>
      </c>
      <c r="BK13" s="17" t="n">
        <v>5</v>
      </c>
      <c r="BL13" s="17" t="n">
        <v>5</v>
      </c>
      <c r="BM13" s="17" t="n">
        <v>5</v>
      </c>
      <c r="BN13" s="17" t="n">
        <v>2</v>
      </c>
      <c r="BO13" s="17" t="n">
        <v>4</v>
      </c>
      <c r="BP13" s="8">
        <f>SUM(AX13:BO13)</f>
        <v/>
      </c>
      <c r="BQ13" s="8">
        <f>BQ11</f>
        <v/>
      </c>
      <c r="BR13" s="8">
        <f>BP13-BQ13</f>
        <v/>
      </c>
      <c r="BS13" s="8">
        <f>MAX(0,25-BR13)*1.0</f>
        <v/>
      </c>
      <c r="BT13" s="18">
        <f>AA13+AW13+BS13</f>
        <v/>
      </c>
    </row>
    <row r="14">
      <c r="A14" s="8" t="n">
        <v>2</v>
      </c>
      <c r="B14" t="inlineStr">
        <is>
          <t>Francisco Reis</t>
        </is>
      </c>
      <c r="C14" s="8" t="inlineStr">
        <is>
          <t>40534</t>
        </is>
      </c>
      <c r="D14" t="inlineStr">
        <is>
          <t>Vilamoura, C. G</t>
        </is>
      </c>
      <c r="E14" s="8" t="n">
        <v>0</v>
      </c>
      <c r="F14" s="17" t="n">
        <v>4</v>
      </c>
      <c r="G14" s="17" t="n">
        <v>3</v>
      </c>
      <c r="H14" s="17" t="n">
        <v>4</v>
      </c>
      <c r="I14" s="17" t="n">
        <v>3</v>
      </c>
      <c r="J14" s="17" t="n">
        <v>4</v>
      </c>
      <c r="K14" s="17" t="n">
        <v>4</v>
      </c>
      <c r="L14" s="17" t="n">
        <v>4</v>
      </c>
      <c r="M14" s="17" t="n">
        <v>5</v>
      </c>
      <c r="N14" s="17" t="n">
        <v>4</v>
      </c>
      <c r="O14" s="17" t="n">
        <v>4</v>
      </c>
      <c r="P14" s="17" t="n">
        <v>4</v>
      </c>
      <c r="Q14" s="17" t="n">
        <v>4</v>
      </c>
      <c r="R14" s="17" t="n">
        <v>4</v>
      </c>
      <c r="S14" s="17" t="n">
        <v>4</v>
      </c>
      <c r="T14" s="17" t="n">
        <v>6</v>
      </c>
      <c r="U14" s="17" t="n">
        <v>4</v>
      </c>
      <c r="V14" s="17" t="n">
        <v>3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4</v>
      </c>
      <c r="AC14" s="17" t="n">
        <v>3</v>
      </c>
      <c r="AD14" s="17" t="n">
        <v>4</v>
      </c>
      <c r="AE14" s="17" t="n">
        <v>4</v>
      </c>
      <c r="AF14" s="17" t="n">
        <v>4</v>
      </c>
      <c r="AG14" s="17" t="n">
        <v>3</v>
      </c>
      <c r="AH14" s="17" t="n">
        <v>5</v>
      </c>
      <c r="AI14" s="17" t="n">
        <v>4</v>
      </c>
      <c r="AJ14" s="17" t="n">
        <v>4</v>
      </c>
      <c r="AK14" s="17" t="n">
        <v>3</v>
      </c>
      <c r="AL14" s="17" t="n">
        <v>6</v>
      </c>
      <c r="AM14" s="17" t="n">
        <v>4</v>
      </c>
      <c r="AN14" s="17" t="n">
        <v>4</v>
      </c>
      <c r="AO14" s="17" t="n">
        <v>4</v>
      </c>
      <c r="AP14" s="17" t="n">
        <v>5</v>
      </c>
      <c r="AQ14" s="17" t="n">
        <v>4</v>
      </c>
      <c r="AR14" s="17" t="n">
        <v>5</v>
      </c>
      <c r="AS14" s="17" t="n">
        <v>5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7" t="n">
        <v>4</v>
      </c>
      <c r="AY14" s="17" t="n">
        <v>3</v>
      </c>
      <c r="AZ14" s="17" t="n">
        <v>5</v>
      </c>
      <c r="BA14" s="17" t="n">
        <v>3</v>
      </c>
      <c r="BB14" s="17" t="n">
        <v>4</v>
      </c>
      <c r="BC14" s="17" t="n">
        <v>4</v>
      </c>
      <c r="BD14" s="17" t="n">
        <v>4</v>
      </c>
      <c r="BE14" s="17" t="n">
        <v>5</v>
      </c>
      <c r="BF14" s="17" t="n">
        <v>4</v>
      </c>
      <c r="BG14" s="17" t="n">
        <v>6</v>
      </c>
      <c r="BH14" s="17" t="n">
        <v>4</v>
      </c>
      <c r="BI14" s="17" t="n">
        <v>4</v>
      </c>
      <c r="BJ14" s="17" t="n">
        <v>4</v>
      </c>
      <c r="BK14" s="17" t="n">
        <v>4</v>
      </c>
      <c r="BL14" s="17" t="n">
        <v>5</v>
      </c>
      <c r="BM14" s="17" t="n">
        <v>4</v>
      </c>
      <c r="BN14" s="17" t="n">
        <v>3</v>
      </c>
      <c r="BO14" s="17" t="n">
        <v>5</v>
      </c>
      <c r="BP14" s="8">
        <f>SUM(AX14:BO14)</f>
        <v/>
      </c>
      <c r="BQ14" s="8">
        <f>BQ11</f>
        <v/>
      </c>
      <c r="BR14" s="8">
        <f>BP14-BQ14</f>
        <v/>
      </c>
      <c r="BS14" s="8">
        <f>MAX(0,25-BR14)*1.0</f>
        <v/>
      </c>
      <c r="BT14" s="18">
        <f>AA14+AW14+BS14</f>
        <v/>
      </c>
    </row>
    <row r="15">
      <c r="A15" s="8" t="n">
        <v>3</v>
      </c>
      <c r="B15" t="inlineStr">
        <is>
          <t>Diogo Silva Pinto Rocha</t>
        </is>
      </c>
      <c r="C15" s="8" t="inlineStr">
        <is>
          <t>34186</t>
        </is>
      </c>
      <c r="D15" t="inlineStr">
        <is>
          <t>Oporto</t>
        </is>
      </c>
      <c r="E15" s="8" t="n">
        <v>-1.2</v>
      </c>
      <c r="F15" s="17" t="n">
        <v>4</v>
      </c>
      <c r="G15" s="17" t="n">
        <v>3</v>
      </c>
      <c r="H15" s="17" t="n">
        <v>4</v>
      </c>
      <c r="I15" s="17" t="n">
        <v>4</v>
      </c>
      <c r="J15" s="17" t="n">
        <v>4</v>
      </c>
      <c r="K15" s="17" t="n">
        <v>4</v>
      </c>
      <c r="L15" s="17" t="n">
        <v>4</v>
      </c>
      <c r="M15" s="17" t="n">
        <v>4</v>
      </c>
      <c r="N15" s="17" t="n">
        <v>5</v>
      </c>
      <c r="O15" s="17" t="n">
        <v>4</v>
      </c>
      <c r="P15" s="17" t="n">
        <v>4</v>
      </c>
      <c r="Q15" s="17" t="n">
        <v>3</v>
      </c>
      <c r="R15" s="17" t="n">
        <v>4</v>
      </c>
      <c r="S15" s="17" t="n">
        <v>4</v>
      </c>
      <c r="T15" s="17" t="n">
        <v>5</v>
      </c>
      <c r="U15" s="17" t="n">
        <v>5</v>
      </c>
      <c r="V15" s="17" t="n">
        <v>4</v>
      </c>
      <c r="W15" s="17" t="n">
        <v>4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4</v>
      </c>
      <c r="AC15" s="17" t="n">
        <v>3</v>
      </c>
      <c r="AD15" s="17" t="n">
        <v>4</v>
      </c>
      <c r="AE15" s="17" t="n">
        <v>3</v>
      </c>
      <c r="AF15" s="17" t="n">
        <v>4</v>
      </c>
      <c r="AG15" s="17" t="n">
        <v>4</v>
      </c>
      <c r="AH15" s="17" t="n">
        <v>3</v>
      </c>
      <c r="AI15" s="17" t="n">
        <v>4</v>
      </c>
      <c r="AJ15" s="17" t="n">
        <v>4</v>
      </c>
      <c r="AK15" s="17" t="n">
        <v>4</v>
      </c>
      <c r="AL15" s="17" t="n">
        <v>3</v>
      </c>
      <c r="AM15" s="17" t="n">
        <v>3</v>
      </c>
      <c r="AN15" s="17" t="n">
        <v>4</v>
      </c>
      <c r="AO15" s="17" t="n">
        <v>3</v>
      </c>
      <c r="AP15" s="17" t="n">
        <v>5</v>
      </c>
      <c r="AQ15" s="17" t="n">
        <v>4</v>
      </c>
      <c r="AR15" s="17" t="n">
        <v>3</v>
      </c>
      <c r="AS15" s="17" t="n">
        <v>4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7" t="n">
        <v>3</v>
      </c>
      <c r="AY15" s="17" t="n">
        <v>3</v>
      </c>
      <c r="AZ15" s="17" t="n">
        <v>4</v>
      </c>
      <c r="BA15" s="17" t="n">
        <v>3</v>
      </c>
      <c r="BB15" s="17" t="n">
        <v>4</v>
      </c>
      <c r="BC15" s="17" t="n">
        <v>4</v>
      </c>
      <c r="BD15" s="17" t="n">
        <v>4</v>
      </c>
      <c r="BE15" s="17" t="n">
        <v>4</v>
      </c>
      <c r="BF15" s="17" t="n">
        <v>4</v>
      </c>
      <c r="BG15" s="17" t="n">
        <v>5</v>
      </c>
      <c r="BH15" s="17" t="n">
        <v>3</v>
      </c>
      <c r="BI15" s="17" t="n">
        <v>4</v>
      </c>
      <c r="BJ15" s="17" t="n">
        <v>4</v>
      </c>
      <c r="BK15" s="17" t="n">
        <v>4</v>
      </c>
      <c r="BL15" s="17" t="n">
        <v>4</v>
      </c>
      <c r="BM15" s="17" t="n">
        <v>4</v>
      </c>
      <c r="BN15" s="17" t="n">
        <v>2</v>
      </c>
      <c r="BO15" s="17" t="n">
        <v>4</v>
      </c>
      <c r="BP15" s="8">
        <f>SUM(AX15:BO15)</f>
        <v/>
      </c>
      <c r="BQ15" s="8">
        <f>BQ11</f>
        <v/>
      </c>
      <c r="BR15" s="8">
        <f>BP15-BQ15</f>
        <v/>
      </c>
      <c r="BS15" s="8">
        <f>MAX(0,25-BR15)*1.0</f>
        <v/>
      </c>
      <c r="BT15" s="18">
        <f>AA15+AW15+BS15</f>
        <v/>
      </c>
    </row>
    <row r="16">
      <c r="A16" s="8" t="n">
        <v>4</v>
      </c>
      <c r="B16" t="inlineStr">
        <is>
          <t>João Crasi Alves</t>
        </is>
      </c>
      <c r="C16" s="8" t="inlineStr">
        <is>
          <t>39701</t>
        </is>
      </c>
      <c r="D16" t="inlineStr">
        <is>
          <t>Vilamoura, C. G</t>
        </is>
      </c>
      <c r="E16" s="8" t="n">
        <v>-1.3</v>
      </c>
      <c r="F16" s="17" t="n">
        <v>5</v>
      </c>
      <c r="G16" s="17" t="n">
        <v>3</v>
      </c>
      <c r="H16" s="17" t="n">
        <v>5</v>
      </c>
      <c r="I16" s="17" t="n">
        <v>4</v>
      </c>
      <c r="J16" s="17" t="n">
        <v>3</v>
      </c>
      <c r="K16" s="17" t="n">
        <v>4</v>
      </c>
      <c r="L16" s="17" t="n">
        <v>5</v>
      </c>
      <c r="M16" s="17" t="n">
        <v>4</v>
      </c>
      <c r="N16" s="17" t="n">
        <v>4</v>
      </c>
      <c r="O16" s="17" t="n">
        <v>5</v>
      </c>
      <c r="P16" s="17" t="n">
        <v>4</v>
      </c>
      <c r="Q16" s="17" t="n">
        <v>4</v>
      </c>
      <c r="R16" s="17" t="n">
        <v>4</v>
      </c>
      <c r="S16" s="17" t="n">
        <v>5</v>
      </c>
      <c r="T16" s="17" t="n">
        <v>5</v>
      </c>
      <c r="U16" s="17" t="n">
        <v>3</v>
      </c>
      <c r="V16" s="17" t="n">
        <v>3</v>
      </c>
      <c r="W16" s="17" t="n">
        <v>4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5</v>
      </c>
      <c r="AC16" s="17" t="n">
        <v>3</v>
      </c>
      <c r="AD16" s="17" t="n">
        <v>4</v>
      </c>
      <c r="AE16" s="17" t="n">
        <v>4</v>
      </c>
      <c r="AF16" s="17" t="n">
        <v>4</v>
      </c>
      <c r="AG16" s="17" t="n">
        <v>4</v>
      </c>
      <c r="AH16" s="17" t="n">
        <v>4</v>
      </c>
      <c r="AI16" s="17" t="n">
        <v>5</v>
      </c>
      <c r="AJ16" s="17" t="n">
        <v>3</v>
      </c>
      <c r="AK16" s="17" t="n">
        <v>5</v>
      </c>
      <c r="AL16" s="17" t="n">
        <v>4</v>
      </c>
      <c r="AM16" s="17" t="n">
        <v>2</v>
      </c>
      <c r="AN16" s="17" t="n">
        <v>7</v>
      </c>
      <c r="AO16" s="17" t="n">
        <v>7</v>
      </c>
      <c r="AP16" s="17" t="n">
        <v>5</v>
      </c>
      <c r="AQ16" s="17" t="n">
        <v>3</v>
      </c>
      <c r="AR16" s="17" t="n">
        <v>3</v>
      </c>
      <c r="AS16" s="17" t="n">
        <v>4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BS16" s="8" t="n">
        <v>0</v>
      </c>
      <c r="BT16" s="18">
        <f>AA16+AW16+BS16</f>
        <v/>
      </c>
    </row>
    <row r="17">
      <c r="A17" s="8" t="n">
        <v>5</v>
      </c>
      <c r="B17" t="inlineStr">
        <is>
          <t>Ethan Prybys Orton</t>
        </is>
      </c>
      <c r="C17" s="8" t="inlineStr">
        <is>
          <t>42374</t>
        </is>
      </c>
      <c r="D17" t="inlineStr">
        <is>
          <t>Vila Sol</t>
        </is>
      </c>
      <c r="E17" s="8" t="n">
        <v>3.5</v>
      </c>
      <c r="F17" s="17" t="n">
        <v>6</v>
      </c>
      <c r="G17" s="17" t="n">
        <v>3</v>
      </c>
      <c r="H17" s="17" t="n">
        <v>4</v>
      </c>
      <c r="I17" s="17" t="n">
        <v>4</v>
      </c>
      <c r="J17" s="17" t="n">
        <v>4</v>
      </c>
      <c r="K17" s="17" t="n">
        <v>4</v>
      </c>
      <c r="L17" s="17" t="n">
        <v>5</v>
      </c>
      <c r="M17" s="17" t="n">
        <v>5</v>
      </c>
      <c r="N17" s="17" t="n">
        <v>3</v>
      </c>
      <c r="O17" s="17" t="n">
        <v>5</v>
      </c>
      <c r="P17" s="17" t="n">
        <v>4</v>
      </c>
      <c r="Q17" s="17" t="n">
        <v>3</v>
      </c>
      <c r="R17" s="17" t="n">
        <v>4</v>
      </c>
      <c r="S17" s="17" t="n">
        <v>5</v>
      </c>
      <c r="T17" s="17" t="n">
        <v>4</v>
      </c>
      <c r="U17" s="17" t="n">
        <v>5</v>
      </c>
      <c r="V17" s="17" t="n">
        <v>3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6</v>
      </c>
      <c r="AC17" s="17" t="n">
        <v>4</v>
      </c>
      <c r="AD17" s="17" t="n">
        <v>5</v>
      </c>
      <c r="AE17" s="17" t="n">
        <v>3</v>
      </c>
      <c r="AF17" s="17" t="n">
        <v>5</v>
      </c>
      <c r="AG17" s="17" t="n">
        <v>4</v>
      </c>
      <c r="AH17" s="17" t="n">
        <v>5</v>
      </c>
      <c r="AI17" s="17" t="n">
        <v>4</v>
      </c>
      <c r="AJ17" s="17" t="n">
        <v>4</v>
      </c>
      <c r="AK17" s="17" t="n">
        <v>5</v>
      </c>
      <c r="AL17" s="17" t="n">
        <v>5</v>
      </c>
      <c r="AM17" s="17" t="n">
        <v>3</v>
      </c>
      <c r="AN17" s="17" t="n">
        <v>5</v>
      </c>
      <c r="AO17" s="17" t="n">
        <v>5</v>
      </c>
      <c r="AP17" s="17" t="n">
        <v>5</v>
      </c>
      <c r="AQ17" s="17" t="n">
        <v>4</v>
      </c>
      <c r="AR17" s="17" t="n">
        <v>4</v>
      </c>
      <c r="AS17" s="17" t="n">
        <v>3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7" t="n">
        <v>5</v>
      </c>
      <c r="AY17" s="17" t="n">
        <v>3</v>
      </c>
      <c r="AZ17" s="17" t="n">
        <v>5</v>
      </c>
      <c r="BA17" s="17" t="n">
        <v>3</v>
      </c>
      <c r="BB17" s="17" t="n">
        <v>4</v>
      </c>
      <c r="BC17" s="17" t="n">
        <v>3</v>
      </c>
      <c r="BD17" s="17" t="n">
        <v>3</v>
      </c>
      <c r="BE17" s="17" t="n">
        <v>4</v>
      </c>
      <c r="BF17" s="17" t="n">
        <v>4</v>
      </c>
      <c r="BG17" s="17" t="n">
        <v>5</v>
      </c>
      <c r="BH17" s="17" t="n">
        <v>3</v>
      </c>
      <c r="BI17" s="17" t="n">
        <v>4</v>
      </c>
      <c r="BJ17" s="17" t="n">
        <v>4</v>
      </c>
      <c r="BK17" s="17" t="n">
        <v>5</v>
      </c>
      <c r="BL17" s="17" t="n">
        <v>5</v>
      </c>
      <c r="BM17" s="17" t="n">
        <v>4</v>
      </c>
      <c r="BN17" s="17" t="n">
        <v>2</v>
      </c>
      <c r="BO17" s="17" t="n">
        <v>4</v>
      </c>
      <c r="BP17" s="8">
        <f>SUM(AX17:BO17)</f>
        <v/>
      </c>
      <c r="BQ17" s="8">
        <f>BQ11</f>
        <v/>
      </c>
      <c r="BR17" s="8">
        <f>BP17-BQ17</f>
        <v/>
      </c>
      <c r="BS17" s="8">
        <f>MAX(0,25-BR17)*1.0</f>
        <v/>
      </c>
      <c r="BT17" s="18">
        <f>AA17+AW17+BS17</f>
        <v/>
      </c>
    </row>
    <row r="18">
      <c r="A18" s="8" t="n">
        <v>6</v>
      </c>
      <c r="B18" t="inlineStr">
        <is>
          <t>Santiago Dias</t>
        </is>
      </c>
      <c r="C18" s="8" t="inlineStr">
        <is>
          <t>42908</t>
        </is>
      </c>
      <c r="D18" t="inlineStr">
        <is>
          <t>Oporto</t>
        </is>
      </c>
      <c r="E18" s="8" t="n">
        <v>1.6</v>
      </c>
      <c r="F18" s="17" t="n">
        <v>5</v>
      </c>
      <c r="G18" s="17" t="n">
        <v>3</v>
      </c>
      <c r="H18" s="17" t="n">
        <v>4</v>
      </c>
      <c r="I18" s="17" t="n">
        <v>3</v>
      </c>
      <c r="J18" s="17" t="n">
        <v>4</v>
      </c>
      <c r="K18" s="17" t="n">
        <v>4</v>
      </c>
      <c r="L18" s="17" t="n">
        <v>4</v>
      </c>
      <c r="M18" s="17" t="n">
        <v>5</v>
      </c>
      <c r="N18" s="17" t="n">
        <v>3</v>
      </c>
      <c r="O18" s="17" t="n">
        <v>5</v>
      </c>
      <c r="P18" s="17" t="n">
        <v>5</v>
      </c>
      <c r="Q18" s="17" t="n">
        <v>3</v>
      </c>
      <c r="R18" s="17" t="n">
        <v>4</v>
      </c>
      <c r="S18" s="17" t="n">
        <v>5</v>
      </c>
      <c r="T18" s="17" t="n">
        <v>5</v>
      </c>
      <c r="U18" s="17" t="n">
        <v>5</v>
      </c>
      <c r="V18" s="17" t="n">
        <v>4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5</v>
      </c>
      <c r="AC18" s="17" t="n">
        <v>3</v>
      </c>
      <c r="AD18" s="17" t="n">
        <v>4</v>
      </c>
      <c r="AE18" s="17" t="n">
        <v>4</v>
      </c>
      <c r="AF18" s="17" t="n">
        <v>4</v>
      </c>
      <c r="AG18" s="17" t="n">
        <v>4</v>
      </c>
      <c r="AH18" s="17" t="n">
        <v>4</v>
      </c>
      <c r="AI18" s="17" t="n">
        <v>4</v>
      </c>
      <c r="AJ18" s="17" t="n">
        <v>5</v>
      </c>
      <c r="AK18" s="17" t="n">
        <v>6</v>
      </c>
      <c r="AL18" s="17" t="n">
        <v>5</v>
      </c>
      <c r="AM18" s="17" t="n">
        <v>5</v>
      </c>
      <c r="AN18" s="17" t="n">
        <v>5</v>
      </c>
      <c r="AO18" s="17" t="n">
        <v>4</v>
      </c>
      <c r="AP18" s="17" t="n">
        <v>5</v>
      </c>
      <c r="AQ18" s="17" t="n">
        <v>5</v>
      </c>
      <c r="AR18" s="17" t="n">
        <v>6</v>
      </c>
      <c r="AS18" s="17" t="n">
        <v>5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7" t="n">
        <v>6</v>
      </c>
      <c r="AY18" s="17" t="n">
        <v>3</v>
      </c>
      <c r="AZ18" s="17" t="n">
        <v>5</v>
      </c>
      <c r="BA18" s="17" t="n">
        <v>3</v>
      </c>
      <c r="BB18" s="17" t="n">
        <v>4</v>
      </c>
      <c r="BC18" s="17" t="n">
        <v>6</v>
      </c>
      <c r="BD18" s="17" t="n">
        <v>4</v>
      </c>
      <c r="BE18" s="17" t="n">
        <v>5</v>
      </c>
      <c r="BF18" s="17" t="n">
        <v>4</v>
      </c>
      <c r="BG18" s="17" t="n">
        <v>6</v>
      </c>
      <c r="BH18" s="17" t="n">
        <v>4</v>
      </c>
      <c r="BI18" s="17" t="n">
        <v>3</v>
      </c>
      <c r="BJ18" s="17" t="n">
        <v>4</v>
      </c>
      <c r="BK18" s="17" t="n">
        <v>5</v>
      </c>
      <c r="BL18" s="17" t="n">
        <v>7</v>
      </c>
      <c r="BM18" s="17" t="n">
        <v>4</v>
      </c>
      <c r="BN18" s="17" t="n">
        <v>5</v>
      </c>
      <c r="BO18" s="17" t="n">
        <v>5</v>
      </c>
      <c r="BP18" s="8">
        <f>SUM(AX18:BO18)</f>
        <v/>
      </c>
      <c r="BQ18" s="8">
        <f>BQ11</f>
        <v/>
      </c>
      <c r="BR18" s="8">
        <f>BP18-BQ18</f>
        <v/>
      </c>
      <c r="BS18" s="8">
        <f>MAX(0,25-BR18)*1.0</f>
        <v/>
      </c>
      <c r="BT18" s="18">
        <f>AA18+AW18+BS18</f>
        <v/>
      </c>
    </row>
    <row r="19">
      <c r="A19" s="8" t="n">
        <v>7</v>
      </c>
      <c r="B19" t="inlineStr">
        <is>
          <t>João Maria Ivo de Carvalho</t>
        </is>
      </c>
      <c r="C19" s="8" t="inlineStr">
        <is>
          <t>38334</t>
        </is>
      </c>
      <c r="D19" t="inlineStr">
        <is>
          <t>Estoril</t>
        </is>
      </c>
      <c r="E19" s="8" t="n">
        <v>-1.6</v>
      </c>
      <c r="F19" s="17" t="n">
        <v>4</v>
      </c>
      <c r="G19" s="17" t="n">
        <v>3</v>
      </c>
      <c r="H19" s="17" t="n">
        <v>4</v>
      </c>
      <c r="I19" s="17" t="n">
        <v>3</v>
      </c>
      <c r="J19" s="17" t="n">
        <v>4</v>
      </c>
      <c r="K19" s="17" t="n">
        <v>3</v>
      </c>
      <c r="L19" s="17" t="n">
        <v>3</v>
      </c>
      <c r="M19" s="17" t="n">
        <v>5</v>
      </c>
      <c r="N19" s="17" t="n">
        <v>5</v>
      </c>
      <c r="O19" s="17" t="n">
        <v>5</v>
      </c>
      <c r="P19" s="17" t="n">
        <v>5</v>
      </c>
      <c r="Q19" s="17" t="n">
        <v>5</v>
      </c>
      <c r="R19" s="17" t="n">
        <v>4</v>
      </c>
      <c r="S19" s="17" t="n">
        <v>5</v>
      </c>
      <c r="T19" s="17" t="n">
        <v>5</v>
      </c>
      <c r="U19" s="17" t="n">
        <v>5</v>
      </c>
      <c r="V19" s="17" t="n">
        <v>3</v>
      </c>
      <c r="W19" s="17" t="n">
        <v>4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5</v>
      </c>
      <c r="AC19" s="17" t="n">
        <v>1</v>
      </c>
      <c r="AD19" s="17" t="n">
        <v>5</v>
      </c>
      <c r="AE19" s="17" t="n">
        <v>5</v>
      </c>
      <c r="AF19" s="17" t="n">
        <v>4</v>
      </c>
      <c r="AG19" s="17" t="n">
        <v>4</v>
      </c>
      <c r="AH19" s="17" t="n">
        <v>4</v>
      </c>
      <c r="AI19" s="17" t="n">
        <v>3</v>
      </c>
      <c r="AJ19" s="17" t="n">
        <v>5</v>
      </c>
      <c r="AK19" s="17" t="n">
        <v>5</v>
      </c>
      <c r="AL19" s="17" t="n">
        <v>3</v>
      </c>
      <c r="AM19" s="17" t="n">
        <v>3</v>
      </c>
      <c r="AN19" s="17" t="n">
        <v>5</v>
      </c>
      <c r="AO19" s="17" t="n">
        <v>4</v>
      </c>
      <c r="AP19" s="17" t="n">
        <v>5</v>
      </c>
      <c r="AQ19" s="17" t="n">
        <v>5</v>
      </c>
      <c r="AR19" s="17" t="n">
        <v>3</v>
      </c>
      <c r="AS19" s="17" t="n">
        <v>5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7" t="n">
        <v>5</v>
      </c>
      <c r="AY19" s="17" t="n">
        <v>3</v>
      </c>
      <c r="AZ19" s="17" t="n">
        <v>4</v>
      </c>
      <c r="BA19" s="17" t="n">
        <v>4</v>
      </c>
      <c r="BB19" s="17" t="n">
        <v>3</v>
      </c>
      <c r="BC19" s="17" t="n">
        <v>4</v>
      </c>
      <c r="BD19" s="17" t="n">
        <v>4</v>
      </c>
      <c r="BE19" s="17" t="n">
        <v>4</v>
      </c>
      <c r="BF19" s="17" t="n">
        <v>4</v>
      </c>
      <c r="BG19" s="17" t="n">
        <v>5</v>
      </c>
      <c r="BH19" s="17" t="n">
        <v>4</v>
      </c>
      <c r="BI19" s="17" t="n">
        <v>4</v>
      </c>
      <c r="BJ19" s="17" t="n">
        <v>5</v>
      </c>
      <c r="BK19" s="17" t="n">
        <v>4</v>
      </c>
      <c r="BL19" s="17" t="n">
        <v>5</v>
      </c>
      <c r="BM19" s="17" t="n">
        <v>3</v>
      </c>
      <c r="BN19" s="17" t="n">
        <v>3</v>
      </c>
      <c r="BO19" s="17" t="n">
        <v>4</v>
      </c>
      <c r="BP19" s="8">
        <f>SUM(AX19:BO19)</f>
        <v/>
      </c>
      <c r="BQ19" s="8">
        <f>BQ11</f>
        <v/>
      </c>
      <c r="BR19" s="8">
        <f>BP19-BQ19</f>
        <v/>
      </c>
      <c r="BS19" s="8">
        <f>MAX(0,25-BR19)*1.0</f>
        <v/>
      </c>
      <c r="BT19" s="18">
        <f>AA19+AW19+BS19</f>
        <v/>
      </c>
    </row>
    <row r="20">
      <c r="A20" s="8" t="n">
        <v>8</v>
      </c>
      <c r="B20" t="inlineStr">
        <is>
          <t>Martim Pinto Johansen</t>
        </is>
      </c>
      <c r="C20" s="8" t="inlineStr">
        <is>
          <t>40115</t>
        </is>
      </c>
      <c r="D20" t="inlineStr">
        <is>
          <t>Vilamoura, C. G</t>
        </is>
      </c>
      <c r="E20" s="8" t="n">
        <v>-0.6</v>
      </c>
      <c r="F20" s="17" t="n">
        <v>4</v>
      </c>
      <c r="G20" s="17" t="n">
        <v>4</v>
      </c>
      <c r="H20" s="17" t="n">
        <v>4</v>
      </c>
      <c r="I20" s="17" t="n">
        <v>3</v>
      </c>
      <c r="J20" s="17" t="n">
        <v>6</v>
      </c>
      <c r="K20" s="17" t="n">
        <v>4</v>
      </c>
      <c r="L20" s="17" t="n">
        <v>4</v>
      </c>
      <c r="M20" s="17" t="n">
        <v>5</v>
      </c>
      <c r="N20" s="17" t="n">
        <v>4</v>
      </c>
      <c r="O20" s="17" t="n">
        <v>5</v>
      </c>
      <c r="P20" s="17" t="n">
        <v>4</v>
      </c>
      <c r="Q20" s="17" t="n">
        <v>3</v>
      </c>
      <c r="R20" s="17" t="n">
        <v>4</v>
      </c>
      <c r="S20" s="17" t="n">
        <v>6</v>
      </c>
      <c r="T20" s="17" t="n">
        <v>5</v>
      </c>
      <c r="U20" s="17" t="n">
        <v>4</v>
      </c>
      <c r="V20" s="17" t="n">
        <v>3</v>
      </c>
      <c r="W20" s="17" t="n">
        <v>4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5</v>
      </c>
      <c r="AC20" s="17" t="n">
        <v>4</v>
      </c>
      <c r="AD20" s="17" t="n">
        <v>5</v>
      </c>
      <c r="AE20" s="17" t="n">
        <v>3</v>
      </c>
      <c r="AF20" s="17" t="n">
        <v>4</v>
      </c>
      <c r="AG20" s="17" t="n">
        <v>3</v>
      </c>
      <c r="AH20" s="17" t="n">
        <v>4</v>
      </c>
      <c r="AI20" s="17" t="n">
        <v>5</v>
      </c>
      <c r="AJ20" s="17" t="n">
        <v>3</v>
      </c>
      <c r="AK20" s="17" t="n">
        <v>5</v>
      </c>
      <c r="AL20" s="17" t="n">
        <v>3</v>
      </c>
      <c r="AM20" s="17" t="n">
        <v>5</v>
      </c>
      <c r="AN20" s="17" t="n">
        <v>5</v>
      </c>
      <c r="AO20" s="17" t="n">
        <v>5</v>
      </c>
      <c r="AP20" s="17" t="n">
        <v>4</v>
      </c>
      <c r="AQ20" s="17" t="n">
        <v>5</v>
      </c>
      <c r="AR20" s="17" t="n">
        <v>6</v>
      </c>
      <c r="AS20" s="17" t="n">
        <v>4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7" t="n">
        <v>4</v>
      </c>
      <c r="AY20" s="17" t="n">
        <v>3</v>
      </c>
      <c r="AZ20" s="17" t="n">
        <v>4</v>
      </c>
      <c r="BA20" s="17" t="n">
        <v>3</v>
      </c>
      <c r="BB20" s="17" t="n">
        <v>4</v>
      </c>
      <c r="BC20" s="17" t="n">
        <v>4</v>
      </c>
      <c r="BD20" s="17" t="n">
        <v>4</v>
      </c>
      <c r="BE20" s="17" t="n">
        <v>3</v>
      </c>
      <c r="BF20" s="17" t="n">
        <v>5</v>
      </c>
      <c r="BG20" s="17" t="n">
        <v>5</v>
      </c>
      <c r="BH20" s="17" t="n">
        <v>4</v>
      </c>
      <c r="BI20" s="17" t="n">
        <v>3</v>
      </c>
      <c r="BJ20" s="17" t="n">
        <v>5</v>
      </c>
      <c r="BK20" s="17" t="n">
        <v>5</v>
      </c>
      <c r="BL20" s="17" t="n">
        <v>5</v>
      </c>
      <c r="BM20" s="17" t="n">
        <v>4</v>
      </c>
      <c r="BN20" s="17" t="n">
        <v>3</v>
      </c>
      <c r="BO20" s="17" t="n">
        <v>5</v>
      </c>
      <c r="BP20" s="8">
        <f>SUM(AX20:BO20)</f>
        <v/>
      </c>
      <c r="BQ20" s="8">
        <f>BQ11</f>
        <v/>
      </c>
      <c r="BR20" s="8">
        <f>BP20-BQ20</f>
        <v/>
      </c>
      <c r="BS20" s="8">
        <f>MAX(0,25-BR20)*1.0</f>
        <v/>
      </c>
      <c r="BT20" s="18">
        <f>AA20+AW20+BS20</f>
        <v/>
      </c>
    </row>
    <row r="21">
      <c r="A21" s="8" t="n">
        <v>9</v>
      </c>
      <c r="B21" t="inlineStr">
        <is>
          <t>Doyeon Kim</t>
        </is>
      </c>
      <c r="C21" s="8" t="inlineStr"/>
      <c r="D21" t="inlineStr">
        <is>
          <t>Internacional</t>
        </is>
      </c>
      <c r="E21" s="8" t="n">
        <v>5</v>
      </c>
      <c r="F21" s="17" t="n">
        <v>4</v>
      </c>
      <c r="G21" s="17" t="n">
        <v>3</v>
      </c>
      <c r="H21" s="17" t="n">
        <v>5</v>
      </c>
      <c r="I21" s="17" t="n">
        <v>3</v>
      </c>
      <c r="J21" s="17" t="n">
        <v>5</v>
      </c>
      <c r="K21" s="17" t="n">
        <v>3</v>
      </c>
      <c r="L21" s="17" t="n">
        <v>4</v>
      </c>
      <c r="M21" s="17" t="n">
        <v>4</v>
      </c>
      <c r="N21" s="17" t="n">
        <v>4</v>
      </c>
      <c r="O21" s="17" t="n">
        <v>8</v>
      </c>
      <c r="P21" s="17" t="n">
        <v>4</v>
      </c>
      <c r="Q21" s="17" t="n">
        <v>4</v>
      </c>
      <c r="R21" s="17" t="n">
        <v>4</v>
      </c>
      <c r="S21" s="17" t="n">
        <v>4</v>
      </c>
      <c r="T21" s="17" t="n">
        <v>6</v>
      </c>
      <c r="U21" s="17" t="n">
        <v>4</v>
      </c>
      <c r="V21" s="17" t="n">
        <v>3</v>
      </c>
      <c r="W21" s="17" t="n">
        <v>4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6</v>
      </c>
      <c r="AC21" s="17" t="n">
        <v>3</v>
      </c>
      <c r="AD21" s="17" t="n">
        <v>5</v>
      </c>
      <c r="AE21" s="17" t="n">
        <v>4</v>
      </c>
      <c r="AF21" s="17" t="n">
        <v>4</v>
      </c>
      <c r="AG21" s="17" t="n">
        <v>5</v>
      </c>
      <c r="AH21" s="17" t="n">
        <v>4</v>
      </c>
      <c r="AI21" s="17" t="n">
        <v>5</v>
      </c>
      <c r="AJ21" s="17" t="n">
        <v>4</v>
      </c>
      <c r="AK21" s="17" t="n">
        <v>4</v>
      </c>
      <c r="AL21" s="17" t="n">
        <v>4</v>
      </c>
      <c r="AM21" s="17" t="n">
        <v>3</v>
      </c>
      <c r="AN21" s="17" t="n">
        <v>4</v>
      </c>
      <c r="AO21" s="17" t="n">
        <v>3</v>
      </c>
      <c r="AP21" s="17" t="n">
        <v>5</v>
      </c>
      <c r="AQ21" s="17" t="n">
        <v>5</v>
      </c>
      <c r="AR21" s="17" t="n">
        <v>4</v>
      </c>
      <c r="AS21" s="17" t="n">
        <v>5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7" t="n">
        <v>5</v>
      </c>
      <c r="AY21" s="17" t="n">
        <v>3</v>
      </c>
      <c r="AZ21" s="17" t="n">
        <v>3</v>
      </c>
      <c r="BA21" s="17" t="n">
        <v>2</v>
      </c>
      <c r="BB21" s="17" t="n">
        <v>3</v>
      </c>
      <c r="BC21" s="17" t="n">
        <v>4</v>
      </c>
      <c r="BD21" s="17" t="n">
        <v>5</v>
      </c>
      <c r="BE21" s="17" t="n">
        <v>4</v>
      </c>
      <c r="BF21" s="17" t="n">
        <v>6</v>
      </c>
      <c r="BG21" s="17" t="n">
        <v>5</v>
      </c>
      <c r="BH21" s="17" t="n">
        <v>4</v>
      </c>
      <c r="BI21" s="17" t="n">
        <v>3</v>
      </c>
      <c r="BJ21" s="17" t="n">
        <v>5</v>
      </c>
      <c r="BK21" s="17" t="n">
        <v>4</v>
      </c>
      <c r="BL21" s="17" t="n">
        <v>7</v>
      </c>
      <c r="BM21" s="17" t="n">
        <v>4</v>
      </c>
      <c r="BN21" s="17" t="n">
        <v>3</v>
      </c>
      <c r="BO21" s="17" t="n">
        <v>4</v>
      </c>
      <c r="BP21" s="8">
        <f>SUM(AX21:BO21)</f>
        <v/>
      </c>
      <c r="BQ21" s="8">
        <f>BQ11</f>
        <v/>
      </c>
      <c r="BR21" s="8">
        <f>BP21-BQ21</f>
        <v/>
      </c>
      <c r="BS21" s="8">
        <f>MAX(0,25-BR21)*1.0</f>
        <v/>
      </c>
      <c r="BT21" s="18">
        <f>AA21+AW21+BS21</f>
        <v/>
      </c>
    </row>
    <row r="22">
      <c r="A22" s="8" t="n">
        <v>10</v>
      </c>
      <c r="B22" t="inlineStr">
        <is>
          <t>Pedro Costa Alemão</t>
        </is>
      </c>
      <c r="C22" s="8" t="inlineStr">
        <is>
          <t>46706</t>
        </is>
      </c>
      <c r="D22" t="inlineStr">
        <is>
          <t>Estoril</t>
        </is>
      </c>
      <c r="E22" s="8" t="n">
        <v>4.5</v>
      </c>
      <c r="F22" s="17" t="n">
        <v>5</v>
      </c>
      <c r="G22" s="17" t="n">
        <v>3</v>
      </c>
      <c r="H22" s="17" t="n">
        <v>4</v>
      </c>
      <c r="I22" s="17" t="n">
        <v>4</v>
      </c>
      <c r="J22" s="17" t="n">
        <v>5</v>
      </c>
      <c r="K22" s="17" t="n">
        <v>4</v>
      </c>
      <c r="L22" s="17" t="n">
        <v>4</v>
      </c>
      <c r="M22" s="17" t="n">
        <v>5</v>
      </c>
      <c r="N22" s="17" t="n">
        <v>6</v>
      </c>
      <c r="O22" s="17" t="n">
        <v>6</v>
      </c>
      <c r="P22" s="17" t="n">
        <v>4</v>
      </c>
      <c r="Q22" s="17" t="n">
        <v>3</v>
      </c>
      <c r="R22" s="17" t="n">
        <v>5</v>
      </c>
      <c r="S22" s="17" t="n">
        <v>4</v>
      </c>
      <c r="T22" s="17" t="n">
        <v>5</v>
      </c>
      <c r="U22" s="17" t="n">
        <v>5</v>
      </c>
      <c r="V22" s="17" t="n">
        <v>4</v>
      </c>
      <c r="W22" s="17" t="n">
        <v>4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6</v>
      </c>
      <c r="AC22" s="17" t="n">
        <v>3</v>
      </c>
      <c r="AD22" s="17" t="n">
        <v>4</v>
      </c>
      <c r="AE22" s="17" t="n">
        <v>3</v>
      </c>
      <c r="AF22" s="17" t="n">
        <v>4</v>
      </c>
      <c r="AG22" s="17" t="n">
        <v>4</v>
      </c>
      <c r="AH22" s="17" t="n">
        <v>4</v>
      </c>
      <c r="AI22" s="17" t="n">
        <v>5</v>
      </c>
      <c r="AJ22" s="17" t="n">
        <v>5</v>
      </c>
      <c r="AK22" s="17" t="n">
        <v>4</v>
      </c>
      <c r="AL22" s="17" t="n">
        <v>5</v>
      </c>
      <c r="AM22" s="17" t="n">
        <v>5</v>
      </c>
      <c r="AN22" s="17" t="n">
        <v>3</v>
      </c>
      <c r="AO22" s="17" t="n">
        <v>4</v>
      </c>
      <c r="AP22" s="17" t="n">
        <v>5</v>
      </c>
      <c r="AQ22" s="17" t="n">
        <v>4</v>
      </c>
      <c r="AR22" s="17" t="n">
        <v>4</v>
      </c>
      <c r="AS22" s="17" t="n">
        <v>4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7" t="n">
        <v>5</v>
      </c>
      <c r="AY22" s="17" t="n">
        <v>4</v>
      </c>
      <c r="AZ22" s="17" t="n">
        <v>5</v>
      </c>
      <c r="BA22" s="17" t="n">
        <v>3</v>
      </c>
      <c r="BB22" s="17" t="n">
        <v>4</v>
      </c>
      <c r="BC22" s="17" t="n">
        <v>4</v>
      </c>
      <c r="BD22" s="17" t="n">
        <v>4</v>
      </c>
      <c r="BE22" s="17" t="n">
        <v>5</v>
      </c>
      <c r="BF22" s="17" t="n">
        <v>4</v>
      </c>
      <c r="BG22" s="17" t="n">
        <v>5</v>
      </c>
      <c r="BH22" s="17" t="n">
        <v>4</v>
      </c>
      <c r="BI22" s="17" t="n">
        <v>4</v>
      </c>
      <c r="BJ22" s="17" t="n">
        <v>4</v>
      </c>
      <c r="BK22" s="17" t="n">
        <v>5</v>
      </c>
      <c r="BL22" s="17" t="n">
        <v>8</v>
      </c>
      <c r="BM22" s="17" t="n">
        <v>4</v>
      </c>
      <c r="BN22" s="17" t="n">
        <v>3</v>
      </c>
      <c r="BO22" s="17" t="n">
        <v>5</v>
      </c>
      <c r="BP22" s="8">
        <f>SUM(AX22:BO22)</f>
        <v/>
      </c>
      <c r="BQ22" s="8">
        <f>BQ11</f>
        <v/>
      </c>
      <c r="BR22" s="8">
        <f>BP22-BQ22</f>
        <v/>
      </c>
      <c r="BS22" s="8">
        <f>MAX(0,25-BR22)*1.0</f>
        <v/>
      </c>
      <c r="BT22" s="18">
        <f>AA22+AW22+BS22</f>
        <v/>
      </c>
    </row>
    <row r="23">
      <c r="A23" s="8" t="n">
        <v>11</v>
      </c>
      <c r="B23" t="inlineStr">
        <is>
          <t>Angelina Gao</t>
        </is>
      </c>
      <c r="C23" s="8" t="inlineStr">
        <is>
          <t>51523</t>
        </is>
      </c>
      <c r="D23" t="inlineStr">
        <is>
          <t>Quinta do Peru</t>
        </is>
      </c>
      <c r="E23" s="8" t="n">
        <v>4</v>
      </c>
      <c r="F23" s="17" t="n">
        <v>4</v>
      </c>
      <c r="G23" s="17" t="n">
        <v>3</v>
      </c>
      <c r="H23" s="17" t="n">
        <v>5</v>
      </c>
      <c r="I23" s="17" t="n">
        <v>5</v>
      </c>
      <c r="J23" s="17" t="n">
        <v>5</v>
      </c>
      <c r="K23" s="17" t="n">
        <v>4</v>
      </c>
      <c r="L23" s="17" t="n">
        <v>5</v>
      </c>
      <c r="M23" s="17" t="n">
        <v>5</v>
      </c>
      <c r="N23" s="17" t="n">
        <v>6</v>
      </c>
      <c r="O23" s="17" t="n">
        <v>5</v>
      </c>
      <c r="P23" s="17" t="n">
        <v>4</v>
      </c>
      <c r="Q23" s="17" t="n">
        <v>3</v>
      </c>
      <c r="R23" s="17" t="n">
        <v>5</v>
      </c>
      <c r="S23" s="17" t="n">
        <v>4</v>
      </c>
      <c r="T23" s="17" t="n">
        <v>7</v>
      </c>
      <c r="U23" s="17" t="n">
        <v>4</v>
      </c>
      <c r="V23" s="17" t="n">
        <v>3</v>
      </c>
      <c r="W23" s="17" t="n">
        <v>4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6</v>
      </c>
      <c r="AC23" s="17" t="n">
        <v>4</v>
      </c>
      <c r="AD23" s="17" t="n">
        <v>9</v>
      </c>
      <c r="AE23" s="17" t="n">
        <v>4</v>
      </c>
      <c r="AF23" s="17" t="n">
        <v>4</v>
      </c>
      <c r="AG23" s="17" t="n">
        <v>5</v>
      </c>
      <c r="AH23" s="17" t="n">
        <v>4</v>
      </c>
      <c r="AI23" s="17" t="n">
        <v>5</v>
      </c>
      <c r="AJ23" s="17" t="n">
        <v>6</v>
      </c>
      <c r="AK23" s="17" t="n">
        <v>5</v>
      </c>
      <c r="AL23" s="17" t="n">
        <v>5</v>
      </c>
      <c r="AM23" s="17" t="n">
        <v>4</v>
      </c>
      <c r="AN23" s="17" t="n">
        <v>6</v>
      </c>
      <c r="AO23" s="17" t="n">
        <v>5</v>
      </c>
      <c r="AP23" s="17" t="n">
        <v>6</v>
      </c>
      <c r="AQ23" s="17" t="n">
        <v>4</v>
      </c>
      <c r="AR23" s="17" t="n">
        <v>3</v>
      </c>
      <c r="AS23" s="17" t="n">
        <v>6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7" t="n">
        <v>5</v>
      </c>
      <c r="AY23" s="17" t="n">
        <v>2</v>
      </c>
      <c r="AZ23" s="17" t="n">
        <v>5</v>
      </c>
      <c r="BA23" s="17" t="n">
        <v>3</v>
      </c>
      <c r="BB23" s="17" t="n">
        <v>4</v>
      </c>
      <c r="BC23" s="17" t="n">
        <v>5</v>
      </c>
      <c r="BD23" s="17" t="n">
        <v>5</v>
      </c>
      <c r="BE23" s="17" t="n">
        <v>5</v>
      </c>
      <c r="BF23" s="17" t="n">
        <v>4</v>
      </c>
      <c r="BG23" s="17" t="n">
        <v>6</v>
      </c>
      <c r="BH23" s="17" t="n">
        <v>4</v>
      </c>
      <c r="BI23" s="17" t="n">
        <v>3</v>
      </c>
      <c r="BJ23" s="17" t="n">
        <v>5</v>
      </c>
      <c r="BK23" s="17" t="n">
        <v>4</v>
      </c>
      <c r="BL23" s="17" t="n">
        <v>6</v>
      </c>
      <c r="BM23" s="17" t="n">
        <v>4</v>
      </c>
      <c r="BN23" s="17" t="n">
        <v>3</v>
      </c>
      <c r="BO23" s="17" t="n">
        <v>6</v>
      </c>
      <c r="BP23" s="8">
        <f>SUM(AX23:BO23)</f>
        <v/>
      </c>
      <c r="BQ23" s="8">
        <f>BQ11</f>
        <v/>
      </c>
      <c r="BR23" s="8">
        <f>BP23-BQ23</f>
        <v/>
      </c>
      <c r="BS23" s="8">
        <f>MAX(0,25-BR23)*1.0</f>
        <v/>
      </c>
      <c r="BT23" s="18">
        <f>AA23+AW23+BS23</f>
        <v/>
      </c>
    </row>
    <row r="24">
      <c r="A24" s="8" t="n">
        <v>12</v>
      </c>
      <c r="B24" t="inlineStr">
        <is>
          <t>Rodrigo Sousa Correia</t>
        </is>
      </c>
      <c r="C24" s="8" t="inlineStr">
        <is>
          <t>44934</t>
        </is>
      </c>
      <c r="D24" t="inlineStr">
        <is>
          <t>Vilamoura, C. G</t>
        </is>
      </c>
      <c r="E24" s="8" t="n">
        <v>2.8</v>
      </c>
      <c r="F24" s="17" t="n">
        <v>5</v>
      </c>
      <c r="G24" s="17" t="n">
        <v>3</v>
      </c>
      <c r="H24" s="17" t="n">
        <v>4</v>
      </c>
      <c r="I24" s="17" t="n">
        <v>6</v>
      </c>
      <c r="J24" s="17" t="n">
        <v>3</v>
      </c>
      <c r="K24" s="17" t="n">
        <v>5</v>
      </c>
      <c r="L24" s="17" t="n">
        <v>4</v>
      </c>
      <c r="M24" s="17" t="n">
        <v>5</v>
      </c>
      <c r="N24" s="17" t="n">
        <v>4</v>
      </c>
      <c r="O24" s="17" t="n">
        <v>5</v>
      </c>
      <c r="P24" s="17" t="n">
        <v>4</v>
      </c>
      <c r="Q24" s="17" t="n">
        <v>4</v>
      </c>
      <c r="R24" s="17" t="n">
        <v>5</v>
      </c>
      <c r="S24" s="17" t="n">
        <v>4</v>
      </c>
      <c r="T24" s="17" t="n">
        <v>7</v>
      </c>
      <c r="U24" s="17" t="n">
        <v>6</v>
      </c>
      <c r="V24" s="17" t="n">
        <v>3</v>
      </c>
      <c r="W24" s="17" t="n">
        <v>4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5</v>
      </c>
      <c r="AC24" s="17" t="n">
        <v>4</v>
      </c>
      <c r="AD24" s="17" t="n">
        <v>4</v>
      </c>
      <c r="AE24" s="17" t="n">
        <v>4</v>
      </c>
      <c r="AF24" s="17" t="n">
        <v>4</v>
      </c>
      <c r="AG24" s="17" t="n">
        <v>4</v>
      </c>
      <c r="AH24" s="17" t="n">
        <v>4</v>
      </c>
      <c r="AI24" s="17" t="n">
        <v>6</v>
      </c>
      <c r="AJ24" s="17" t="n">
        <v>5</v>
      </c>
      <c r="AK24" s="17" t="n">
        <v>5</v>
      </c>
      <c r="AL24" s="17" t="n">
        <v>5</v>
      </c>
      <c r="AM24" s="17" t="n">
        <v>4</v>
      </c>
      <c r="AN24" s="17" t="n">
        <v>4</v>
      </c>
      <c r="AO24" s="17" t="n">
        <v>5</v>
      </c>
      <c r="AP24" s="17" t="n">
        <v>4</v>
      </c>
      <c r="AQ24" s="17" t="n">
        <v>4</v>
      </c>
      <c r="AR24" s="17" t="n">
        <v>4</v>
      </c>
      <c r="AS24" s="17" t="n">
        <v>5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7" t="n">
        <v>4</v>
      </c>
      <c r="AY24" s="17" t="n">
        <v>4</v>
      </c>
      <c r="AZ24" s="17" t="n">
        <v>5</v>
      </c>
      <c r="BA24" s="17" t="n">
        <v>3</v>
      </c>
      <c r="BB24" s="17" t="n">
        <v>4</v>
      </c>
      <c r="BC24" s="17" t="n">
        <v>3</v>
      </c>
      <c r="BD24" s="17" t="n">
        <v>4</v>
      </c>
      <c r="BE24" s="17" t="n">
        <v>5</v>
      </c>
      <c r="BF24" s="17" t="n">
        <v>6</v>
      </c>
      <c r="BG24" s="17" t="n">
        <v>6</v>
      </c>
      <c r="BH24" s="17" t="n">
        <v>4</v>
      </c>
      <c r="BI24" s="17" t="n">
        <v>5</v>
      </c>
      <c r="BJ24" s="17" t="n">
        <v>5</v>
      </c>
      <c r="BK24" s="17" t="n">
        <v>4</v>
      </c>
      <c r="BL24" s="17" t="n">
        <v>5</v>
      </c>
      <c r="BM24" s="17" t="n">
        <v>4</v>
      </c>
      <c r="BN24" s="17" t="n">
        <v>3</v>
      </c>
      <c r="BO24" s="17" t="n">
        <v>4</v>
      </c>
      <c r="BP24" s="8">
        <f>SUM(AX24:BO24)</f>
        <v/>
      </c>
      <c r="BQ24" s="8">
        <f>BQ11</f>
        <v/>
      </c>
      <c r="BR24" s="8">
        <f>BP24-BQ24</f>
        <v/>
      </c>
      <c r="BS24" s="8">
        <f>MAX(0,25-BR24)*1.0</f>
        <v/>
      </c>
      <c r="BT24" s="18">
        <f>AA24+AW24+BS24</f>
        <v/>
      </c>
    </row>
    <row r="25">
      <c r="A25" s="8" t="n">
        <v>13</v>
      </c>
      <c r="B25" t="inlineStr">
        <is>
          <t>Dinis Silva</t>
        </is>
      </c>
      <c r="C25" s="8" t="inlineStr">
        <is>
          <t>40910</t>
        </is>
      </c>
      <c r="D25" t="inlineStr">
        <is>
          <t>Oporto</t>
        </is>
      </c>
      <c r="E25" s="8" t="n">
        <v>3.3</v>
      </c>
      <c r="F25" s="17" t="n">
        <v>3</v>
      </c>
      <c r="G25" s="17" t="n">
        <v>3</v>
      </c>
      <c r="H25" s="17" t="n">
        <v>4</v>
      </c>
      <c r="I25" s="17" t="n">
        <v>3</v>
      </c>
      <c r="J25" s="17" t="n">
        <v>5</v>
      </c>
      <c r="K25" s="17" t="n">
        <v>5</v>
      </c>
      <c r="L25" s="17" t="n">
        <v>4</v>
      </c>
      <c r="M25" s="17" t="n">
        <v>6</v>
      </c>
      <c r="N25" s="17" t="n">
        <v>4</v>
      </c>
      <c r="O25" s="17" t="n">
        <v>7</v>
      </c>
      <c r="P25" s="17" t="n">
        <v>4</v>
      </c>
      <c r="Q25" s="17" t="n">
        <v>3</v>
      </c>
      <c r="R25" s="17" t="n">
        <v>4</v>
      </c>
      <c r="S25" s="17" t="n">
        <v>6</v>
      </c>
      <c r="T25" s="17" t="n">
        <v>6</v>
      </c>
      <c r="U25" s="17" t="n">
        <v>5</v>
      </c>
      <c r="V25" s="17" t="n">
        <v>4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6</v>
      </c>
      <c r="AC25" s="17" t="n">
        <v>4</v>
      </c>
      <c r="AD25" s="17" t="n">
        <v>4</v>
      </c>
      <c r="AE25" s="17" t="n">
        <v>4</v>
      </c>
      <c r="AF25" s="17" t="n">
        <v>5</v>
      </c>
      <c r="AG25" s="17" t="n">
        <v>4</v>
      </c>
      <c r="AH25" s="17" t="n">
        <v>4</v>
      </c>
      <c r="AI25" s="17" t="n">
        <v>4</v>
      </c>
      <c r="AJ25" s="17" t="n">
        <v>4</v>
      </c>
      <c r="AK25" s="17" t="n">
        <v>6</v>
      </c>
      <c r="AL25" s="17" t="n">
        <v>4</v>
      </c>
      <c r="AM25" s="17" t="n">
        <v>3</v>
      </c>
      <c r="AN25" s="17" t="n">
        <v>4</v>
      </c>
      <c r="AO25" s="17" t="n">
        <v>4</v>
      </c>
      <c r="AP25" s="17" t="n">
        <v>5</v>
      </c>
      <c r="AQ25" s="17" t="n">
        <v>5</v>
      </c>
      <c r="AR25" s="17" t="n">
        <v>4</v>
      </c>
      <c r="AS25" s="17" t="n">
        <v>4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7" t="n">
        <v>4</v>
      </c>
      <c r="AY25" s="17" t="n">
        <v>3</v>
      </c>
      <c r="AZ25" s="17" t="n">
        <v>7</v>
      </c>
      <c r="BA25" s="17" t="n">
        <v>4</v>
      </c>
      <c r="BB25" s="17" t="n">
        <v>5</v>
      </c>
      <c r="BC25" s="17" t="n">
        <v>5</v>
      </c>
      <c r="BD25" s="17" t="n">
        <v>5</v>
      </c>
      <c r="BE25" s="17" t="n">
        <v>5</v>
      </c>
      <c r="BF25" s="17" t="n">
        <v>4</v>
      </c>
      <c r="BG25" s="17" t="n">
        <v>6</v>
      </c>
      <c r="BH25" s="17" t="n">
        <v>4</v>
      </c>
      <c r="BI25" s="17" t="n">
        <v>3</v>
      </c>
      <c r="BJ25" s="17" t="n">
        <v>4</v>
      </c>
      <c r="BK25" s="17" t="n">
        <v>5</v>
      </c>
      <c r="BL25" s="17" t="n">
        <v>5</v>
      </c>
      <c r="BM25" s="17" t="n">
        <v>4</v>
      </c>
      <c r="BN25" s="17" t="n">
        <v>4</v>
      </c>
      <c r="BO25" s="17" t="n">
        <v>5</v>
      </c>
      <c r="BP25" s="8">
        <f>SUM(AX25:BO25)</f>
        <v/>
      </c>
      <c r="BQ25" s="8">
        <f>BQ11</f>
        <v/>
      </c>
      <c r="BR25" s="8">
        <f>BP25-BQ25</f>
        <v/>
      </c>
      <c r="BS25" s="8">
        <f>MAX(0,25-BR25)*1.0</f>
        <v/>
      </c>
      <c r="BT25" s="18">
        <f>AA25+AW25+BS25</f>
        <v/>
      </c>
    </row>
    <row r="26">
      <c r="A26" s="8" t="n">
        <v>14</v>
      </c>
      <c r="B26" t="inlineStr">
        <is>
          <t>Filipe Pinheiro</t>
        </is>
      </c>
      <c r="C26" s="8" t="inlineStr">
        <is>
          <t>46591</t>
        </is>
      </c>
      <c r="D26" t="inlineStr">
        <is>
          <t>Belas</t>
        </is>
      </c>
      <c r="E26" s="8" t="n">
        <v>3.1</v>
      </c>
      <c r="F26" s="17" t="n">
        <v>7</v>
      </c>
      <c r="G26" s="17" t="n">
        <v>4</v>
      </c>
      <c r="H26" s="17" t="n">
        <v>4</v>
      </c>
      <c r="I26" s="17" t="n">
        <v>3</v>
      </c>
      <c r="J26" s="17" t="n">
        <v>4</v>
      </c>
      <c r="K26" s="17" t="n">
        <v>5</v>
      </c>
      <c r="L26" s="17" t="n">
        <v>4</v>
      </c>
      <c r="M26" s="17" t="n">
        <v>5</v>
      </c>
      <c r="N26" s="17" t="n">
        <v>5</v>
      </c>
      <c r="O26" s="17" t="n">
        <v>5</v>
      </c>
      <c r="P26" s="17" t="n">
        <v>4</v>
      </c>
      <c r="Q26" s="17" t="n">
        <v>5</v>
      </c>
      <c r="R26" s="17" t="n">
        <v>4</v>
      </c>
      <c r="S26" s="17" t="n">
        <v>5</v>
      </c>
      <c r="T26" s="17" t="n">
        <v>6</v>
      </c>
      <c r="U26" s="17" t="n">
        <v>5</v>
      </c>
      <c r="V26" s="17" t="n">
        <v>6</v>
      </c>
      <c r="W26" s="17" t="n">
        <v>4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7" t="n">
        <v>5</v>
      </c>
      <c r="AC26" s="17" t="n">
        <v>3</v>
      </c>
      <c r="AD26" s="17" t="n">
        <v>5</v>
      </c>
      <c r="AE26" s="17" t="n">
        <v>3</v>
      </c>
      <c r="AF26" s="17" t="n">
        <v>4</v>
      </c>
      <c r="AG26" s="17" t="n">
        <v>5</v>
      </c>
      <c r="AH26" s="17" t="n">
        <v>4</v>
      </c>
      <c r="AI26" s="17" t="n">
        <v>4</v>
      </c>
      <c r="AJ26" s="17" t="n">
        <v>4</v>
      </c>
      <c r="AK26" s="17" t="n">
        <v>5</v>
      </c>
      <c r="AL26" s="17" t="n">
        <v>7</v>
      </c>
      <c r="AM26" s="17" t="n">
        <v>4</v>
      </c>
      <c r="AN26" s="17" t="n">
        <v>4</v>
      </c>
      <c r="AO26" s="17" t="n">
        <v>4</v>
      </c>
      <c r="AP26" s="17" t="n">
        <v>5</v>
      </c>
      <c r="AQ26" s="17" t="n">
        <v>4</v>
      </c>
      <c r="AR26" s="17" t="n">
        <v>2</v>
      </c>
      <c r="AS26" s="17" t="n">
        <v>4</v>
      </c>
      <c r="AT26" s="8">
        <f>SUM(AB26:AS26)</f>
        <v/>
      </c>
      <c r="AU26" s="8">
        <f>AU11</f>
        <v/>
      </c>
      <c r="AV26" s="8">
        <f>AT26-AU26</f>
        <v/>
      </c>
      <c r="AW26" s="8">
        <f>MAX(0,25-AV26)*1.0</f>
        <v/>
      </c>
      <c r="AX26" s="17" t="n">
        <v>5</v>
      </c>
      <c r="AY26" s="17" t="n">
        <v>3</v>
      </c>
      <c r="AZ26" s="17" t="n">
        <v>4</v>
      </c>
      <c r="BA26" s="17" t="n">
        <v>4</v>
      </c>
      <c r="BB26" s="17" t="n">
        <v>5</v>
      </c>
      <c r="BC26" s="17" t="n">
        <v>4</v>
      </c>
      <c r="BD26" s="17" t="n">
        <v>5</v>
      </c>
      <c r="BE26" s="17" t="n">
        <v>5</v>
      </c>
      <c r="BF26" s="17" t="n">
        <v>4</v>
      </c>
      <c r="BG26" s="17" t="n">
        <v>5</v>
      </c>
      <c r="BH26" s="17" t="n">
        <v>4</v>
      </c>
      <c r="BI26" s="17" t="n">
        <v>2</v>
      </c>
      <c r="BJ26" s="17" t="n">
        <v>4</v>
      </c>
      <c r="BK26" s="17" t="n">
        <v>4</v>
      </c>
      <c r="BL26" s="17" t="n">
        <v>5</v>
      </c>
      <c r="BM26" s="17" t="n">
        <v>5</v>
      </c>
      <c r="BN26" s="17" t="n">
        <v>3</v>
      </c>
      <c r="BO26" s="17" t="n">
        <v>4</v>
      </c>
      <c r="BP26" s="8">
        <f>SUM(AX26:BO26)</f>
        <v/>
      </c>
      <c r="BQ26" s="8">
        <f>BQ11</f>
        <v/>
      </c>
      <c r="BR26" s="8">
        <f>BP26-BQ26</f>
        <v/>
      </c>
      <c r="BS26" s="8">
        <f>MAX(0,25-BR26)*1.0</f>
        <v/>
      </c>
      <c r="BT26" s="18">
        <f>AA26+AW26+BS26</f>
        <v/>
      </c>
    </row>
    <row r="27">
      <c r="A27" s="8" t="n">
        <v>15</v>
      </c>
      <c r="B27" t="inlineStr">
        <is>
          <t>Ryan Dantas</t>
        </is>
      </c>
      <c r="C27" s="8" t="inlineStr">
        <is>
          <t>45439</t>
        </is>
      </c>
      <c r="D27" t="inlineStr">
        <is>
          <t>Belas</t>
        </is>
      </c>
      <c r="E27" s="8" t="n">
        <v>6.9</v>
      </c>
      <c r="F27" s="17" t="n">
        <v>4</v>
      </c>
      <c r="G27" s="17" t="n">
        <v>4</v>
      </c>
      <c r="H27" s="17" t="n">
        <v>6</v>
      </c>
      <c r="I27" s="17" t="n">
        <v>4</v>
      </c>
      <c r="J27" s="17" t="n">
        <v>5</v>
      </c>
      <c r="K27" s="17" t="n">
        <v>4</v>
      </c>
      <c r="L27" s="17" t="n">
        <v>4</v>
      </c>
      <c r="M27" s="17" t="n">
        <v>6</v>
      </c>
      <c r="N27" s="17" t="n">
        <v>5</v>
      </c>
      <c r="O27" s="17" t="n">
        <v>5</v>
      </c>
      <c r="P27" s="17" t="n">
        <v>5</v>
      </c>
      <c r="Q27" s="17" t="n">
        <v>5</v>
      </c>
      <c r="R27" s="17" t="n">
        <v>5</v>
      </c>
      <c r="S27" s="17" t="n">
        <v>7</v>
      </c>
      <c r="T27" s="17" t="n">
        <v>5</v>
      </c>
      <c r="U27" s="17" t="n">
        <v>4</v>
      </c>
      <c r="V27" s="17" t="n">
        <v>3</v>
      </c>
      <c r="W27" s="17" t="n">
        <v>5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7" t="n">
        <v>5</v>
      </c>
      <c r="AC27" s="17" t="n">
        <v>3</v>
      </c>
      <c r="AD27" s="17" t="n">
        <v>5</v>
      </c>
      <c r="AE27" s="17" t="n">
        <v>4</v>
      </c>
      <c r="AF27" s="17" t="n">
        <v>3</v>
      </c>
      <c r="AG27" s="17" t="n">
        <v>4</v>
      </c>
      <c r="AH27" s="17" t="n">
        <v>6</v>
      </c>
      <c r="AI27" s="17" t="n">
        <v>5</v>
      </c>
      <c r="AJ27" s="17" t="n">
        <v>5</v>
      </c>
      <c r="AK27" s="17" t="n">
        <v>5</v>
      </c>
      <c r="AL27" s="17" t="n">
        <v>5</v>
      </c>
      <c r="AM27" s="17" t="n">
        <v>6</v>
      </c>
      <c r="AN27" s="17" t="n">
        <v>6</v>
      </c>
      <c r="AO27" s="17" t="n">
        <v>7</v>
      </c>
      <c r="AP27" s="17" t="n">
        <v>6</v>
      </c>
      <c r="AQ27" s="17" t="n">
        <v>5</v>
      </c>
      <c r="AR27" s="17" t="n">
        <v>4</v>
      </c>
      <c r="AS27" s="17" t="n">
        <v>5</v>
      </c>
      <c r="AT27" s="8">
        <f>SUM(AB27:AS27)</f>
        <v/>
      </c>
      <c r="AU27" s="8">
        <f>AU11</f>
        <v/>
      </c>
      <c r="AV27" s="8">
        <f>AT27-AU27</f>
        <v/>
      </c>
      <c r="AW27" s="8">
        <f>MAX(0,25-AV27)*1.0</f>
        <v/>
      </c>
      <c r="AX27" s="17" t="n">
        <v>5</v>
      </c>
      <c r="AY27" s="17" t="n">
        <v>3</v>
      </c>
      <c r="AZ27" s="17" t="n">
        <v>5</v>
      </c>
      <c r="BA27" s="17" t="n">
        <v>4</v>
      </c>
      <c r="BB27" s="17" t="n">
        <v>5</v>
      </c>
      <c r="BC27" s="17" t="n">
        <v>8</v>
      </c>
      <c r="BD27" s="17" t="n">
        <v>4</v>
      </c>
      <c r="BE27" s="17" t="n">
        <v>5</v>
      </c>
      <c r="BF27" s="17" t="n">
        <v>5</v>
      </c>
      <c r="BG27" s="17" t="n">
        <v>5</v>
      </c>
      <c r="BH27" s="17" t="n">
        <v>6</v>
      </c>
      <c r="BI27" s="17" t="n">
        <v>5</v>
      </c>
      <c r="BJ27" s="17" t="n">
        <v>4</v>
      </c>
      <c r="BK27" s="17" t="n">
        <v>5</v>
      </c>
      <c r="BL27" s="17" t="n">
        <v>5</v>
      </c>
      <c r="BM27" s="17" t="n">
        <v>5</v>
      </c>
      <c r="BN27" s="17" t="n">
        <v>6</v>
      </c>
      <c r="BO27" s="17" t="n">
        <v>4</v>
      </c>
      <c r="BP27" s="8">
        <f>SUM(AX27:BO27)</f>
        <v/>
      </c>
      <c r="BQ27" s="8">
        <f>BQ11</f>
        <v/>
      </c>
      <c r="BR27" s="8">
        <f>BP27-BQ27</f>
        <v/>
      </c>
      <c r="BS27" s="8">
        <f>MAX(0,25-BR27)*1.0</f>
        <v/>
      </c>
      <c r="BT27" s="18">
        <f>AA27+AW27+BS27</f>
        <v/>
      </c>
    </row>
    <row r="28">
      <c r="A28" s="8" t="n">
        <v>16</v>
      </c>
      <c r="B28" t="inlineStr">
        <is>
          <t>Matteo Balzer</t>
        </is>
      </c>
      <c r="C28" s="8" t="inlineStr">
        <is>
          <t>44406</t>
        </is>
      </c>
      <c r="D28" t="inlineStr">
        <is>
          <t>Amendoeira</t>
        </is>
      </c>
      <c r="E28" s="8" t="n">
        <v>3.7</v>
      </c>
      <c r="F28" s="17" t="n">
        <v>5</v>
      </c>
      <c r="G28" s="17" t="n">
        <v>5</v>
      </c>
      <c r="H28" s="17" t="n">
        <v>4</v>
      </c>
      <c r="I28" s="17" t="n">
        <v>4</v>
      </c>
      <c r="J28" s="17" t="n">
        <v>5</v>
      </c>
      <c r="K28" s="17" t="n">
        <v>4</v>
      </c>
      <c r="L28" s="17" t="n">
        <v>4</v>
      </c>
      <c r="M28" s="17" t="n">
        <v>5</v>
      </c>
      <c r="N28" s="17" t="n">
        <v>4</v>
      </c>
      <c r="O28" s="17" t="n">
        <v>6</v>
      </c>
      <c r="P28" s="17" t="n">
        <v>6</v>
      </c>
      <c r="Q28" s="17" t="n">
        <v>4</v>
      </c>
      <c r="R28" s="17" t="n">
        <v>4</v>
      </c>
      <c r="S28" s="17" t="n">
        <v>5</v>
      </c>
      <c r="T28" s="17" t="n">
        <v>7</v>
      </c>
      <c r="U28" s="17" t="n">
        <v>4</v>
      </c>
      <c r="V28" s="17" t="n">
        <v>4</v>
      </c>
      <c r="W28" s="17" t="n">
        <v>6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7" t="n">
        <v>5</v>
      </c>
      <c r="AC28" s="17" t="n">
        <v>4</v>
      </c>
      <c r="AD28" s="17" t="n">
        <v>4</v>
      </c>
      <c r="AE28" s="17" t="n">
        <v>3</v>
      </c>
      <c r="AF28" s="17" t="n">
        <v>4</v>
      </c>
      <c r="AG28" s="17" t="n">
        <v>4</v>
      </c>
      <c r="AH28" s="17" t="n">
        <v>4</v>
      </c>
      <c r="AI28" s="17" t="n">
        <v>5</v>
      </c>
      <c r="AJ28" s="17" t="n">
        <v>4</v>
      </c>
      <c r="AK28" s="17" t="n">
        <v>6</v>
      </c>
      <c r="AL28" s="17" t="n">
        <v>4</v>
      </c>
      <c r="AM28" s="17" t="n">
        <v>3</v>
      </c>
      <c r="AN28" s="17" t="n">
        <v>5</v>
      </c>
      <c r="AO28" s="17" t="n">
        <v>4</v>
      </c>
      <c r="AP28" s="17" t="n">
        <v>6</v>
      </c>
      <c r="AQ28" s="17" t="n">
        <v>4</v>
      </c>
      <c r="AR28" s="17" t="n">
        <v>2</v>
      </c>
      <c r="AS28" s="17" t="n">
        <v>5</v>
      </c>
      <c r="AT28" s="8">
        <f>SUM(AB28:AS28)</f>
        <v/>
      </c>
      <c r="AU28" s="8">
        <f>AU11</f>
        <v/>
      </c>
      <c r="AV28" s="8">
        <f>AT28-AU28</f>
        <v/>
      </c>
      <c r="AW28" s="8">
        <f>MAX(0,25-AV28)*1.0</f>
        <v/>
      </c>
      <c r="AX28" s="17" t="n">
        <v>6</v>
      </c>
      <c r="AY28" s="17" t="n">
        <v>3</v>
      </c>
      <c r="AZ28" s="17" t="n">
        <v>4</v>
      </c>
      <c r="BA28" s="17" t="n">
        <v>4</v>
      </c>
      <c r="BB28" s="17" t="n">
        <v>4</v>
      </c>
      <c r="BC28" s="17" t="n">
        <v>5</v>
      </c>
      <c r="BD28" s="17" t="n">
        <v>4</v>
      </c>
      <c r="BE28" s="17" t="n">
        <v>5</v>
      </c>
      <c r="BF28" s="17" t="n">
        <v>4</v>
      </c>
      <c r="BG28" s="17" t="n">
        <v>5</v>
      </c>
      <c r="BH28" s="17" t="n">
        <v>4</v>
      </c>
      <c r="BI28" s="17" t="n">
        <v>4</v>
      </c>
      <c r="BJ28" s="17" t="n">
        <v>4</v>
      </c>
      <c r="BK28" s="17" t="n">
        <v>4</v>
      </c>
      <c r="BL28" s="17" t="n">
        <v>5</v>
      </c>
      <c r="BM28" s="17" t="n">
        <v>3</v>
      </c>
      <c r="BN28" s="17" t="n">
        <v>3</v>
      </c>
      <c r="BO28" s="17" t="n">
        <v>4</v>
      </c>
      <c r="BP28" s="8">
        <f>SUM(AX28:BO28)</f>
        <v/>
      </c>
      <c r="BQ28" s="8">
        <f>BQ11</f>
        <v/>
      </c>
      <c r="BR28" s="8">
        <f>BP28-BQ28</f>
        <v/>
      </c>
      <c r="BS28" s="8">
        <f>MAX(0,25-BR28)*1.0</f>
        <v/>
      </c>
      <c r="BT28" s="18">
        <f>AA28+AW28+BS28</f>
        <v/>
      </c>
    </row>
    <row r="29">
      <c r="A29" s="8" t="n">
        <v>17</v>
      </c>
      <c r="B29" t="inlineStr">
        <is>
          <t>Miguel Teles de Menezes</t>
        </is>
      </c>
      <c r="C29" s="8" t="inlineStr">
        <is>
          <t>52487</t>
        </is>
      </c>
      <c r="D29" t="inlineStr">
        <is>
          <t>Oporto</t>
        </is>
      </c>
      <c r="E29" s="8" t="n">
        <v>9.5</v>
      </c>
      <c r="F29" s="17" t="n">
        <v>5</v>
      </c>
      <c r="G29" s="17" t="n">
        <v>3</v>
      </c>
      <c r="H29" s="17" t="n">
        <v>5</v>
      </c>
      <c r="I29" s="17" t="n">
        <v>5</v>
      </c>
      <c r="J29" s="17" t="n">
        <v>4</v>
      </c>
      <c r="K29" s="17" t="n">
        <v>5</v>
      </c>
      <c r="L29" s="17" t="n">
        <v>6</v>
      </c>
      <c r="M29" s="17" t="n">
        <v>6</v>
      </c>
      <c r="N29" s="17" t="n">
        <v>5</v>
      </c>
      <c r="O29" s="17" t="n">
        <v>6</v>
      </c>
      <c r="P29" s="17" t="n">
        <v>5</v>
      </c>
      <c r="Q29" s="17" t="n">
        <v>5</v>
      </c>
      <c r="R29" s="17" t="n">
        <v>4</v>
      </c>
      <c r="S29" s="17" t="n">
        <v>4</v>
      </c>
      <c r="T29" s="17" t="n">
        <v>6</v>
      </c>
      <c r="U29" s="17" t="n">
        <v>6</v>
      </c>
      <c r="V29" s="17" t="n">
        <v>3</v>
      </c>
      <c r="W29" s="17" t="n">
        <v>4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7" t="n">
        <v>5</v>
      </c>
      <c r="AC29" s="17" t="n">
        <v>4</v>
      </c>
      <c r="AD29" s="17" t="n">
        <v>4</v>
      </c>
      <c r="AE29" s="17" t="n">
        <v>4</v>
      </c>
      <c r="AF29" s="17" t="n">
        <v>6</v>
      </c>
      <c r="AG29" s="17" t="n">
        <v>3</v>
      </c>
      <c r="AH29" s="17" t="n">
        <v>4</v>
      </c>
      <c r="AI29" s="17" t="n">
        <v>4</v>
      </c>
      <c r="AJ29" s="17" t="n">
        <v>6</v>
      </c>
      <c r="AK29" s="17" t="n">
        <v>7</v>
      </c>
      <c r="AL29" s="17" t="n">
        <v>5</v>
      </c>
      <c r="AM29" s="17" t="n">
        <v>7</v>
      </c>
      <c r="AN29" s="17" t="n">
        <v>3</v>
      </c>
      <c r="AO29" s="17" t="n">
        <v>5</v>
      </c>
      <c r="AP29" s="17" t="n">
        <v>8</v>
      </c>
      <c r="AQ29" s="17" t="n">
        <v>5</v>
      </c>
      <c r="AR29" s="17" t="n">
        <v>4</v>
      </c>
      <c r="AS29" s="17" t="n">
        <v>6</v>
      </c>
      <c r="AT29" s="8">
        <f>SUM(AB29:AS29)</f>
        <v/>
      </c>
      <c r="AU29" s="8">
        <f>AU11</f>
        <v/>
      </c>
      <c r="AV29" s="8">
        <f>AT29-AU29</f>
        <v/>
      </c>
      <c r="AW29" s="8">
        <f>MAX(0,25-AV29)*1.0</f>
        <v/>
      </c>
      <c r="AX29" s="17" t="n">
        <v>4</v>
      </c>
      <c r="AY29" s="17" t="n">
        <v>4</v>
      </c>
      <c r="AZ29" s="17" t="n">
        <v>5</v>
      </c>
      <c r="BA29" s="17" t="n">
        <v>4</v>
      </c>
      <c r="BB29" s="17" t="n">
        <v>6</v>
      </c>
      <c r="BC29" s="17" t="n">
        <v>9</v>
      </c>
      <c r="BD29" s="17" t="n">
        <v>4</v>
      </c>
      <c r="BE29" s="17" t="n">
        <v>5</v>
      </c>
      <c r="BF29" s="17" t="n">
        <v>6</v>
      </c>
      <c r="BG29" s="17" t="n">
        <v>7</v>
      </c>
      <c r="BH29" s="17" t="n">
        <v>4</v>
      </c>
      <c r="BI29" s="17" t="n">
        <v>2</v>
      </c>
      <c r="BJ29" s="17" t="n">
        <v>7</v>
      </c>
      <c r="BK29" s="17" t="n">
        <v>4</v>
      </c>
      <c r="BL29" s="17" t="n">
        <v>8</v>
      </c>
      <c r="BM29" s="17" t="n">
        <v>5</v>
      </c>
      <c r="BN29" s="17" t="n">
        <v>3</v>
      </c>
      <c r="BO29" s="17" t="n">
        <v>4</v>
      </c>
      <c r="BP29" s="8">
        <f>SUM(AX29:BO29)</f>
        <v/>
      </c>
      <c r="BQ29" s="8">
        <f>BQ11</f>
        <v/>
      </c>
      <c r="BR29" s="8">
        <f>BP29-BQ29</f>
        <v/>
      </c>
      <c r="BS29" s="8">
        <f>MAX(0,25-BR29)*1.0</f>
        <v/>
      </c>
      <c r="BT29" s="18">
        <f>AA29+AW29+BS29</f>
        <v/>
      </c>
    </row>
    <row r="30">
      <c r="A30" s="8" t="n">
        <v>18</v>
      </c>
      <c r="B30" t="inlineStr">
        <is>
          <t>Igor Kostyn</t>
        </is>
      </c>
      <c r="C30" s="8" t="inlineStr">
        <is>
          <t>56072</t>
        </is>
      </c>
      <c r="D30" t="inlineStr">
        <is>
          <t>Vilamoura, C. G</t>
        </is>
      </c>
      <c r="E30" s="8" t="n">
        <v>10.8</v>
      </c>
      <c r="F30" s="17" t="n">
        <v>5</v>
      </c>
      <c r="G30" s="17" t="n">
        <v>3</v>
      </c>
      <c r="H30" s="17" t="n">
        <v>4</v>
      </c>
      <c r="I30" s="17" t="n">
        <v>6</v>
      </c>
      <c r="J30" s="17" t="n">
        <v>6</v>
      </c>
      <c r="K30" s="17" t="n">
        <v>3</v>
      </c>
      <c r="L30" s="17" t="n">
        <v>5</v>
      </c>
      <c r="M30" s="17" t="n">
        <v>6</v>
      </c>
      <c r="N30" s="17" t="n">
        <v>5</v>
      </c>
      <c r="O30" s="17" t="n">
        <v>6</v>
      </c>
      <c r="P30" s="17" t="n">
        <v>4</v>
      </c>
      <c r="Q30" s="17" t="n">
        <v>5</v>
      </c>
      <c r="R30" s="17" t="n">
        <v>5</v>
      </c>
      <c r="S30" s="17" t="n">
        <v>6</v>
      </c>
      <c r="T30" s="17" t="n">
        <v>5</v>
      </c>
      <c r="U30" s="17" t="n">
        <v>5</v>
      </c>
      <c r="V30" s="17" t="n">
        <v>4</v>
      </c>
      <c r="W30" s="17" t="n">
        <v>5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7" t="n">
        <v>6</v>
      </c>
      <c r="AC30" s="17" t="n">
        <v>4</v>
      </c>
      <c r="AD30" s="17" t="n">
        <v>5</v>
      </c>
      <c r="AE30" s="17" t="n">
        <v>3</v>
      </c>
      <c r="AF30" s="17" t="n">
        <v>4</v>
      </c>
      <c r="AG30" s="17" t="n">
        <v>5</v>
      </c>
      <c r="AH30" s="17" t="n">
        <v>4</v>
      </c>
      <c r="AI30" s="17" t="n">
        <v>5</v>
      </c>
      <c r="AJ30" s="17" t="n">
        <v>5</v>
      </c>
      <c r="AK30" s="17" t="n">
        <v>5</v>
      </c>
      <c r="AL30" s="17" t="n">
        <v>5</v>
      </c>
      <c r="AM30" s="17" t="n">
        <v>3</v>
      </c>
      <c r="AN30" s="17" t="n">
        <v>4</v>
      </c>
      <c r="AO30" s="17" t="n">
        <v>4</v>
      </c>
      <c r="AP30" s="17" t="n">
        <v>5</v>
      </c>
      <c r="AQ30" s="17" t="n">
        <v>5</v>
      </c>
      <c r="AR30" s="17" t="n">
        <v>4</v>
      </c>
      <c r="AS30" s="17" t="n">
        <v>4</v>
      </c>
      <c r="AT30" s="8">
        <f>SUM(AB30:AS30)</f>
        <v/>
      </c>
      <c r="AU30" s="8">
        <f>AU11</f>
        <v/>
      </c>
      <c r="AV30" s="8">
        <f>AT30-AU30</f>
        <v/>
      </c>
      <c r="AW30" s="8">
        <f>MAX(0,25-AV30)*1.0</f>
        <v/>
      </c>
      <c r="AX30" s="17" t="n">
        <v>6</v>
      </c>
      <c r="AY30" s="17" t="n">
        <v>3</v>
      </c>
      <c r="AZ30" s="17" t="n">
        <v>4</v>
      </c>
      <c r="BA30" s="17" t="n">
        <v>4</v>
      </c>
      <c r="BB30" s="17" t="n">
        <v>4</v>
      </c>
      <c r="BC30" s="17" t="n">
        <v>4</v>
      </c>
      <c r="BD30" s="17" t="n">
        <v>5</v>
      </c>
      <c r="BE30" s="17" t="n">
        <v>5</v>
      </c>
      <c r="BF30" s="17" t="n">
        <v>5</v>
      </c>
      <c r="BG30" s="17" t="n">
        <v>6</v>
      </c>
      <c r="BH30" s="17" t="n">
        <v>4</v>
      </c>
      <c r="BI30" s="17" t="n">
        <v>3</v>
      </c>
      <c r="BJ30" s="17" t="n">
        <v>4</v>
      </c>
      <c r="BK30" s="17" t="n">
        <v>7</v>
      </c>
      <c r="BL30" s="17" t="n">
        <v>5</v>
      </c>
      <c r="BM30" s="17" t="n">
        <v>4</v>
      </c>
      <c r="BN30" s="17" t="n">
        <v>5</v>
      </c>
      <c r="BO30" s="17" t="n">
        <v>7</v>
      </c>
      <c r="BP30" s="8">
        <f>SUM(AX30:BO30)</f>
        <v/>
      </c>
      <c r="BQ30" s="8">
        <f>BQ11</f>
        <v/>
      </c>
      <c r="BR30" s="8">
        <f>BP30-BQ30</f>
        <v/>
      </c>
      <c r="BS30" s="8">
        <f>MAX(0,25-BR30)*1.0</f>
        <v/>
      </c>
      <c r="BT30" s="18">
        <f>AA30+AW30+BS30</f>
        <v/>
      </c>
    </row>
    <row r="31">
      <c r="A31" s="8" t="n">
        <v>19</v>
      </c>
      <c r="B31" t="inlineStr">
        <is>
          <t>Min Sung Seo</t>
        </is>
      </c>
      <c r="C31" s="8" t="inlineStr"/>
      <c r="D31" t="inlineStr">
        <is>
          <t>Internacional</t>
        </is>
      </c>
      <c r="E31" s="8" t="n">
        <v>5</v>
      </c>
      <c r="F31" s="17" t="n">
        <v>5</v>
      </c>
      <c r="G31" s="17" t="n">
        <v>3</v>
      </c>
      <c r="H31" s="17" t="n">
        <v>4</v>
      </c>
      <c r="I31" s="17" t="n">
        <v>8</v>
      </c>
      <c r="J31" s="17" t="n">
        <v>4</v>
      </c>
      <c r="K31" s="17" t="n">
        <v>5</v>
      </c>
      <c r="L31" s="17" t="n">
        <v>4</v>
      </c>
      <c r="M31" s="17" t="n">
        <v>7</v>
      </c>
      <c r="N31" s="17" t="n">
        <v>6</v>
      </c>
      <c r="O31" s="17" t="n">
        <v>6</v>
      </c>
      <c r="P31" s="17" t="n">
        <v>5</v>
      </c>
      <c r="Q31" s="17" t="n">
        <v>3</v>
      </c>
      <c r="R31" s="17" t="n">
        <v>4</v>
      </c>
      <c r="S31" s="17" t="n">
        <v>6</v>
      </c>
      <c r="T31" s="17" t="n">
        <v>6</v>
      </c>
      <c r="U31" s="17" t="n">
        <v>5</v>
      </c>
      <c r="V31" s="17" t="n">
        <v>4</v>
      </c>
      <c r="W31" s="17" t="n">
        <v>4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7" t="n">
        <v>4</v>
      </c>
      <c r="AC31" s="17" t="n">
        <v>3</v>
      </c>
      <c r="AD31" s="17" t="n">
        <v>5</v>
      </c>
      <c r="AE31" s="17" t="n">
        <v>4</v>
      </c>
      <c r="AF31" s="17" t="n">
        <v>4</v>
      </c>
      <c r="AG31" s="17" t="n">
        <v>7</v>
      </c>
      <c r="AH31" s="17" t="n">
        <v>5</v>
      </c>
      <c r="AI31" s="17" t="n">
        <v>5</v>
      </c>
      <c r="AJ31" s="17" t="n">
        <v>4</v>
      </c>
      <c r="AK31" s="17" t="n">
        <v>6</v>
      </c>
      <c r="AL31" s="17" t="n">
        <v>5</v>
      </c>
      <c r="AM31" s="17" t="n">
        <v>3</v>
      </c>
      <c r="AN31" s="17" t="n">
        <v>4</v>
      </c>
      <c r="AO31" s="17" t="n">
        <v>5</v>
      </c>
      <c r="AP31" s="17" t="n">
        <v>5</v>
      </c>
      <c r="AQ31" s="17" t="n">
        <v>5</v>
      </c>
      <c r="AR31" s="17" t="n">
        <v>3</v>
      </c>
      <c r="AS31" s="17" t="n">
        <v>4</v>
      </c>
      <c r="AT31" s="8">
        <f>SUM(AB31:AS31)</f>
        <v/>
      </c>
      <c r="AU31" s="8">
        <f>AU11</f>
        <v/>
      </c>
      <c r="AV31" s="8">
        <f>AT31-AU31</f>
        <v/>
      </c>
      <c r="AW31" s="8">
        <f>MAX(0,25-AV31)*1.0</f>
        <v/>
      </c>
      <c r="AX31" s="17" t="n">
        <v>7</v>
      </c>
      <c r="AY31" s="17" t="n">
        <v>3</v>
      </c>
      <c r="AZ31" s="17" t="n">
        <v>5</v>
      </c>
      <c r="BA31" s="17" t="n">
        <v>4</v>
      </c>
      <c r="BB31" s="17" t="n">
        <v>4</v>
      </c>
      <c r="BC31" s="17" t="n">
        <v>3</v>
      </c>
      <c r="BD31" s="17" t="n">
        <v>4</v>
      </c>
      <c r="BE31" s="17" t="n">
        <v>5</v>
      </c>
      <c r="BF31" s="17" t="n">
        <v>5</v>
      </c>
      <c r="BG31" s="17" t="n">
        <v>5</v>
      </c>
      <c r="BH31" s="17" t="n">
        <v>3</v>
      </c>
      <c r="BI31" s="17" t="n">
        <v>4</v>
      </c>
      <c r="BJ31" s="17" t="n">
        <v>5</v>
      </c>
      <c r="BK31" s="17" t="n">
        <v>4</v>
      </c>
      <c r="BL31" s="17" t="n">
        <v>5</v>
      </c>
      <c r="BM31" s="17" t="n">
        <v>5</v>
      </c>
      <c r="BN31" s="17" t="n">
        <v>4</v>
      </c>
      <c r="BO31" s="17" t="n">
        <v>4</v>
      </c>
      <c r="BP31" s="8">
        <f>SUM(AX31:BO31)</f>
        <v/>
      </c>
      <c r="BQ31" s="8">
        <f>BQ11</f>
        <v/>
      </c>
      <c r="BR31" s="8">
        <f>BP31-BQ31</f>
        <v/>
      </c>
      <c r="BS31" s="8">
        <f>MAX(0,25-BR31)*1.0</f>
        <v/>
      </c>
      <c r="BT31" s="18">
        <f>AA31+AW31+BS31</f>
        <v/>
      </c>
    </row>
    <row r="32">
      <c r="A32" s="8" t="n">
        <v>20</v>
      </c>
      <c r="B32" t="inlineStr">
        <is>
          <t>Beau Delfortrie</t>
        </is>
      </c>
      <c r="C32" s="8" t="inlineStr">
        <is>
          <t>50247</t>
        </is>
      </c>
      <c r="D32" t="inlineStr">
        <is>
          <t>Vila Sol</t>
        </is>
      </c>
      <c r="E32" s="8" t="n">
        <v>9.9</v>
      </c>
      <c r="F32" s="17" t="n">
        <v>5</v>
      </c>
      <c r="G32" s="17" t="n">
        <v>3</v>
      </c>
      <c r="H32" s="17" t="n">
        <v>4</v>
      </c>
      <c r="I32" s="17" t="n">
        <v>4</v>
      </c>
      <c r="J32" s="17" t="n">
        <v>5</v>
      </c>
      <c r="K32" s="17" t="n">
        <v>5</v>
      </c>
      <c r="L32" s="17" t="n">
        <v>4</v>
      </c>
      <c r="M32" s="17" t="n">
        <v>8</v>
      </c>
      <c r="N32" s="17" t="n">
        <v>5</v>
      </c>
      <c r="O32" s="17" t="n">
        <v>5</v>
      </c>
      <c r="P32" s="17" t="n">
        <v>4</v>
      </c>
      <c r="Q32" s="17" t="n">
        <v>6</v>
      </c>
      <c r="R32" s="17" t="n">
        <v>5</v>
      </c>
      <c r="S32" s="17" t="n">
        <v>7</v>
      </c>
      <c r="T32" s="17" t="n">
        <v>7</v>
      </c>
      <c r="U32" s="17" t="n">
        <v>5</v>
      </c>
      <c r="V32" s="17" t="n">
        <v>4</v>
      </c>
      <c r="W32" s="17" t="n">
        <v>5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7" t="n">
        <v>6</v>
      </c>
      <c r="AC32" s="17" t="n">
        <v>6</v>
      </c>
      <c r="AD32" s="17" t="n">
        <v>5</v>
      </c>
      <c r="AE32" s="17" t="n">
        <v>3</v>
      </c>
      <c r="AF32" s="17" t="n">
        <v>8</v>
      </c>
      <c r="AG32" s="17" t="n">
        <v>4</v>
      </c>
      <c r="AH32" s="17" t="n">
        <v>4</v>
      </c>
      <c r="AI32" s="17" t="n">
        <v>6</v>
      </c>
      <c r="AJ32" s="17" t="n">
        <v>6</v>
      </c>
      <c r="AK32" s="17" t="n">
        <v>6</v>
      </c>
      <c r="AL32" s="17" t="n">
        <v>6</v>
      </c>
      <c r="AM32" s="17" t="n">
        <v>4</v>
      </c>
      <c r="AN32" s="17" t="n">
        <v>7</v>
      </c>
      <c r="AO32" s="17" t="n">
        <v>6</v>
      </c>
      <c r="AP32" s="17" t="n">
        <v>6</v>
      </c>
      <c r="AQ32" s="17" t="n">
        <v>5</v>
      </c>
      <c r="AR32" s="17" t="n">
        <v>6</v>
      </c>
      <c r="AS32" s="17" t="n">
        <v>4</v>
      </c>
      <c r="AT32" s="8">
        <f>SUM(AB32:AS32)</f>
        <v/>
      </c>
      <c r="AU32" s="8">
        <f>AU11</f>
        <v/>
      </c>
      <c r="AV32" s="8">
        <f>AT32-AU32</f>
        <v/>
      </c>
      <c r="AW32" s="8">
        <f>MAX(0,25-AV32)*1.0</f>
        <v/>
      </c>
      <c r="AX32" s="17" t="n">
        <v>5</v>
      </c>
      <c r="AY32" s="17" t="n">
        <v>5</v>
      </c>
      <c r="AZ32" s="17" t="n">
        <v>4</v>
      </c>
      <c r="BA32" s="17" t="n">
        <v>4</v>
      </c>
      <c r="BB32" s="17" t="n">
        <v>6</v>
      </c>
      <c r="BC32" s="17" t="n">
        <v>5</v>
      </c>
      <c r="BD32" s="17" t="n">
        <v>5</v>
      </c>
      <c r="BE32" s="17" t="n">
        <v>6</v>
      </c>
      <c r="BF32" s="17" t="n">
        <v>4</v>
      </c>
      <c r="BG32" s="17" t="n">
        <v>5</v>
      </c>
      <c r="BH32" s="17" t="n">
        <v>6</v>
      </c>
      <c r="BI32" s="17" t="n">
        <v>3</v>
      </c>
      <c r="BJ32" s="17" t="n">
        <v>6</v>
      </c>
      <c r="BK32" s="17" t="n">
        <v>6</v>
      </c>
      <c r="BL32" s="17" t="n">
        <v>5</v>
      </c>
      <c r="BM32" s="17" t="n">
        <v>6</v>
      </c>
      <c r="BN32" s="17" t="n">
        <v>5</v>
      </c>
      <c r="BO32" s="17" t="n">
        <v>5</v>
      </c>
      <c r="BP32" s="8">
        <f>SUM(AX32:BO32)</f>
        <v/>
      </c>
      <c r="BQ32" s="8">
        <f>BQ11</f>
        <v/>
      </c>
      <c r="BR32" s="8">
        <f>BP32-BQ32</f>
        <v/>
      </c>
      <c r="BS32" s="8">
        <f>MAX(0,25-BR32)*1.0</f>
        <v/>
      </c>
      <c r="BT32" s="18">
        <f>AA32+AW32+BS32</f>
        <v/>
      </c>
    </row>
    <row r="33">
      <c r="A33" s="8" t="n">
        <v>21</v>
      </c>
      <c r="B33" t="inlineStr">
        <is>
          <t>Jack Murtagh</t>
        </is>
      </c>
      <c r="C33" s="8" t="inlineStr">
        <is>
          <t>41593</t>
        </is>
      </c>
      <c r="D33" t="inlineStr">
        <is>
          <t>Vilamoura, C. G</t>
        </is>
      </c>
      <c r="E33" s="8" t="n">
        <v>8.9</v>
      </c>
      <c r="F33" s="17" t="n">
        <v>7</v>
      </c>
      <c r="G33" s="17" t="n">
        <v>4</v>
      </c>
      <c r="H33" s="17" t="n">
        <v>6</v>
      </c>
      <c r="I33" s="17" t="n">
        <v>3</v>
      </c>
      <c r="J33" s="17" t="n">
        <v>7</v>
      </c>
      <c r="K33" s="17" t="n">
        <v>4</v>
      </c>
      <c r="L33" s="17" t="n">
        <v>4</v>
      </c>
      <c r="M33" s="17" t="n">
        <v>7</v>
      </c>
      <c r="N33" s="17" t="n">
        <v>5</v>
      </c>
      <c r="O33" s="17" t="n">
        <v>5</v>
      </c>
      <c r="P33" s="17" t="n">
        <v>6</v>
      </c>
      <c r="Q33" s="17" t="n">
        <v>4</v>
      </c>
      <c r="R33" s="17" t="n">
        <v>3</v>
      </c>
      <c r="S33" s="17" t="n">
        <v>6</v>
      </c>
      <c r="T33" s="17" t="n">
        <v>7</v>
      </c>
      <c r="U33" s="17" t="n">
        <v>5</v>
      </c>
      <c r="V33" s="17" t="n">
        <v>5</v>
      </c>
      <c r="W33" s="17" t="n">
        <v>5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7" t="n">
        <v>5</v>
      </c>
      <c r="AC33" s="17" t="n">
        <v>4</v>
      </c>
      <c r="AD33" s="17" t="n">
        <v>5</v>
      </c>
      <c r="AE33" s="17" t="n">
        <v>5</v>
      </c>
      <c r="AF33" s="17" t="n">
        <v>4</v>
      </c>
      <c r="AG33" s="17" t="n">
        <v>4</v>
      </c>
      <c r="AH33" s="17" t="n">
        <v>4</v>
      </c>
      <c r="AI33" s="17" t="n">
        <v>5</v>
      </c>
      <c r="AJ33" s="17" t="n">
        <v>6</v>
      </c>
      <c r="AK33" s="17" t="n">
        <v>6</v>
      </c>
      <c r="AL33" s="17" t="n">
        <v>4</v>
      </c>
      <c r="AM33" s="17" t="n">
        <v>4</v>
      </c>
      <c r="AN33" s="17" t="n">
        <v>5</v>
      </c>
      <c r="AO33" s="17" t="n">
        <v>5</v>
      </c>
      <c r="AP33" s="17" t="n">
        <v>6</v>
      </c>
      <c r="AQ33" s="17" t="n">
        <v>5</v>
      </c>
      <c r="AR33" s="17" t="n">
        <v>5</v>
      </c>
      <c r="AS33" s="17" t="n">
        <v>4</v>
      </c>
      <c r="AT33" s="8">
        <f>SUM(AB33:AS33)</f>
        <v/>
      </c>
      <c r="AU33" s="8">
        <f>AU11</f>
        <v/>
      </c>
      <c r="AV33" s="8">
        <f>AT33-AU33</f>
        <v/>
      </c>
      <c r="AW33" s="8">
        <f>MAX(0,25-AV33)*1.0</f>
        <v/>
      </c>
      <c r="AX33" s="17" t="n">
        <v>7</v>
      </c>
      <c r="AY33" s="17" t="n">
        <v>3</v>
      </c>
      <c r="AZ33" s="17" t="n">
        <v>5</v>
      </c>
      <c r="BA33" s="17" t="n">
        <v>5</v>
      </c>
      <c r="BB33" s="17" t="n">
        <v>5</v>
      </c>
      <c r="BC33" s="17" t="n">
        <v>4</v>
      </c>
      <c r="BD33" s="17" t="n">
        <v>5</v>
      </c>
      <c r="BE33" s="17" t="n">
        <v>4</v>
      </c>
      <c r="BF33" s="17" t="n">
        <v>5</v>
      </c>
      <c r="BG33" s="17" t="n">
        <v>5</v>
      </c>
      <c r="BH33" s="17" t="n">
        <v>4</v>
      </c>
      <c r="BI33" s="17" t="n">
        <v>3</v>
      </c>
      <c r="BJ33" s="17" t="n">
        <v>5</v>
      </c>
      <c r="BK33" s="17" t="n">
        <v>4</v>
      </c>
      <c r="BL33" s="17" t="n">
        <v>5</v>
      </c>
      <c r="BM33" s="17" t="n">
        <v>4</v>
      </c>
      <c r="BN33" s="17" t="n">
        <v>3</v>
      </c>
      <c r="BO33" s="17" t="n">
        <v>5</v>
      </c>
      <c r="BP33" s="8">
        <f>SUM(AX33:BO33)</f>
        <v/>
      </c>
      <c r="BQ33" s="8">
        <f>BQ11</f>
        <v/>
      </c>
      <c r="BR33" s="8">
        <f>BP33-BQ33</f>
        <v/>
      </c>
      <c r="BS33" s="8">
        <f>MAX(0,25-BR33)*1.0</f>
        <v/>
      </c>
      <c r="BT33" s="18">
        <f>AA33+AW33+BS33</f>
        <v/>
      </c>
    </row>
    <row r="34">
      <c r="A34" s="8" t="n">
        <v>22</v>
      </c>
      <c r="B34" t="inlineStr">
        <is>
          <t>Diogo Sequeira</t>
        </is>
      </c>
      <c r="C34" s="8" t="inlineStr">
        <is>
          <t>56654</t>
        </is>
      </c>
      <c r="D34" t="inlineStr">
        <is>
          <t>Quinta do Peru</t>
        </is>
      </c>
      <c r="E34" s="8" t="n">
        <v>4.9</v>
      </c>
      <c r="F34" s="17" t="n">
        <v>5</v>
      </c>
      <c r="G34" s="17" t="n">
        <v>5</v>
      </c>
      <c r="H34" s="17" t="n">
        <v>5</v>
      </c>
      <c r="I34" s="17" t="n">
        <v>5</v>
      </c>
      <c r="J34" s="17" t="n">
        <v>5</v>
      </c>
      <c r="K34" s="17" t="n">
        <v>4</v>
      </c>
      <c r="L34" s="17" t="n">
        <v>4</v>
      </c>
      <c r="M34" s="17" t="n">
        <v>6</v>
      </c>
      <c r="N34" s="17" t="n">
        <v>7</v>
      </c>
      <c r="O34" s="17" t="n">
        <v>5</v>
      </c>
      <c r="P34" s="17" t="n">
        <v>5</v>
      </c>
      <c r="Q34" s="17" t="n">
        <v>5</v>
      </c>
      <c r="R34" s="17" t="n">
        <v>6</v>
      </c>
      <c r="S34" s="17" t="n">
        <v>5</v>
      </c>
      <c r="T34" s="17" t="n">
        <v>7</v>
      </c>
      <c r="U34" s="17" t="n">
        <v>6</v>
      </c>
      <c r="V34" s="17" t="n">
        <v>4</v>
      </c>
      <c r="W34" s="17" t="n">
        <v>4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7" t="n">
        <v>5</v>
      </c>
      <c r="AC34" s="17" t="n">
        <v>3</v>
      </c>
      <c r="AD34" s="17" t="n">
        <v>5</v>
      </c>
      <c r="AE34" s="17" t="n">
        <v>3</v>
      </c>
      <c r="AF34" s="17" t="n">
        <v>4</v>
      </c>
      <c r="AG34" s="17" t="n">
        <v>4</v>
      </c>
      <c r="AH34" s="17" t="n">
        <v>4</v>
      </c>
      <c r="AI34" s="17" t="n">
        <v>4</v>
      </c>
      <c r="AJ34" s="17" t="n">
        <v>5</v>
      </c>
      <c r="AK34" s="17" t="n">
        <v>5</v>
      </c>
      <c r="AL34" s="17" t="n">
        <v>4</v>
      </c>
      <c r="AM34" s="17" t="n">
        <v>3</v>
      </c>
      <c r="AN34" s="17" t="n">
        <v>5</v>
      </c>
      <c r="AO34" s="17" t="n">
        <v>4</v>
      </c>
      <c r="AP34" s="17" t="n">
        <v>6</v>
      </c>
      <c r="AQ34" s="17" t="n">
        <v>3</v>
      </c>
      <c r="AR34" s="17" t="n">
        <v>4</v>
      </c>
      <c r="AS34" s="17" t="n">
        <v>4</v>
      </c>
      <c r="AT34" s="8">
        <f>SUM(AB34:AS34)</f>
        <v/>
      </c>
      <c r="AU34" s="8">
        <f>AU11</f>
        <v/>
      </c>
      <c r="AV34" s="8">
        <f>AT34-AU34</f>
        <v/>
      </c>
      <c r="AW34" s="8">
        <f>MAX(0,25-AV34)*1.0</f>
        <v/>
      </c>
      <c r="AX34" s="17" t="n">
        <v>5</v>
      </c>
      <c r="AY34" s="17" t="n">
        <v>4</v>
      </c>
      <c r="AZ34" s="17" t="n">
        <v>4</v>
      </c>
      <c r="BA34" s="17" t="n">
        <v>4</v>
      </c>
      <c r="BB34" s="17" t="n">
        <v>4</v>
      </c>
      <c r="BC34" s="17" t="n">
        <v>4</v>
      </c>
      <c r="BD34" s="17" t="n">
        <v>5</v>
      </c>
      <c r="BE34" s="17" t="n">
        <v>5</v>
      </c>
      <c r="BF34" s="17" t="n">
        <v>5</v>
      </c>
      <c r="BG34" s="17" t="n">
        <v>5</v>
      </c>
      <c r="BH34" s="17" t="n">
        <v>4</v>
      </c>
      <c r="BI34" s="17" t="n">
        <v>3</v>
      </c>
      <c r="BJ34" s="17" t="n">
        <v>5</v>
      </c>
      <c r="BK34" s="17" t="n">
        <v>7</v>
      </c>
      <c r="BL34" s="17" t="n">
        <v>5</v>
      </c>
      <c r="BM34" s="17" t="n">
        <v>6</v>
      </c>
      <c r="BN34" s="17" t="n">
        <v>4</v>
      </c>
      <c r="BO34" s="17" t="n">
        <v>6</v>
      </c>
      <c r="BP34" s="8">
        <f>SUM(AX34:BO34)</f>
        <v/>
      </c>
      <c r="BQ34" s="8">
        <f>BQ11</f>
        <v/>
      </c>
      <c r="BR34" s="8">
        <f>BP34-BQ34</f>
        <v/>
      </c>
      <c r="BS34" s="8">
        <f>MAX(0,25-BR34)*1.0</f>
        <v/>
      </c>
      <c r="BT34" s="18">
        <f>AA34+AW34+BS34</f>
        <v/>
      </c>
    </row>
    <row r="35">
      <c r="A35" s="8" t="n">
        <v>23</v>
      </c>
      <c r="B35" t="inlineStr">
        <is>
          <t>Maximilian O`callaghan</t>
        </is>
      </c>
      <c r="C35" s="8" t="inlineStr">
        <is>
          <t>48623</t>
        </is>
      </c>
      <c r="D35" t="inlineStr">
        <is>
          <t>Vilamoura, C. G</t>
        </is>
      </c>
      <c r="E35" s="8" t="n">
        <v>22.2</v>
      </c>
      <c r="F35" s="17" t="n">
        <v>6</v>
      </c>
      <c r="G35" s="17" t="n">
        <v>5</v>
      </c>
      <c r="H35" s="17" t="n">
        <v>5</v>
      </c>
      <c r="I35" s="17" t="n">
        <v>10</v>
      </c>
      <c r="J35" s="17" t="n">
        <v>5</v>
      </c>
      <c r="K35" s="17" t="n">
        <v>4</v>
      </c>
      <c r="L35" s="17" t="n">
        <v>5</v>
      </c>
      <c r="M35" s="17" t="n">
        <v>6</v>
      </c>
      <c r="N35" s="17" t="n">
        <v>4</v>
      </c>
      <c r="O35" s="17" t="n">
        <v>6</v>
      </c>
      <c r="P35" s="17" t="n">
        <v>5</v>
      </c>
      <c r="Q35" s="17" t="n">
        <v>3</v>
      </c>
      <c r="R35" s="17" t="n">
        <v>4</v>
      </c>
      <c r="S35" s="17" t="n">
        <v>6</v>
      </c>
      <c r="T35" s="17" t="n">
        <v>7</v>
      </c>
      <c r="U35" s="17" t="n">
        <v>4</v>
      </c>
      <c r="V35" s="17" t="n">
        <v>4</v>
      </c>
      <c r="W35" s="17" t="n">
        <v>5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7" t="n">
        <v>6</v>
      </c>
      <c r="AC35" s="17" t="n">
        <v>3</v>
      </c>
      <c r="AD35" s="17" t="n">
        <v>6</v>
      </c>
      <c r="AE35" s="17" t="n">
        <v>5</v>
      </c>
      <c r="AF35" s="17" t="n">
        <v>10</v>
      </c>
      <c r="AG35" s="17" t="n">
        <v>4</v>
      </c>
      <c r="AH35" s="17" t="n">
        <v>4</v>
      </c>
      <c r="AI35" s="17" t="n">
        <v>6</v>
      </c>
      <c r="AJ35" s="17" t="n">
        <v>6</v>
      </c>
      <c r="AK35" s="17" t="n">
        <v>5</v>
      </c>
      <c r="AL35" s="17" t="n">
        <v>5</v>
      </c>
      <c r="AM35" s="17" t="n">
        <v>4</v>
      </c>
      <c r="AN35" s="17" t="n">
        <v>6</v>
      </c>
      <c r="AO35" s="17" t="n">
        <v>4</v>
      </c>
      <c r="AP35" s="17" t="n">
        <v>6</v>
      </c>
      <c r="AQ35" s="17" t="n">
        <v>4</v>
      </c>
      <c r="AR35" s="17" t="n">
        <v>4</v>
      </c>
      <c r="AS35" s="17" t="n">
        <v>5</v>
      </c>
      <c r="AT35" s="8">
        <f>SUM(AB35:AS35)</f>
        <v/>
      </c>
      <c r="AU35" s="8">
        <f>AU11</f>
        <v/>
      </c>
      <c r="AV35" s="8">
        <f>AT35-AU35</f>
        <v/>
      </c>
      <c r="AW35" s="8">
        <f>MAX(0,25-AV35)*1.0</f>
        <v/>
      </c>
      <c r="AX35" s="17" t="n">
        <v>5</v>
      </c>
      <c r="AY35" s="17" t="n">
        <v>5</v>
      </c>
      <c r="AZ35" s="17" t="n">
        <v>5</v>
      </c>
      <c r="BA35" s="17" t="n">
        <v>4</v>
      </c>
      <c r="BB35" s="17" t="n">
        <v>4</v>
      </c>
      <c r="BC35" s="17" t="n">
        <v>5</v>
      </c>
      <c r="BD35" s="17" t="n">
        <v>5</v>
      </c>
      <c r="BE35" s="17" t="n">
        <v>6</v>
      </c>
      <c r="BF35" s="17" t="n">
        <v>5</v>
      </c>
      <c r="BG35" s="17" t="n">
        <v>5</v>
      </c>
      <c r="BH35" s="17" t="n">
        <v>6</v>
      </c>
      <c r="BI35" s="17" t="n">
        <v>4</v>
      </c>
      <c r="BJ35" s="17" t="n">
        <v>6</v>
      </c>
      <c r="BK35" s="17" t="n">
        <v>5</v>
      </c>
      <c r="BL35" s="17" t="n">
        <v>5</v>
      </c>
      <c r="BM35" s="17" t="n">
        <v>5</v>
      </c>
      <c r="BN35" s="17" t="n">
        <v>4</v>
      </c>
      <c r="BO35" s="17" t="n">
        <v>5</v>
      </c>
      <c r="BP35" s="8">
        <f>SUM(AX35:BO35)</f>
        <v/>
      </c>
      <c r="BQ35" s="8">
        <f>BQ11</f>
        <v/>
      </c>
      <c r="BR35" s="8">
        <f>BP35-BQ35</f>
        <v/>
      </c>
      <c r="BS35" s="8">
        <f>MAX(0,25-BR35)*1.0</f>
        <v/>
      </c>
      <c r="BT35" s="18">
        <f>AA35+AW35+BS35</f>
        <v/>
      </c>
    </row>
    <row r="36">
      <c r="A36" s="8" t="n">
        <v>24</v>
      </c>
      <c r="B36" t="inlineStr">
        <is>
          <t>Madalena Figueiredo</t>
        </is>
      </c>
      <c r="C36" s="8" t="inlineStr">
        <is>
          <t>52011</t>
        </is>
      </c>
      <c r="D36" t="inlineStr">
        <is>
          <t>Belas</t>
        </is>
      </c>
      <c r="E36" s="8" t="n">
        <v>8.800000000000001</v>
      </c>
      <c r="F36" s="17" t="n">
        <v>6</v>
      </c>
      <c r="G36" s="17" t="n">
        <v>5</v>
      </c>
      <c r="H36" s="17" t="n">
        <v>6</v>
      </c>
      <c r="I36" s="17" t="n">
        <v>4</v>
      </c>
      <c r="J36" s="17" t="n">
        <v>4</v>
      </c>
      <c r="K36" s="17" t="n">
        <v>5</v>
      </c>
      <c r="L36" s="17" t="n">
        <v>4</v>
      </c>
      <c r="M36" s="17" t="n">
        <v>7</v>
      </c>
      <c r="N36" s="17" t="n">
        <v>7</v>
      </c>
      <c r="O36" s="17" t="n">
        <v>6</v>
      </c>
      <c r="P36" s="17" t="n">
        <v>6</v>
      </c>
      <c r="Q36" s="17" t="n">
        <v>4</v>
      </c>
      <c r="R36" s="17" t="n">
        <v>5</v>
      </c>
      <c r="S36" s="17" t="n">
        <v>6</v>
      </c>
      <c r="T36" s="17" t="n">
        <v>8</v>
      </c>
      <c r="U36" s="17" t="n">
        <v>5</v>
      </c>
      <c r="V36" s="17" t="n">
        <v>3</v>
      </c>
      <c r="W36" s="17" t="n">
        <v>5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7" t="n">
        <v>7</v>
      </c>
      <c r="AC36" s="17" t="n">
        <v>3</v>
      </c>
      <c r="AD36" s="17" t="n">
        <v>5</v>
      </c>
      <c r="AE36" s="17" t="n">
        <v>4</v>
      </c>
      <c r="AF36" s="17" t="n">
        <v>5</v>
      </c>
      <c r="AG36" s="17" t="n">
        <v>5</v>
      </c>
      <c r="AH36" s="17" t="n">
        <v>5</v>
      </c>
      <c r="AI36" s="17" t="n">
        <v>6</v>
      </c>
      <c r="AJ36" s="17" t="n">
        <v>5</v>
      </c>
      <c r="AK36" s="17" t="n">
        <v>7</v>
      </c>
      <c r="AL36" s="17" t="n">
        <v>6</v>
      </c>
      <c r="AM36" s="17" t="n">
        <v>3</v>
      </c>
      <c r="AN36" s="17" t="n">
        <v>5</v>
      </c>
      <c r="AO36" s="17" t="n">
        <v>4</v>
      </c>
      <c r="AP36" s="17" t="n">
        <v>8</v>
      </c>
      <c r="AQ36" s="17" t="n">
        <v>6</v>
      </c>
      <c r="AR36" s="17" t="n">
        <v>4</v>
      </c>
      <c r="AS36" s="17" t="n">
        <v>5</v>
      </c>
      <c r="AT36" s="8">
        <f>SUM(AB36:AS36)</f>
        <v/>
      </c>
      <c r="AU36" s="8">
        <f>AU11</f>
        <v/>
      </c>
      <c r="AV36" s="8">
        <f>AT36-AU36</f>
        <v/>
      </c>
      <c r="AW36" s="8">
        <f>MAX(0,25-AV36)*1.0</f>
        <v/>
      </c>
      <c r="AX36" s="17" t="n">
        <v>6</v>
      </c>
      <c r="AY36" s="17" t="n">
        <v>4</v>
      </c>
      <c r="AZ36" s="17" t="n">
        <v>5</v>
      </c>
      <c r="BA36" s="17" t="n">
        <v>3</v>
      </c>
      <c r="BB36" s="17" t="n">
        <v>4</v>
      </c>
      <c r="BC36" s="17" t="n">
        <v>4</v>
      </c>
      <c r="BD36" s="17" t="n">
        <v>4</v>
      </c>
      <c r="BE36" s="17" t="n">
        <v>5</v>
      </c>
      <c r="BF36" s="17" t="n">
        <v>6</v>
      </c>
      <c r="BG36" s="17" t="n">
        <v>7</v>
      </c>
      <c r="BH36" s="17" t="n">
        <v>5</v>
      </c>
      <c r="BI36" s="17" t="n">
        <v>3</v>
      </c>
      <c r="BJ36" s="17" t="n">
        <v>6</v>
      </c>
      <c r="BK36" s="17" t="n">
        <v>4</v>
      </c>
      <c r="BL36" s="17" t="n">
        <v>7</v>
      </c>
      <c r="BM36" s="17" t="n">
        <v>4</v>
      </c>
      <c r="BN36" s="17" t="n">
        <v>3</v>
      </c>
      <c r="BO36" s="17" t="n">
        <v>5</v>
      </c>
      <c r="BP36" s="8">
        <f>SUM(AX36:BO36)</f>
        <v/>
      </c>
      <c r="BQ36" s="8">
        <f>BQ11</f>
        <v/>
      </c>
      <c r="BR36" s="8">
        <f>BP36-BQ36</f>
        <v/>
      </c>
      <c r="BS36" s="8">
        <f>MAX(0,25-BR36)*1.0</f>
        <v/>
      </c>
      <c r="BT36" s="18">
        <f>AA36+AW36+BS36</f>
        <v/>
      </c>
    </row>
    <row r="37">
      <c r="A37" s="8" t="n">
        <v>25</v>
      </c>
      <c r="B37" t="inlineStr">
        <is>
          <t>Ethan Van Vuuren Maciel</t>
        </is>
      </c>
      <c r="C37" s="8" t="inlineStr">
        <is>
          <t>56765</t>
        </is>
      </c>
      <c r="D37" t="inlineStr">
        <is>
          <t>Vila Sol</t>
        </is>
      </c>
      <c r="E37" s="8" t="n">
        <v>22.7</v>
      </c>
      <c r="F37" s="17" t="n">
        <v>6</v>
      </c>
      <c r="G37" s="17" t="n">
        <v>5</v>
      </c>
      <c r="H37" s="17" t="n">
        <v>5</v>
      </c>
      <c r="I37" s="17" t="n">
        <v>5</v>
      </c>
      <c r="J37" s="17" t="n">
        <v>5</v>
      </c>
      <c r="K37" s="17" t="n">
        <v>3</v>
      </c>
      <c r="L37" s="17" t="n">
        <v>5</v>
      </c>
      <c r="M37" s="17" t="n">
        <v>6</v>
      </c>
      <c r="N37" s="17" t="n">
        <v>6</v>
      </c>
      <c r="O37" s="17" t="n">
        <v>8</v>
      </c>
      <c r="P37" s="17" t="n">
        <v>4</v>
      </c>
      <c r="Q37" s="17" t="n">
        <v>4</v>
      </c>
      <c r="R37" s="17" t="n">
        <v>7</v>
      </c>
      <c r="S37" s="17" t="n">
        <v>5</v>
      </c>
      <c r="T37" s="17" t="n">
        <v>8</v>
      </c>
      <c r="U37" s="17" t="n">
        <v>5</v>
      </c>
      <c r="V37" s="17" t="n">
        <v>5</v>
      </c>
      <c r="W37" s="17" t="n">
        <v>5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7" t="n">
        <v>6</v>
      </c>
      <c r="AC37" s="17" t="n">
        <v>4</v>
      </c>
      <c r="AD37" s="17" t="n">
        <v>6</v>
      </c>
      <c r="AE37" s="17" t="n">
        <v>4</v>
      </c>
      <c r="AF37" s="17" t="n">
        <v>4</v>
      </c>
      <c r="AG37" s="17" t="n">
        <v>6</v>
      </c>
      <c r="AH37" s="17" t="n">
        <v>5</v>
      </c>
      <c r="AI37" s="17" t="n">
        <v>6</v>
      </c>
      <c r="AJ37" s="17" t="n">
        <v>5</v>
      </c>
      <c r="AK37" s="17" t="n">
        <v>8</v>
      </c>
      <c r="AL37" s="17" t="n">
        <v>8</v>
      </c>
      <c r="AM37" s="17" t="n">
        <v>5</v>
      </c>
      <c r="AN37" s="17" t="n">
        <v>6</v>
      </c>
      <c r="AO37" s="17" t="n">
        <v>5</v>
      </c>
      <c r="AP37" s="17" t="n">
        <v>6</v>
      </c>
      <c r="AQ37" s="17" t="n">
        <v>5</v>
      </c>
      <c r="AR37" s="17" t="n">
        <v>5</v>
      </c>
      <c r="AS37" s="17" t="n">
        <v>8</v>
      </c>
      <c r="AT37" s="8">
        <f>SUM(AB37:AS37)</f>
        <v/>
      </c>
      <c r="AU37" s="8">
        <f>AU11</f>
        <v/>
      </c>
      <c r="AV37" s="8">
        <f>AT37-AU37</f>
        <v/>
      </c>
      <c r="AW37" s="8">
        <f>MAX(0,25-AV37)*1.0</f>
        <v/>
      </c>
      <c r="AX37" s="17" t="n">
        <v>5</v>
      </c>
      <c r="AY37" s="17" t="n">
        <v>4</v>
      </c>
      <c r="AZ37" s="17" t="n">
        <v>6</v>
      </c>
      <c r="BA37" s="17" t="n">
        <v>4</v>
      </c>
      <c r="BB37" s="17" t="n">
        <v>5</v>
      </c>
      <c r="BC37" s="17" t="n">
        <v>4</v>
      </c>
      <c r="BD37" s="17" t="n">
        <v>5</v>
      </c>
      <c r="BE37" s="17" t="n">
        <v>5</v>
      </c>
      <c r="BF37" s="17" t="n">
        <v>7</v>
      </c>
      <c r="BG37" s="17" t="n">
        <v>6</v>
      </c>
      <c r="BH37" s="17" t="n">
        <v>6</v>
      </c>
      <c r="BI37" s="17" t="n">
        <v>2</v>
      </c>
      <c r="BJ37" s="17" t="n">
        <v>8</v>
      </c>
      <c r="BK37" s="17" t="n">
        <v>5</v>
      </c>
      <c r="BL37" s="17" t="n">
        <v>6</v>
      </c>
      <c r="BM37" s="17" t="n">
        <v>6</v>
      </c>
      <c r="BN37" s="17" t="n">
        <v>3</v>
      </c>
      <c r="BO37" s="17" t="n">
        <v>5</v>
      </c>
      <c r="BP37" s="8">
        <f>SUM(AX37:BO37)</f>
        <v/>
      </c>
      <c r="BQ37" s="8">
        <f>BQ11</f>
        <v/>
      </c>
      <c r="BR37" s="8">
        <f>BP37-BQ37</f>
        <v/>
      </c>
      <c r="BS37" s="8">
        <f>MAX(0,25-BR37)*1.0</f>
        <v/>
      </c>
      <c r="BT37" s="18">
        <f>AA37+AW37+BS37</f>
        <v/>
      </c>
    </row>
    <row r="38">
      <c r="A38" s="8" t="n">
        <v>26</v>
      </c>
      <c r="B38" t="inlineStr">
        <is>
          <t>Ethan Hutchinson</t>
        </is>
      </c>
      <c r="C38" s="8" t="inlineStr">
        <is>
          <t>48990</t>
        </is>
      </c>
      <c r="D38" t="inlineStr">
        <is>
          <t>Assoc. Qta.Lago</t>
        </is>
      </c>
      <c r="E38" s="8" t="n">
        <v>10.3</v>
      </c>
      <c r="F38" s="17" t="n">
        <v>8</v>
      </c>
      <c r="G38" s="17" t="n">
        <v>4</v>
      </c>
      <c r="H38" s="17" t="n">
        <v>6</v>
      </c>
      <c r="I38" s="17" t="n">
        <v>4</v>
      </c>
      <c r="J38" s="17" t="n">
        <v>4</v>
      </c>
      <c r="K38" s="17" t="n">
        <v>4</v>
      </c>
      <c r="L38" s="17" t="n">
        <v>5</v>
      </c>
      <c r="M38" s="17" t="n">
        <v>6</v>
      </c>
      <c r="N38" s="17" t="n">
        <v>5</v>
      </c>
      <c r="O38" s="17" t="n">
        <v>7</v>
      </c>
      <c r="P38" s="17" t="n">
        <v>5</v>
      </c>
      <c r="Q38" s="17" t="n">
        <v>6</v>
      </c>
      <c r="R38" s="17" t="n">
        <v>5</v>
      </c>
      <c r="S38" s="17" t="n">
        <v>10</v>
      </c>
      <c r="T38" s="17" t="n">
        <v>7</v>
      </c>
      <c r="U38" s="17" t="n">
        <v>6</v>
      </c>
      <c r="V38" s="17" t="n">
        <v>3</v>
      </c>
      <c r="W38" s="17" t="n">
        <v>6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7" t="n">
        <v>5</v>
      </c>
      <c r="AC38" s="17" t="n">
        <v>4</v>
      </c>
      <c r="AD38" s="17" t="n">
        <v>5</v>
      </c>
      <c r="AE38" s="17" t="n">
        <v>4</v>
      </c>
      <c r="AF38" s="17" t="n">
        <v>3</v>
      </c>
      <c r="AG38" s="17" t="n">
        <v>5</v>
      </c>
      <c r="AH38" s="17" t="n">
        <v>5</v>
      </c>
      <c r="AI38" s="17" t="n">
        <v>6</v>
      </c>
      <c r="AJ38" s="17" t="n">
        <v>5</v>
      </c>
      <c r="AK38" s="17" t="n">
        <v>5</v>
      </c>
      <c r="AL38" s="17" t="n">
        <v>5</v>
      </c>
      <c r="AM38" s="17" t="n">
        <v>3</v>
      </c>
      <c r="AN38" s="17" t="n">
        <v>4</v>
      </c>
      <c r="AO38" s="17" t="n">
        <v>4</v>
      </c>
      <c r="AP38" s="17" t="n">
        <v>5</v>
      </c>
      <c r="AQ38" s="17" t="n">
        <v>4</v>
      </c>
      <c r="AR38" s="17" t="n">
        <v>6</v>
      </c>
      <c r="AS38" s="17" t="n">
        <v>7</v>
      </c>
      <c r="AT38" s="8">
        <f>SUM(AB38:AS38)</f>
        <v/>
      </c>
      <c r="AU38" s="8">
        <f>AU11</f>
        <v/>
      </c>
      <c r="AV38" s="8">
        <f>AT38-AU38</f>
        <v/>
      </c>
      <c r="AW38" s="8">
        <f>MAX(0,25-AV38)*1.0</f>
        <v/>
      </c>
      <c r="AX38" s="17" t="n">
        <v>6</v>
      </c>
      <c r="AY38" s="17" t="n">
        <v>3</v>
      </c>
      <c r="AZ38" s="17" t="n">
        <v>4</v>
      </c>
      <c r="BA38" s="17" t="n">
        <v>2</v>
      </c>
      <c r="BB38" s="17" t="n">
        <v>4</v>
      </c>
      <c r="BC38" s="17" t="n">
        <v>11</v>
      </c>
      <c r="BD38" s="17" t="n">
        <v>6</v>
      </c>
      <c r="BE38" s="17" t="n">
        <v>8</v>
      </c>
      <c r="BF38" s="17" t="n">
        <v>5</v>
      </c>
      <c r="BG38" s="17" t="n">
        <v>7</v>
      </c>
      <c r="BH38" s="17" t="n">
        <v>4</v>
      </c>
      <c r="BI38" s="17" t="n">
        <v>2</v>
      </c>
      <c r="BJ38" s="17" t="n">
        <v>7</v>
      </c>
      <c r="BK38" s="17" t="n">
        <v>4</v>
      </c>
      <c r="BL38" s="17" t="n">
        <v>5</v>
      </c>
      <c r="BM38" s="17" t="n">
        <v>4</v>
      </c>
      <c r="BN38" s="17" t="n">
        <v>4</v>
      </c>
      <c r="BO38" s="17" t="n">
        <v>5</v>
      </c>
      <c r="BP38" s="8">
        <f>SUM(AX38:BO38)</f>
        <v/>
      </c>
      <c r="BQ38" s="8">
        <f>BQ11</f>
        <v/>
      </c>
      <c r="BR38" s="8">
        <f>BP38-BQ38</f>
        <v/>
      </c>
      <c r="BS38" s="8">
        <f>MAX(0,25-BR38)*1.0</f>
        <v/>
      </c>
      <c r="BT38" s="18">
        <f>AA38+AW38+BS38</f>
        <v/>
      </c>
    </row>
    <row r="39">
      <c r="A39" s="8" t="inlineStr">
        <is>
          <t>NS</t>
        </is>
      </c>
      <c r="B39" t="inlineStr">
        <is>
          <t>Javier Cobiella</t>
        </is>
      </c>
      <c r="C39" s="8" t="inlineStr"/>
      <c r="D39" t="inlineStr">
        <is>
          <t>Internacional</t>
        </is>
      </c>
      <c r="E39" s="8" t="n">
        <v>-3.3</v>
      </c>
      <c r="AA39" s="8" t="n">
        <v>0</v>
      </c>
      <c r="AW39" s="8" t="n">
        <v>0</v>
      </c>
      <c r="BS39" s="8" t="n">
        <v>0</v>
      </c>
      <c r="BT39" s="18">
        <f>AA39+AW39+BS39</f>
        <v/>
      </c>
    </row>
  </sheetData>
  <mergeCells count="1">
    <mergeCell ref="A1:H1"/>
  </mergeCells>
  <conditionalFormatting sqref="F13:F39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39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39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39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39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39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39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39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39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39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39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39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39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39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39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39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39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39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39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39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39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39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39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39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39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39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39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39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39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39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39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39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39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39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39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39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conditionalFormatting sqref="AX13:AX39">
    <cfRule type="expression" priority="217" dxfId="0">
      <formula>AND(ISNUMBER(AX13),AX13&lt;=$AX$11-2,AX13&gt;0)</formula>
    </cfRule>
    <cfRule type="expression" priority="218" dxfId="1">
      <formula>AND(ISNUMBER(AX13),AX13=$AX$11-1)</formula>
    </cfRule>
    <cfRule type="expression" priority="219" dxfId="2">
      <formula>AND(ISNUMBER(AX13),AX13=$AX$11+1)</formula>
    </cfRule>
    <cfRule type="expression" priority="220" dxfId="3">
      <formula>AND(ISNUMBER(AX13),AX13=$AX$11+2)</formula>
    </cfRule>
    <cfRule type="expression" priority="221" dxfId="4">
      <formula>AND(ISNUMBER(AX13),AX13=$AX$11+3)</formula>
    </cfRule>
    <cfRule type="expression" priority="222" dxfId="5">
      <formula>AND(ISNUMBER(AX13),AX13&gt;=$AX$11+4)</formula>
    </cfRule>
  </conditionalFormatting>
  <conditionalFormatting sqref="AY13:AY39">
    <cfRule type="expression" priority="223" dxfId="0">
      <formula>AND(ISNUMBER(AY13),AY13&lt;=$AY$11-2,AY13&gt;0)</formula>
    </cfRule>
    <cfRule type="expression" priority="224" dxfId="1">
      <formula>AND(ISNUMBER(AY13),AY13=$AY$11-1)</formula>
    </cfRule>
    <cfRule type="expression" priority="225" dxfId="2">
      <formula>AND(ISNUMBER(AY13),AY13=$AY$11+1)</formula>
    </cfRule>
    <cfRule type="expression" priority="226" dxfId="3">
      <formula>AND(ISNUMBER(AY13),AY13=$AY$11+2)</formula>
    </cfRule>
    <cfRule type="expression" priority="227" dxfId="4">
      <formula>AND(ISNUMBER(AY13),AY13=$AY$11+3)</formula>
    </cfRule>
    <cfRule type="expression" priority="228" dxfId="5">
      <formula>AND(ISNUMBER(AY13),AY13&gt;=$AY$11+4)</formula>
    </cfRule>
  </conditionalFormatting>
  <conditionalFormatting sqref="AZ13:AZ39">
    <cfRule type="expression" priority="229" dxfId="0">
      <formula>AND(ISNUMBER(AZ13),AZ13&lt;=$AZ$11-2,AZ13&gt;0)</formula>
    </cfRule>
    <cfRule type="expression" priority="230" dxfId="1">
      <formula>AND(ISNUMBER(AZ13),AZ13=$AZ$11-1)</formula>
    </cfRule>
    <cfRule type="expression" priority="231" dxfId="2">
      <formula>AND(ISNUMBER(AZ13),AZ13=$AZ$11+1)</formula>
    </cfRule>
    <cfRule type="expression" priority="232" dxfId="3">
      <formula>AND(ISNUMBER(AZ13),AZ13=$AZ$11+2)</formula>
    </cfRule>
    <cfRule type="expression" priority="233" dxfId="4">
      <formula>AND(ISNUMBER(AZ13),AZ13=$AZ$11+3)</formula>
    </cfRule>
    <cfRule type="expression" priority="234" dxfId="5">
      <formula>AND(ISNUMBER(AZ13),AZ13&gt;=$AZ$11+4)</formula>
    </cfRule>
  </conditionalFormatting>
  <conditionalFormatting sqref="BA13:BA39">
    <cfRule type="expression" priority="235" dxfId="0">
      <formula>AND(ISNUMBER(BA13),BA13&lt;=$BA$11-2,BA13&gt;0)</formula>
    </cfRule>
    <cfRule type="expression" priority="236" dxfId="1">
      <formula>AND(ISNUMBER(BA13),BA13=$BA$11-1)</formula>
    </cfRule>
    <cfRule type="expression" priority="237" dxfId="2">
      <formula>AND(ISNUMBER(BA13),BA13=$BA$11+1)</formula>
    </cfRule>
    <cfRule type="expression" priority="238" dxfId="3">
      <formula>AND(ISNUMBER(BA13),BA13=$BA$11+2)</formula>
    </cfRule>
    <cfRule type="expression" priority="239" dxfId="4">
      <formula>AND(ISNUMBER(BA13),BA13=$BA$11+3)</formula>
    </cfRule>
    <cfRule type="expression" priority="240" dxfId="5">
      <formula>AND(ISNUMBER(BA13),BA13&gt;=$BA$11+4)</formula>
    </cfRule>
  </conditionalFormatting>
  <conditionalFormatting sqref="BB13:BB39">
    <cfRule type="expression" priority="241" dxfId="0">
      <formula>AND(ISNUMBER(BB13),BB13&lt;=$BB$11-2,BB13&gt;0)</formula>
    </cfRule>
    <cfRule type="expression" priority="242" dxfId="1">
      <formula>AND(ISNUMBER(BB13),BB13=$BB$11-1)</formula>
    </cfRule>
    <cfRule type="expression" priority="243" dxfId="2">
      <formula>AND(ISNUMBER(BB13),BB13=$BB$11+1)</formula>
    </cfRule>
    <cfRule type="expression" priority="244" dxfId="3">
      <formula>AND(ISNUMBER(BB13),BB13=$BB$11+2)</formula>
    </cfRule>
    <cfRule type="expression" priority="245" dxfId="4">
      <formula>AND(ISNUMBER(BB13),BB13=$BB$11+3)</formula>
    </cfRule>
    <cfRule type="expression" priority="246" dxfId="5">
      <formula>AND(ISNUMBER(BB13),BB13&gt;=$BB$11+4)</formula>
    </cfRule>
  </conditionalFormatting>
  <conditionalFormatting sqref="BC13:BC39">
    <cfRule type="expression" priority="247" dxfId="0">
      <formula>AND(ISNUMBER(BC13),BC13&lt;=$BC$11-2,BC13&gt;0)</formula>
    </cfRule>
    <cfRule type="expression" priority="248" dxfId="1">
      <formula>AND(ISNUMBER(BC13),BC13=$BC$11-1)</formula>
    </cfRule>
    <cfRule type="expression" priority="249" dxfId="2">
      <formula>AND(ISNUMBER(BC13),BC13=$BC$11+1)</formula>
    </cfRule>
    <cfRule type="expression" priority="250" dxfId="3">
      <formula>AND(ISNUMBER(BC13),BC13=$BC$11+2)</formula>
    </cfRule>
    <cfRule type="expression" priority="251" dxfId="4">
      <formula>AND(ISNUMBER(BC13),BC13=$BC$11+3)</formula>
    </cfRule>
    <cfRule type="expression" priority="252" dxfId="5">
      <formula>AND(ISNUMBER(BC13),BC13&gt;=$BC$11+4)</formula>
    </cfRule>
  </conditionalFormatting>
  <conditionalFormatting sqref="BD13:BD39">
    <cfRule type="expression" priority="253" dxfId="0">
      <formula>AND(ISNUMBER(BD13),BD13&lt;=$BD$11-2,BD13&gt;0)</formula>
    </cfRule>
    <cfRule type="expression" priority="254" dxfId="1">
      <formula>AND(ISNUMBER(BD13),BD13=$BD$11-1)</formula>
    </cfRule>
    <cfRule type="expression" priority="255" dxfId="2">
      <formula>AND(ISNUMBER(BD13),BD13=$BD$11+1)</formula>
    </cfRule>
    <cfRule type="expression" priority="256" dxfId="3">
      <formula>AND(ISNUMBER(BD13),BD13=$BD$11+2)</formula>
    </cfRule>
    <cfRule type="expression" priority="257" dxfId="4">
      <formula>AND(ISNUMBER(BD13),BD13=$BD$11+3)</formula>
    </cfRule>
    <cfRule type="expression" priority="258" dxfId="5">
      <formula>AND(ISNUMBER(BD13),BD13&gt;=$BD$11+4)</formula>
    </cfRule>
  </conditionalFormatting>
  <conditionalFormatting sqref="BE13:BE39">
    <cfRule type="expression" priority="259" dxfId="0">
      <formula>AND(ISNUMBER(BE13),BE13&lt;=$BE$11-2,BE13&gt;0)</formula>
    </cfRule>
    <cfRule type="expression" priority="260" dxfId="1">
      <formula>AND(ISNUMBER(BE13),BE13=$BE$11-1)</formula>
    </cfRule>
    <cfRule type="expression" priority="261" dxfId="2">
      <formula>AND(ISNUMBER(BE13),BE13=$BE$11+1)</formula>
    </cfRule>
    <cfRule type="expression" priority="262" dxfId="3">
      <formula>AND(ISNUMBER(BE13),BE13=$BE$11+2)</formula>
    </cfRule>
    <cfRule type="expression" priority="263" dxfId="4">
      <formula>AND(ISNUMBER(BE13),BE13=$BE$11+3)</formula>
    </cfRule>
    <cfRule type="expression" priority="264" dxfId="5">
      <formula>AND(ISNUMBER(BE13),BE13&gt;=$BE$11+4)</formula>
    </cfRule>
  </conditionalFormatting>
  <conditionalFormatting sqref="BF13:BF39">
    <cfRule type="expression" priority="265" dxfId="0">
      <formula>AND(ISNUMBER(BF13),BF13&lt;=$BF$11-2,BF13&gt;0)</formula>
    </cfRule>
    <cfRule type="expression" priority="266" dxfId="1">
      <formula>AND(ISNUMBER(BF13),BF13=$BF$11-1)</formula>
    </cfRule>
    <cfRule type="expression" priority="267" dxfId="2">
      <formula>AND(ISNUMBER(BF13),BF13=$BF$11+1)</formula>
    </cfRule>
    <cfRule type="expression" priority="268" dxfId="3">
      <formula>AND(ISNUMBER(BF13),BF13=$BF$11+2)</formula>
    </cfRule>
    <cfRule type="expression" priority="269" dxfId="4">
      <formula>AND(ISNUMBER(BF13),BF13=$BF$11+3)</formula>
    </cfRule>
    <cfRule type="expression" priority="270" dxfId="5">
      <formula>AND(ISNUMBER(BF13),BF13&gt;=$BF$11+4)</formula>
    </cfRule>
  </conditionalFormatting>
  <conditionalFormatting sqref="BG13:BG39">
    <cfRule type="expression" priority="271" dxfId="0">
      <formula>AND(ISNUMBER(BG13),BG13&lt;=$BG$11-2,BG13&gt;0)</formula>
    </cfRule>
    <cfRule type="expression" priority="272" dxfId="1">
      <formula>AND(ISNUMBER(BG13),BG13=$BG$11-1)</formula>
    </cfRule>
    <cfRule type="expression" priority="273" dxfId="2">
      <formula>AND(ISNUMBER(BG13),BG13=$BG$11+1)</formula>
    </cfRule>
    <cfRule type="expression" priority="274" dxfId="3">
      <formula>AND(ISNUMBER(BG13),BG13=$BG$11+2)</formula>
    </cfRule>
    <cfRule type="expression" priority="275" dxfId="4">
      <formula>AND(ISNUMBER(BG13),BG13=$BG$11+3)</formula>
    </cfRule>
    <cfRule type="expression" priority="276" dxfId="5">
      <formula>AND(ISNUMBER(BG13),BG13&gt;=$BG$11+4)</formula>
    </cfRule>
  </conditionalFormatting>
  <conditionalFormatting sqref="BH13:BH39">
    <cfRule type="expression" priority="277" dxfId="0">
      <formula>AND(ISNUMBER(BH13),BH13&lt;=$BH$11-2,BH13&gt;0)</formula>
    </cfRule>
    <cfRule type="expression" priority="278" dxfId="1">
      <formula>AND(ISNUMBER(BH13),BH13=$BH$11-1)</formula>
    </cfRule>
    <cfRule type="expression" priority="279" dxfId="2">
      <formula>AND(ISNUMBER(BH13),BH13=$BH$11+1)</formula>
    </cfRule>
    <cfRule type="expression" priority="280" dxfId="3">
      <formula>AND(ISNUMBER(BH13),BH13=$BH$11+2)</formula>
    </cfRule>
    <cfRule type="expression" priority="281" dxfId="4">
      <formula>AND(ISNUMBER(BH13),BH13=$BH$11+3)</formula>
    </cfRule>
    <cfRule type="expression" priority="282" dxfId="5">
      <formula>AND(ISNUMBER(BH13),BH13&gt;=$BH$11+4)</formula>
    </cfRule>
  </conditionalFormatting>
  <conditionalFormatting sqref="BI13:BI39">
    <cfRule type="expression" priority="283" dxfId="0">
      <formula>AND(ISNUMBER(BI13),BI13&lt;=$BI$11-2,BI13&gt;0)</formula>
    </cfRule>
    <cfRule type="expression" priority="284" dxfId="1">
      <formula>AND(ISNUMBER(BI13),BI13=$BI$11-1)</formula>
    </cfRule>
    <cfRule type="expression" priority="285" dxfId="2">
      <formula>AND(ISNUMBER(BI13),BI13=$BI$11+1)</formula>
    </cfRule>
    <cfRule type="expression" priority="286" dxfId="3">
      <formula>AND(ISNUMBER(BI13),BI13=$BI$11+2)</formula>
    </cfRule>
    <cfRule type="expression" priority="287" dxfId="4">
      <formula>AND(ISNUMBER(BI13),BI13=$BI$11+3)</formula>
    </cfRule>
    <cfRule type="expression" priority="288" dxfId="5">
      <formula>AND(ISNUMBER(BI13),BI13&gt;=$BI$11+4)</formula>
    </cfRule>
  </conditionalFormatting>
  <conditionalFormatting sqref="BJ13:BJ39">
    <cfRule type="expression" priority="289" dxfId="0">
      <formula>AND(ISNUMBER(BJ13),BJ13&lt;=$BJ$11-2,BJ13&gt;0)</formula>
    </cfRule>
    <cfRule type="expression" priority="290" dxfId="1">
      <formula>AND(ISNUMBER(BJ13),BJ13=$BJ$11-1)</formula>
    </cfRule>
    <cfRule type="expression" priority="291" dxfId="2">
      <formula>AND(ISNUMBER(BJ13),BJ13=$BJ$11+1)</formula>
    </cfRule>
    <cfRule type="expression" priority="292" dxfId="3">
      <formula>AND(ISNUMBER(BJ13),BJ13=$BJ$11+2)</formula>
    </cfRule>
    <cfRule type="expression" priority="293" dxfId="4">
      <formula>AND(ISNUMBER(BJ13),BJ13=$BJ$11+3)</formula>
    </cfRule>
    <cfRule type="expression" priority="294" dxfId="5">
      <formula>AND(ISNUMBER(BJ13),BJ13&gt;=$BJ$11+4)</formula>
    </cfRule>
  </conditionalFormatting>
  <conditionalFormatting sqref="BK13:BK39">
    <cfRule type="expression" priority="295" dxfId="0">
      <formula>AND(ISNUMBER(BK13),BK13&lt;=$BK$11-2,BK13&gt;0)</formula>
    </cfRule>
    <cfRule type="expression" priority="296" dxfId="1">
      <formula>AND(ISNUMBER(BK13),BK13=$BK$11-1)</formula>
    </cfRule>
    <cfRule type="expression" priority="297" dxfId="2">
      <formula>AND(ISNUMBER(BK13),BK13=$BK$11+1)</formula>
    </cfRule>
    <cfRule type="expression" priority="298" dxfId="3">
      <formula>AND(ISNUMBER(BK13),BK13=$BK$11+2)</formula>
    </cfRule>
    <cfRule type="expression" priority="299" dxfId="4">
      <formula>AND(ISNUMBER(BK13),BK13=$BK$11+3)</formula>
    </cfRule>
    <cfRule type="expression" priority="300" dxfId="5">
      <formula>AND(ISNUMBER(BK13),BK13&gt;=$BK$11+4)</formula>
    </cfRule>
  </conditionalFormatting>
  <conditionalFormatting sqref="BL13:BL39">
    <cfRule type="expression" priority="301" dxfId="0">
      <formula>AND(ISNUMBER(BL13),BL13&lt;=$BL$11-2,BL13&gt;0)</formula>
    </cfRule>
    <cfRule type="expression" priority="302" dxfId="1">
      <formula>AND(ISNUMBER(BL13),BL13=$BL$11-1)</formula>
    </cfRule>
    <cfRule type="expression" priority="303" dxfId="2">
      <formula>AND(ISNUMBER(BL13),BL13=$BL$11+1)</formula>
    </cfRule>
    <cfRule type="expression" priority="304" dxfId="3">
      <formula>AND(ISNUMBER(BL13),BL13=$BL$11+2)</formula>
    </cfRule>
    <cfRule type="expression" priority="305" dxfId="4">
      <formula>AND(ISNUMBER(BL13),BL13=$BL$11+3)</formula>
    </cfRule>
    <cfRule type="expression" priority="306" dxfId="5">
      <formula>AND(ISNUMBER(BL13),BL13&gt;=$BL$11+4)</formula>
    </cfRule>
  </conditionalFormatting>
  <conditionalFormatting sqref="BM13:BM39">
    <cfRule type="expression" priority="307" dxfId="0">
      <formula>AND(ISNUMBER(BM13),BM13&lt;=$BM$11-2,BM13&gt;0)</formula>
    </cfRule>
    <cfRule type="expression" priority="308" dxfId="1">
      <formula>AND(ISNUMBER(BM13),BM13=$BM$11-1)</formula>
    </cfRule>
    <cfRule type="expression" priority="309" dxfId="2">
      <formula>AND(ISNUMBER(BM13),BM13=$BM$11+1)</formula>
    </cfRule>
    <cfRule type="expression" priority="310" dxfId="3">
      <formula>AND(ISNUMBER(BM13),BM13=$BM$11+2)</formula>
    </cfRule>
    <cfRule type="expression" priority="311" dxfId="4">
      <formula>AND(ISNUMBER(BM13),BM13=$BM$11+3)</formula>
    </cfRule>
    <cfRule type="expression" priority="312" dxfId="5">
      <formula>AND(ISNUMBER(BM13),BM13&gt;=$BM$11+4)</formula>
    </cfRule>
  </conditionalFormatting>
  <conditionalFormatting sqref="BN13:BN39">
    <cfRule type="expression" priority="313" dxfId="0">
      <formula>AND(ISNUMBER(BN13),BN13&lt;=$BN$11-2,BN13&gt;0)</formula>
    </cfRule>
    <cfRule type="expression" priority="314" dxfId="1">
      <formula>AND(ISNUMBER(BN13),BN13=$BN$11-1)</formula>
    </cfRule>
    <cfRule type="expression" priority="315" dxfId="2">
      <formula>AND(ISNUMBER(BN13),BN13=$BN$11+1)</formula>
    </cfRule>
    <cfRule type="expression" priority="316" dxfId="3">
      <formula>AND(ISNUMBER(BN13),BN13=$BN$11+2)</formula>
    </cfRule>
    <cfRule type="expression" priority="317" dxfId="4">
      <formula>AND(ISNUMBER(BN13),BN13=$BN$11+3)</formula>
    </cfRule>
    <cfRule type="expression" priority="318" dxfId="5">
      <formula>AND(ISNUMBER(BN13),BN13&gt;=$BN$11+4)</formula>
    </cfRule>
  </conditionalFormatting>
  <conditionalFormatting sqref="BO13:BO39">
    <cfRule type="expression" priority="319" dxfId="0">
      <formula>AND(ISNUMBER(BO13),BO13&lt;=$BO$11-2,BO13&gt;0)</formula>
    </cfRule>
    <cfRule type="expression" priority="320" dxfId="1">
      <formula>AND(ISNUMBER(BO13),BO13=$BO$11-1)</formula>
    </cfRule>
    <cfRule type="expression" priority="321" dxfId="2">
      <formula>AND(ISNUMBER(BO13),BO13=$BO$11+1)</formula>
    </cfRule>
    <cfRule type="expression" priority="322" dxfId="3">
      <formula>AND(ISNUMBER(BO13),BO13=$BO$11+2)</formula>
    </cfRule>
    <cfRule type="expression" priority="323" dxfId="4">
      <formula>AND(ISNUMBER(BO13),BO13=$BO$11+3)</formula>
    </cfRule>
    <cfRule type="expression" priority="324" dxfId="5">
      <formula>AND(ISNUMBER(BO13),BO13&gt;=$BO$11+4)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Greatgolf Junior Open U14</t>
        </is>
      </c>
    </row>
    <row r="2">
      <c r="A2" s="10" t="inlineStr">
        <is>
          <t>Data:</t>
        </is>
      </c>
      <c r="B2" t="inlineStr">
        <is>
          <t>2026-02-16</t>
        </is>
      </c>
    </row>
    <row r="3">
      <c r="A3" s="10" t="inlineStr">
        <is>
          <t>Campo:</t>
        </is>
      </c>
      <c r="B3" t="inlineStr">
        <is>
          <t>Vilamoura — Millennium</t>
        </is>
      </c>
    </row>
    <row r="4">
      <c r="A4" s="10" t="inlineStr">
        <is>
          <t>ccode/tcode:</t>
        </is>
      </c>
      <c r="B4" t="inlineStr">
        <is>
          <t>935/10295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https://scoring.datagolf.pt/pt/Classifications.aspx?ccode=935&amp;tcode=10295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GG_U14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4</v>
      </c>
      <c r="L11" s="14" t="n">
        <v>4</v>
      </c>
      <c r="M11" s="14" t="n">
        <v>5</v>
      </c>
      <c r="N11" s="14" t="n">
        <v>4</v>
      </c>
      <c r="O11" s="14" t="n">
        <v>5</v>
      </c>
      <c r="P11" s="14" t="n">
        <v>4</v>
      </c>
      <c r="Q11" s="14" t="n">
        <v>3</v>
      </c>
      <c r="R11" s="14" t="n">
        <v>4</v>
      </c>
      <c r="S11" s="14" t="n">
        <v>4</v>
      </c>
      <c r="T11" s="14" t="n">
        <v>5</v>
      </c>
      <c r="U11" s="14" t="n">
        <v>4</v>
      </c>
      <c r="V11" s="14" t="n">
        <v>3</v>
      </c>
      <c r="W11" s="14" t="n">
        <v>4</v>
      </c>
      <c r="Y11" s="15">
        <f>SUM(F11:W11)</f>
        <v/>
      </c>
      <c r="AB11" s="14" t="n">
        <v>5</v>
      </c>
      <c r="AC11" s="14" t="n">
        <v>3</v>
      </c>
      <c r="AD11" s="14" t="n">
        <v>4</v>
      </c>
      <c r="AE11" s="14" t="n">
        <v>3</v>
      </c>
      <c r="AF11" s="14" t="n">
        <v>4</v>
      </c>
      <c r="AG11" s="14" t="n">
        <v>4</v>
      </c>
      <c r="AH11" s="14" t="n">
        <v>4</v>
      </c>
      <c r="AI11" s="14" t="n">
        <v>5</v>
      </c>
      <c r="AJ11" s="14" t="n">
        <v>4</v>
      </c>
      <c r="AK11" s="14" t="n">
        <v>5</v>
      </c>
      <c r="AL11" s="14" t="n">
        <v>4</v>
      </c>
      <c r="AM11" s="14" t="n">
        <v>3</v>
      </c>
      <c r="AN11" s="14" t="n">
        <v>4</v>
      </c>
      <c r="AO11" s="14" t="n">
        <v>4</v>
      </c>
      <c r="AP11" s="14" t="n">
        <v>5</v>
      </c>
      <c r="AQ11" s="14" t="n">
        <v>4</v>
      </c>
      <c r="AR11" s="14" t="n">
        <v>3</v>
      </c>
      <c r="AS11" s="14" t="n">
        <v>4</v>
      </c>
      <c r="AU11" s="15">
        <f>SUM(AB11:AS11)</f>
        <v/>
      </c>
    </row>
    <row r="12">
      <c r="A12" s="13" t="inlineStr">
        <is>
          <t>—SI—</t>
        </is>
      </c>
      <c r="F12" s="16" t="n">
        <v>16</v>
      </c>
      <c r="G12" s="16" t="n">
        <v>12</v>
      </c>
      <c r="H12" s="16" t="n">
        <v>4</v>
      </c>
      <c r="I12" s="16" t="n">
        <v>6</v>
      </c>
      <c r="J12" s="16" t="n">
        <v>8</v>
      </c>
      <c r="K12" s="16" t="n">
        <v>18</v>
      </c>
      <c r="L12" s="16" t="n">
        <v>10</v>
      </c>
      <c r="M12" s="16" t="n">
        <v>14</v>
      </c>
      <c r="N12" s="16" t="n">
        <v>2</v>
      </c>
      <c r="O12" s="16" t="n">
        <v>17</v>
      </c>
      <c r="P12" s="16" t="n">
        <v>7</v>
      </c>
      <c r="Q12" s="16" t="n">
        <v>5</v>
      </c>
      <c r="R12" s="16" t="n">
        <v>1</v>
      </c>
      <c r="S12" s="16" t="n">
        <v>3</v>
      </c>
      <c r="T12" s="16" t="n">
        <v>13</v>
      </c>
      <c r="U12" s="16" t="n">
        <v>15</v>
      </c>
      <c r="V12" s="16" t="n">
        <v>11</v>
      </c>
      <c r="W12" s="16" t="n">
        <v>9</v>
      </c>
      <c r="AB12" s="16" t="n">
        <v>16</v>
      </c>
      <c r="AC12" s="16" t="n">
        <v>12</v>
      </c>
      <c r="AD12" s="16" t="n">
        <v>4</v>
      </c>
      <c r="AE12" s="16" t="n">
        <v>6</v>
      </c>
      <c r="AF12" s="16" t="n">
        <v>8</v>
      </c>
      <c r="AG12" s="16" t="n">
        <v>18</v>
      </c>
      <c r="AH12" s="16" t="n">
        <v>10</v>
      </c>
      <c r="AI12" s="16" t="n">
        <v>14</v>
      </c>
      <c r="AJ12" s="16" t="n">
        <v>2</v>
      </c>
      <c r="AK12" s="16" t="n">
        <v>17</v>
      </c>
      <c r="AL12" s="16" t="n">
        <v>7</v>
      </c>
      <c r="AM12" s="16" t="n">
        <v>5</v>
      </c>
      <c r="AN12" s="16" t="n">
        <v>1</v>
      </c>
      <c r="AO12" s="16" t="n">
        <v>3</v>
      </c>
      <c r="AP12" s="16" t="n">
        <v>13</v>
      </c>
      <c r="AQ12" s="16" t="n">
        <v>15</v>
      </c>
      <c r="AR12" s="16" t="n">
        <v>11</v>
      </c>
      <c r="AS12" s="16" t="n">
        <v>9</v>
      </c>
    </row>
    <row r="13">
      <c r="A13" s="8" t="n">
        <v>1</v>
      </c>
      <c r="B13" t="inlineStr">
        <is>
          <t>Nuno Palmares Jr.</t>
        </is>
      </c>
      <c r="C13" s="8" t="inlineStr">
        <is>
          <t>49124</t>
        </is>
      </c>
      <c r="D13" t="inlineStr">
        <is>
          <t>Estoril</t>
        </is>
      </c>
      <c r="E13" s="8" t="n">
        <v>4.4</v>
      </c>
      <c r="F13" s="17" t="n">
        <v>4</v>
      </c>
      <c r="G13" s="17" t="n">
        <v>3</v>
      </c>
      <c r="H13" s="17" t="n">
        <v>4</v>
      </c>
      <c r="I13" s="17" t="n">
        <v>3</v>
      </c>
      <c r="J13" s="17" t="n">
        <v>4</v>
      </c>
      <c r="K13" s="17" t="n">
        <v>2</v>
      </c>
      <c r="L13" s="17" t="n">
        <v>3</v>
      </c>
      <c r="M13" s="17" t="n">
        <v>5</v>
      </c>
      <c r="N13" s="17" t="n">
        <v>4</v>
      </c>
      <c r="O13" s="17" t="n">
        <v>5</v>
      </c>
      <c r="P13" s="17" t="n">
        <v>5</v>
      </c>
      <c r="Q13" s="17" t="n">
        <v>4</v>
      </c>
      <c r="R13" s="17" t="n">
        <v>5</v>
      </c>
      <c r="S13" s="17" t="n">
        <v>4</v>
      </c>
      <c r="T13" s="17" t="n">
        <v>6</v>
      </c>
      <c r="U13" s="17" t="n">
        <v>5</v>
      </c>
      <c r="V13" s="17" t="n">
        <v>3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5</v>
      </c>
      <c r="AC13" s="17" t="n">
        <v>3</v>
      </c>
      <c r="AD13" s="17" t="n">
        <v>4</v>
      </c>
      <c r="AE13" s="17" t="n">
        <v>3</v>
      </c>
      <c r="AF13" s="17" t="n">
        <v>5</v>
      </c>
      <c r="AG13" s="17" t="n">
        <v>5</v>
      </c>
      <c r="AH13" s="17" t="n">
        <v>4</v>
      </c>
      <c r="AI13" s="17" t="n">
        <v>5</v>
      </c>
      <c r="AJ13" s="17" t="n">
        <v>5</v>
      </c>
      <c r="AK13" s="17" t="n">
        <v>5</v>
      </c>
      <c r="AL13" s="17" t="n">
        <v>4</v>
      </c>
      <c r="AM13" s="17" t="n">
        <v>3</v>
      </c>
      <c r="AN13" s="17" t="n">
        <v>5</v>
      </c>
      <c r="AO13" s="17" t="n">
        <v>3</v>
      </c>
      <c r="AP13" s="17" t="n">
        <v>5</v>
      </c>
      <c r="AQ13" s="17" t="n">
        <v>6</v>
      </c>
      <c r="AR13" s="17" t="n">
        <v>5</v>
      </c>
      <c r="AS13" s="17" t="n">
        <v>4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João Rocha</t>
        </is>
      </c>
      <c r="C14" s="8" t="inlineStr">
        <is>
          <t>48297</t>
        </is>
      </c>
      <c r="D14" t="inlineStr">
        <is>
          <t>Estoril</t>
        </is>
      </c>
      <c r="E14" s="8" t="n">
        <v>4.3</v>
      </c>
      <c r="F14" s="17" t="n">
        <v>6</v>
      </c>
      <c r="G14" s="17" t="n">
        <v>4</v>
      </c>
      <c r="H14" s="17" t="n">
        <v>6</v>
      </c>
      <c r="I14" s="17" t="n">
        <v>3</v>
      </c>
      <c r="J14" s="17" t="n">
        <v>4</v>
      </c>
      <c r="K14" s="17" t="n">
        <v>3</v>
      </c>
      <c r="L14" s="17" t="n">
        <v>5</v>
      </c>
      <c r="M14" s="17" t="n">
        <v>5</v>
      </c>
      <c r="N14" s="17" t="n">
        <v>4</v>
      </c>
      <c r="O14" s="17" t="n">
        <v>5</v>
      </c>
      <c r="P14" s="17" t="n">
        <v>4</v>
      </c>
      <c r="Q14" s="17" t="n">
        <v>2</v>
      </c>
      <c r="R14" s="17" t="n">
        <v>5</v>
      </c>
      <c r="S14" s="17" t="n">
        <v>4</v>
      </c>
      <c r="T14" s="17" t="n">
        <v>6</v>
      </c>
      <c r="U14" s="17" t="n">
        <v>5</v>
      </c>
      <c r="V14" s="17" t="n">
        <v>3</v>
      </c>
      <c r="W14" s="17" t="n">
        <v>5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5</v>
      </c>
      <c r="AC14" s="17" t="n">
        <v>3</v>
      </c>
      <c r="AD14" s="17" t="n">
        <v>5</v>
      </c>
      <c r="AE14" s="17" t="n">
        <v>3</v>
      </c>
      <c r="AF14" s="17" t="n">
        <v>5</v>
      </c>
      <c r="AG14" s="17" t="n">
        <v>5</v>
      </c>
      <c r="AH14" s="17" t="n">
        <v>5</v>
      </c>
      <c r="AI14" s="17" t="n">
        <v>4</v>
      </c>
      <c r="AJ14" s="17" t="n">
        <v>4</v>
      </c>
      <c r="AK14" s="17" t="n">
        <v>6</v>
      </c>
      <c r="AL14" s="17" t="n">
        <v>3</v>
      </c>
      <c r="AM14" s="17" t="n">
        <v>3</v>
      </c>
      <c r="AN14" s="17" t="n">
        <v>5</v>
      </c>
      <c r="AO14" s="17" t="n">
        <v>7</v>
      </c>
      <c r="AP14" s="17" t="n">
        <v>6</v>
      </c>
      <c r="AQ14" s="17" t="n">
        <v>4</v>
      </c>
      <c r="AR14" s="17" t="n">
        <v>3</v>
      </c>
      <c r="AS14" s="17" t="n">
        <v>4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Tomás Lima Pinto</t>
        </is>
      </c>
      <c r="C15" s="8" t="inlineStr">
        <is>
          <t>46037</t>
        </is>
      </c>
      <c r="D15" t="inlineStr">
        <is>
          <t>Vilamoura, C. G</t>
        </is>
      </c>
      <c r="E15" s="8" t="n">
        <v>9.6</v>
      </c>
      <c r="F15" s="17" t="n">
        <v>4</v>
      </c>
      <c r="G15" s="17" t="n">
        <v>3</v>
      </c>
      <c r="H15" s="17" t="n">
        <v>5</v>
      </c>
      <c r="I15" s="17" t="n">
        <v>4</v>
      </c>
      <c r="J15" s="17" t="n">
        <v>4</v>
      </c>
      <c r="K15" s="17" t="n">
        <v>5</v>
      </c>
      <c r="L15" s="17" t="n">
        <v>5</v>
      </c>
      <c r="M15" s="17" t="n">
        <v>5</v>
      </c>
      <c r="N15" s="17" t="n">
        <v>5</v>
      </c>
      <c r="O15" s="17" t="n">
        <v>8</v>
      </c>
      <c r="P15" s="17" t="n">
        <v>5</v>
      </c>
      <c r="Q15" s="17" t="n">
        <v>3</v>
      </c>
      <c r="R15" s="17" t="n">
        <v>4</v>
      </c>
      <c r="S15" s="17" t="n">
        <v>4</v>
      </c>
      <c r="T15" s="17" t="n">
        <v>5</v>
      </c>
      <c r="U15" s="17" t="n">
        <v>4</v>
      </c>
      <c r="V15" s="17" t="n">
        <v>4</v>
      </c>
      <c r="W15" s="17" t="n">
        <v>5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5</v>
      </c>
      <c r="AC15" s="17" t="n">
        <v>4</v>
      </c>
      <c r="AD15" s="17" t="n">
        <v>4</v>
      </c>
      <c r="AE15" s="17" t="n">
        <v>4</v>
      </c>
      <c r="AF15" s="17" t="n">
        <v>5</v>
      </c>
      <c r="AG15" s="17" t="n">
        <v>5</v>
      </c>
      <c r="AH15" s="17" t="n">
        <v>5</v>
      </c>
      <c r="AI15" s="17" t="n">
        <v>6</v>
      </c>
      <c r="AJ15" s="17" t="n">
        <v>5</v>
      </c>
      <c r="AK15" s="17" t="n">
        <v>5</v>
      </c>
      <c r="AL15" s="17" t="n">
        <v>5</v>
      </c>
      <c r="AM15" s="17" t="n">
        <v>3</v>
      </c>
      <c r="AN15" s="17" t="n">
        <v>5</v>
      </c>
      <c r="AO15" s="17" t="n">
        <v>4</v>
      </c>
      <c r="AP15" s="17" t="n">
        <v>6</v>
      </c>
      <c r="AQ15" s="17" t="n">
        <v>7</v>
      </c>
      <c r="AR15" s="17" t="n">
        <v>3</v>
      </c>
      <c r="AS15" s="17" t="n">
        <v>3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Finn Gordon</t>
        </is>
      </c>
      <c r="C16" s="8" t="inlineStr">
        <is>
          <t>55269</t>
        </is>
      </c>
      <c r="D16" t="inlineStr">
        <is>
          <t>Vilamoura, C. G</t>
        </is>
      </c>
      <c r="E16" s="8" t="n">
        <v>6</v>
      </c>
      <c r="F16" s="17" t="n">
        <v>5</v>
      </c>
      <c r="G16" s="17" t="n">
        <v>3</v>
      </c>
      <c r="H16" s="17" t="n">
        <v>3</v>
      </c>
      <c r="I16" s="17" t="n">
        <v>3</v>
      </c>
      <c r="J16" s="17" t="n">
        <v>4</v>
      </c>
      <c r="K16" s="17" t="n">
        <v>5</v>
      </c>
      <c r="L16" s="17" t="n">
        <v>5</v>
      </c>
      <c r="M16" s="17" t="n">
        <v>7</v>
      </c>
      <c r="N16" s="17" t="n">
        <v>4</v>
      </c>
      <c r="O16" s="17" t="n">
        <v>6</v>
      </c>
      <c r="P16" s="17" t="n">
        <v>5</v>
      </c>
      <c r="Q16" s="17" t="n">
        <v>3</v>
      </c>
      <c r="R16" s="17" t="n">
        <v>5</v>
      </c>
      <c r="S16" s="17" t="n">
        <v>4</v>
      </c>
      <c r="T16" s="17" t="n">
        <v>5</v>
      </c>
      <c r="U16" s="17" t="n">
        <v>6</v>
      </c>
      <c r="V16" s="17" t="n">
        <v>4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5</v>
      </c>
      <c r="AC16" s="17" t="n">
        <v>3</v>
      </c>
      <c r="AD16" s="17" t="n">
        <v>5</v>
      </c>
      <c r="AE16" s="17" t="n">
        <v>4</v>
      </c>
      <c r="AF16" s="17" t="n">
        <v>5</v>
      </c>
      <c r="AG16" s="17" t="n">
        <v>6</v>
      </c>
      <c r="AH16" s="17" t="n">
        <v>4</v>
      </c>
      <c r="AI16" s="17" t="n">
        <v>7</v>
      </c>
      <c r="AJ16" s="17" t="n">
        <v>4</v>
      </c>
      <c r="AK16" s="17" t="n">
        <v>6</v>
      </c>
      <c r="AL16" s="17" t="n">
        <v>4</v>
      </c>
      <c r="AM16" s="17" t="n">
        <v>3</v>
      </c>
      <c r="AN16" s="17" t="n">
        <v>5</v>
      </c>
      <c r="AO16" s="17" t="n">
        <v>4</v>
      </c>
      <c r="AP16" s="17" t="n">
        <v>5</v>
      </c>
      <c r="AQ16" s="17" t="n">
        <v>4</v>
      </c>
      <c r="AR16" s="17" t="n">
        <v>3</v>
      </c>
      <c r="AS16" s="17" t="n">
        <v>5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Salvador Ivo de Carvalho</t>
        </is>
      </c>
      <c r="C17" s="8" t="inlineStr">
        <is>
          <t>43968</t>
        </is>
      </c>
      <c r="D17" t="inlineStr">
        <is>
          <t>Estoril</t>
        </is>
      </c>
      <c r="E17" s="8" t="n">
        <v>7.9</v>
      </c>
      <c r="F17" s="17" t="n">
        <v>5</v>
      </c>
      <c r="G17" s="17" t="n">
        <v>4</v>
      </c>
      <c r="H17" s="17" t="n">
        <v>5</v>
      </c>
      <c r="I17" s="17" t="n">
        <v>3</v>
      </c>
      <c r="J17" s="17" t="n">
        <v>5</v>
      </c>
      <c r="K17" s="17" t="n">
        <v>3</v>
      </c>
      <c r="L17" s="17" t="n">
        <v>5</v>
      </c>
      <c r="M17" s="17" t="n">
        <v>6</v>
      </c>
      <c r="N17" s="17" t="n">
        <v>6</v>
      </c>
      <c r="O17" s="17" t="n">
        <v>6</v>
      </c>
      <c r="P17" s="17" t="n">
        <v>4</v>
      </c>
      <c r="Q17" s="17" t="n">
        <v>4</v>
      </c>
      <c r="R17" s="17" t="n">
        <v>5</v>
      </c>
      <c r="S17" s="17" t="n">
        <v>4</v>
      </c>
      <c r="T17" s="17" t="n">
        <v>6</v>
      </c>
      <c r="U17" s="17" t="n">
        <v>5</v>
      </c>
      <c r="V17" s="17" t="n">
        <v>3</v>
      </c>
      <c r="W17" s="17" t="n">
        <v>5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5</v>
      </c>
      <c r="AC17" s="17" t="n">
        <v>3</v>
      </c>
      <c r="AD17" s="17" t="n">
        <v>4</v>
      </c>
      <c r="AE17" s="17" t="n">
        <v>4</v>
      </c>
      <c r="AF17" s="17" t="n">
        <v>5</v>
      </c>
      <c r="AG17" s="17" t="n">
        <v>4</v>
      </c>
      <c r="AH17" s="17" t="n">
        <v>5</v>
      </c>
      <c r="AI17" s="17" t="n">
        <v>5</v>
      </c>
      <c r="AJ17" s="17" t="n">
        <v>4</v>
      </c>
      <c r="AK17" s="17" t="n">
        <v>5</v>
      </c>
      <c r="AL17" s="17" t="n">
        <v>5</v>
      </c>
      <c r="AM17" s="17" t="n">
        <v>5</v>
      </c>
      <c r="AN17" s="17" t="n">
        <v>6</v>
      </c>
      <c r="AO17" s="17" t="n">
        <v>4</v>
      </c>
      <c r="AP17" s="17" t="n">
        <v>6</v>
      </c>
      <c r="AQ17" s="17" t="n">
        <v>5</v>
      </c>
      <c r="AR17" s="17" t="n">
        <v>4</v>
      </c>
      <c r="AS17" s="17" t="n">
        <v>5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William Gao</t>
        </is>
      </c>
      <c r="C18" s="8" t="inlineStr">
        <is>
          <t>51524</t>
        </is>
      </c>
      <c r="D18" t="inlineStr">
        <is>
          <t>Quinta do Peru</t>
        </is>
      </c>
      <c r="E18" s="8" t="n">
        <v>8.699999999999999</v>
      </c>
      <c r="F18" s="17" t="n">
        <v>6</v>
      </c>
      <c r="G18" s="17" t="n">
        <v>4</v>
      </c>
      <c r="H18" s="17" t="n">
        <v>4</v>
      </c>
      <c r="I18" s="17" t="n">
        <v>4</v>
      </c>
      <c r="J18" s="17" t="n">
        <v>3</v>
      </c>
      <c r="K18" s="17" t="n">
        <v>7</v>
      </c>
      <c r="L18" s="17" t="n">
        <v>4</v>
      </c>
      <c r="M18" s="17" t="n">
        <v>6</v>
      </c>
      <c r="N18" s="17" t="n">
        <v>6</v>
      </c>
      <c r="O18" s="17" t="n">
        <v>6</v>
      </c>
      <c r="P18" s="17" t="n">
        <v>4</v>
      </c>
      <c r="Q18" s="17" t="n">
        <v>3</v>
      </c>
      <c r="R18" s="17" t="n">
        <v>5</v>
      </c>
      <c r="S18" s="17" t="n">
        <v>5</v>
      </c>
      <c r="T18" s="17" t="n">
        <v>5</v>
      </c>
      <c r="U18" s="17" t="n">
        <v>5</v>
      </c>
      <c r="V18" s="17" t="n">
        <v>3</v>
      </c>
      <c r="W18" s="17" t="n">
        <v>5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6</v>
      </c>
      <c r="AC18" s="17" t="n">
        <v>3</v>
      </c>
      <c r="AD18" s="17" t="n">
        <v>6</v>
      </c>
      <c r="AE18" s="17" t="n">
        <v>3</v>
      </c>
      <c r="AF18" s="17" t="n">
        <v>5</v>
      </c>
      <c r="AG18" s="17" t="n">
        <v>4</v>
      </c>
      <c r="AH18" s="17" t="n">
        <v>4</v>
      </c>
      <c r="AI18" s="17" t="n">
        <v>6</v>
      </c>
      <c r="AJ18" s="17" t="n">
        <v>6</v>
      </c>
      <c r="AK18" s="17" t="n">
        <v>6</v>
      </c>
      <c r="AL18" s="17" t="n">
        <v>5</v>
      </c>
      <c r="AM18" s="17" t="n">
        <v>5</v>
      </c>
      <c r="AN18" s="17" t="n">
        <v>5</v>
      </c>
      <c r="AO18" s="17" t="n">
        <v>4</v>
      </c>
      <c r="AP18" s="17" t="n">
        <v>5</v>
      </c>
      <c r="AQ18" s="17" t="n">
        <v>4</v>
      </c>
      <c r="AR18" s="17" t="n">
        <v>3</v>
      </c>
      <c r="AS18" s="17" t="n">
        <v>5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8">
        <f>AA18+AW18</f>
        <v/>
      </c>
    </row>
    <row r="19">
      <c r="A19" s="8" t="n">
        <v>7</v>
      </c>
      <c r="B19" t="inlineStr">
        <is>
          <t>Tomás Rente</t>
        </is>
      </c>
      <c r="C19" s="8" t="inlineStr">
        <is>
          <t>46311</t>
        </is>
      </c>
      <c r="D19" t="inlineStr">
        <is>
          <t>Miramar</t>
        </is>
      </c>
      <c r="E19" s="8" t="n">
        <v>5.7</v>
      </c>
      <c r="F19" s="17" t="n">
        <v>5</v>
      </c>
      <c r="G19" s="17" t="n">
        <v>3</v>
      </c>
      <c r="H19" s="17" t="n">
        <v>5</v>
      </c>
      <c r="I19" s="17" t="n">
        <v>3</v>
      </c>
      <c r="J19" s="17" t="n">
        <v>5</v>
      </c>
      <c r="K19" s="17" t="n">
        <v>4</v>
      </c>
      <c r="L19" s="17" t="n">
        <v>4</v>
      </c>
      <c r="M19" s="17" t="n">
        <v>6</v>
      </c>
      <c r="N19" s="17" t="n">
        <v>5</v>
      </c>
      <c r="O19" s="17" t="n">
        <v>5</v>
      </c>
      <c r="P19" s="17" t="n">
        <v>6</v>
      </c>
      <c r="Q19" s="17" t="n">
        <v>4</v>
      </c>
      <c r="R19" s="17" t="n">
        <v>5</v>
      </c>
      <c r="S19" s="17" t="n">
        <v>4</v>
      </c>
      <c r="T19" s="17" t="n">
        <v>6</v>
      </c>
      <c r="U19" s="17" t="n">
        <v>5</v>
      </c>
      <c r="V19" s="17" t="n">
        <v>5</v>
      </c>
      <c r="W19" s="17" t="n">
        <v>5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6</v>
      </c>
      <c r="AC19" s="17" t="n">
        <v>4</v>
      </c>
      <c r="AD19" s="17" t="n">
        <v>3</v>
      </c>
      <c r="AE19" s="17" t="n">
        <v>3</v>
      </c>
      <c r="AF19" s="17" t="n">
        <v>5</v>
      </c>
      <c r="AG19" s="17" t="n">
        <v>4</v>
      </c>
      <c r="AH19" s="17" t="n">
        <v>4</v>
      </c>
      <c r="AI19" s="17" t="n">
        <v>6</v>
      </c>
      <c r="AJ19" s="17" t="n">
        <v>5</v>
      </c>
      <c r="AK19" s="17" t="n">
        <v>7</v>
      </c>
      <c r="AL19" s="17" t="n">
        <v>3</v>
      </c>
      <c r="AM19" s="17" t="n">
        <v>3</v>
      </c>
      <c r="AN19" s="17" t="n">
        <v>6</v>
      </c>
      <c r="AO19" s="17" t="n">
        <v>6</v>
      </c>
      <c r="AP19" s="17" t="n">
        <v>5</v>
      </c>
      <c r="AQ19" s="17" t="n">
        <v>4</v>
      </c>
      <c r="AR19" s="17" t="n">
        <v>3</v>
      </c>
      <c r="AS19" s="17" t="n">
        <v>5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8">
        <f>AA19+AW19</f>
        <v/>
      </c>
    </row>
    <row r="20">
      <c r="A20" s="8" t="n">
        <v>8</v>
      </c>
      <c r="B20" t="inlineStr">
        <is>
          <t>Seb Toft</t>
        </is>
      </c>
      <c r="C20" s="8" t="inlineStr">
        <is>
          <t>57291</t>
        </is>
      </c>
      <c r="D20" t="inlineStr">
        <is>
          <t>Vilamoura, C. G</t>
        </is>
      </c>
      <c r="E20" s="8" t="n">
        <v>5.3</v>
      </c>
      <c r="F20" s="17" t="n">
        <v>4</v>
      </c>
      <c r="G20" s="17" t="n">
        <v>3</v>
      </c>
      <c r="H20" s="17" t="n">
        <v>4</v>
      </c>
      <c r="I20" s="17" t="n">
        <v>3</v>
      </c>
      <c r="J20" s="17" t="n">
        <v>5</v>
      </c>
      <c r="K20" s="17" t="n">
        <v>4</v>
      </c>
      <c r="L20" s="17" t="n">
        <v>4</v>
      </c>
      <c r="M20" s="17" t="n">
        <v>6</v>
      </c>
      <c r="N20" s="17" t="n">
        <v>6</v>
      </c>
      <c r="O20" s="17" t="n">
        <v>6</v>
      </c>
      <c r="P20" s="17" t="n">
        <v>5</v>
      </c>
      <c r="Q20" s="17" t="n">
        <v>3</v>
      </c>
      <c r="R20" s="17" t="n">
        <v>5</v>
      </c>
      <c r="S20" s="17" t="n">
        <v>7</v>
      </c>
      <c r="T20" s="17" t="n">
        <v>6</v>
      </c>
      <c r="U20" s="17" t="n">
        <v>5</v>
      </c>
      <c r="V20" s="17" t="n">
        <v>4</v>
      </c>
      <c r="W20" s="17" t="n">
        <v>5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6</v>
      </c>
      <c r="AC20" s="17" t="n">
        <v>2</v>
      </c>
      <c r="AD20" s="17" t="n">
        <v>4</v>
      </c>
      <c r="AE20" s="17" t="n">
        <v>3</v>
      </c>
      <c r="AF20" s="17" t="n">
        <v>3</v>
      </c>
      <c r="AG20" s="17" t="n">
        <v>4</v>
      </c>
      <c r="AH20" s="17" t="n">
        <v>3</v>
      </c>
      <c r="AI20" s="17" t="n">
        <v>5</v>
      </c>
      <c r="AJ20" s="17" t="n">
        <v>5</v>
      </c>
      <c r="AK20" s="17" t="n">
        <v>5</v>
      </c>
      <c r="AL20" s="17" t="n">
        <v>5</v>
      </c>
      <c r="AM20" s="17" t="n">
        <v>3</v>
      </c>
      <c r="AN20" s="17" t="n">
        <v>6</v>
      </c>
      <c r="AO20" s="17" t="n">
        <v>5</v>
      </c>
      <c r="AP20" s="17" t="n">
        <v>5</v>
      </c>
      <c r="AQ20" s="17" t="n">
        <v>5</v>
      </c>
      <c r="AR20" s="17" t="n">
        <v>2</v>
      </c>
      <c r="AS20" s="17" t="n">
        <v>5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Yoon Jun Lee</t>
        </is>
      </c>
      <c r="C21" s="8" t="inlineStr"/>
      <c r="D21" t="inlineStr">
        <is>
          <t>Internacional</t>
        </is>
      </c>
      <c r="E21" s="8" t="n">
        <v>7</v>
      </c>
      <c r="F21" s="17" t="n">
        <v>5</v>
      </c>
      <c r="G21" s="17" t="n">
        <v>3</v>
      </c>
      <c r="H21" s="17" t="n">
        <v>6</v>
      </c>
      <c r="I21" s="17" t="n">
        <v>3</v>
      </c>
      <c r="J21" s="17" t="n">
        <v>5</v>
      </c>
      <c r="K21" s="17" t="n">
        <v>4</v>
      </c>
      <c r="L21" s="17" t="n">
        <v>4</v>
      </c>
      <c r="M21" s="17" t="n">
        <v>5</v>
      </c>
      <c r="N21" s="17" t="n">
        <v>7</v>
      </c>
      <c r="O21" s="17" t="n">
        <v>6</v>
      </c>
      <c r="P21" s="17" t="n">
        <v>7</v>
      </c>
      <c r="Q21" s="17" t="n">
        <v>3</v>
      </c>
      <c r="R21" s="17" t="n">
        <v>5</v>
      </c>
      <c r="S21" s="17" t="n">
        <v>4</v>
      </c>
      <c r="T21" s="17" t="n">
        <v>5</v>
      </c>
      <c r="U21" s="17" t="n">
        <v>5</v>
      </c>
      <c r="V21" s="17" t="n">
        <v>3</v>
      </c>
      <c r="W21" s="17" t="n">
        <v>6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7</v>
      </c>
      <c r="AC21" s="17" t="n">
        <v>3</v>
      </c>
      <c r="AD21" s="17" t="n">
        <v>4</v>
      </c>
      <c r="AE21" s="17" t="n">
        <v>3</v>
      </c>
      <c r="AF21" s="17" t="n">
        <v>4</v>
      </c>
      <c r="AG21" s="17" t="n">
        <v>4</v>
      </c>
      <c r="AH21" s="17" t="n">
        <v>5</v>
      </c>
      <c r="AI21" s="17" t="n">
        <v>6</v>
      </c>
      <c r="AJ21" s="17" t="n">
        <v>4</v>
      </c>
      <c r="AK21" s="17" t="n">
        <v>4</v>
      </c>
      <c r="AL21" s="17" t="n">
        <v>6</v>
      </c>
      <c r="AM21" s="17" t="n">
        <v>3</v>
      </c>
      <c r="AN21" s="17" t="n">
        <v>4</v>
      </c>
      <c r="AO21" s="17" t="n">
        <v>4</v>
      </c>
      <c r="AP21" s="17" t="n">
        <v>8</v>
      </c>
      <c r="AQ21" s="17" t="n">
        <v>3</v>
      </c>
      <c r="AR21" s="17" t="n">
        <v>3</v>
      </c>
      <c r="AS21" s="17" t="n">
        <v>5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Afonso de Sousa Pinto</t>
        </is>
      </c>
      <c r="C22" s="8" t="inlineStr">
        <is>
          <t>46480</t>
        </is>
      </c>
      <c r="D22" t="inlineStr">
        <is>
          <t>Oporto</t>
        </is>
      </c>
      <c r="E22" s="8" t="n">
        <v>10.2</v>
      </c>
      <c r="F22" s="17" t="n">
        <v>5</v>
      </c>
      <c r="G22" s="17" t="n">
        <v>3</v>
      </c>
      <c r="H22" s="17" t="n">
        <v>5</v>
      </c>
      <c r="I22" s="17" t="n">
        <v>3</v>
      </c>
      <c r="J22" s="17" t="n">
        <v>5</v>
      </c>
      <c r="K22" s="17" t="n">
        <v>5</v>
      </c>
      <c r="L22" s="17" t="n">
        <v>4</v>
      </c>
      <c r="M22" s="17" t="n">
        <v>6</v>
      </c>
      <c r="N22" s="17" t="n">
        <v>5</v>
      </c>
      <c r="O22" s="17" t="n">
        <v>5</v>
      </c>
      <c r="P22" s="17" t="n">
        <v>5</v>
      </c>
      <c r="Q22" s="17" t="n">
        <v>3</v>
      </c>
      <c r="R22" s="17" t="n">
        <v>5</v>
      </c>
      <c r="S22" s="17" t="n">
        <v>7</v>
      </c>
      <c r="T22" s="17" t="n">
        <v>6</v>
      </c>
      <c r="U22" s="17" t="n">
        <v>5</v>
      </c>
      <c r="V22" s="17" t="n">
        <v>6</v>
      </c>
      <c r="W22" s="17" t="n">
        <v>4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5</v>
      </c>
      <c r="AC22" s="17" t="n">
        <v>2</v>
      </c>
      <c r="AD22" s="17" t="n">
        <v>7</v>
      </c>
      <c r="AE22" s="17" t="n">
        <v>4</v>
      </c>
      <c r="AF22" s="17" t="n">
        <v>5</v>
      </c>
      <c r="AG22" s="17" t="n">
        <v>5</v>
      </c>
      <c r="AH22" s="17" t="n">
        <v>4</v>
      </c>
      <c r="AI22" s="17" t="n">
        <v>5</v>
      </c>
      <c r="AJ22" s="17" t="n">
        <v>7</v>
      </c>
      <c r="AK22" s="17" t="n">
        <v>6</v>
      </c>
      <c r="AL22" s="17" t="n">
        <v>5</v>
      </c>
      <c r="AM22" s="17" t="n">
        <v>4</v>
      </c>
      <c r="AN22" s="17" t="n">
        <v>5</v>
      </c>
      <c r="AO22" s="17" t="n">
        <v>5</v>
      </c>
      <c r="AP22" s="17" t="n">
        <v>6</v>
      </c>
      <c r="AQ22" s="17" t="n">
        <v>4</v>
      </c>
      <c r="AR22" s="17" t="n">
        <v>4</v>
      </c>
      <c r="AS22" s="17" t="n">
        <v>5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José Silva</t>
        </is>
      </c>
      <c r="C23" s="8" t="inlineStr">
        <is>
          <t>54845</t>
        </is>
      </c>
      <c r="D23" t="inlineStr">
        <is>
          <t>Amendoeira</t>
        </is>
      </c>
      <c r="E23" s="8" t="n">
        <v>11.1</v>
      </c>
      <c r="F23" s="17" t="n">
        <v>5</v>
      </c>
      <c r="G23" s="17" t="n">
        <v>3</v>
      </c>
      <c r="H23" s="17" t="n">
        <v>5</v>
      </c>
      <c r="I23" s="17" t="n">
        <v>4</v>
      </c>
      <c r="J23" s="17" t="n">
        <v>7</v>
      </c>
      <c r="K23" s="17" t="n">
        <v>3</v>
      </c>
      <c r="L23" s="17" t="n">
        <v>4</v>
      </c>
      <c r="M23" s="17" t="n">
        <v>6</v>
      </c>
      <c r="N23" s="17" t="n">
        <v>6</v>
      </c>
      <c r="O23" s="17" t="n">
        <v>6</v>
      </c>
      <c r="P23" s="17" t="n">
        <v>5</v>
      </c>
      <c r="Q23" s="17" t="n">
        <v>4</v>
      </c>
      <c r="R23" s="17" t="n">
        <v>4</v>
      </c>
      <c r="S23" s="17" t="n">
        <v>5</v>
      </c>
      <c r="T23" s="17" t="n">
        <v>6</v>
      </c>
      <c r="U23" s="17" t="n">
        <v>5</v>
      </c>
      <c r="V23" s="17" t="n">
        <v>4</v>
      </c>
      <c r="W23" s="17" t="n">
        <v>6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6</v>
      </c>
      <c r="AC23" s="17" t="n">
        <v>4</v>
      </c>
      <c r="AD23" s="17" t="n">
        <v>5</v>
      </c>
      <c r="AE23" s="17" t="n">
        <v>4</v>
      </c>
      <c r="AF23" s="17" t="n">
        <v>4</v>
      </c>
      <c r="AG23" s="17" t="n">
        <v>4</v>
      </c>
      <c r="AH23" s="17" t="n">
        <v>4</v>
      </c>
      <c r="AI23" s="17" t="n">
        <v>5</v>
      </c>
      <c r="AJ23" s="17" t="n">
        <v>5</v>
      </c>
      <c r="AK23" s="17" t="n">
        <v>5</v>
      </c>
      <c r="AL23" s="17" t="n">
        <v>5</v>
      </c>
      <c r="AM23" s="17" t="n">
        <v>3</v>
      </c>
      <c r="AN23" s="17" t="n">
        <v>6</v>
      </c>
      <c r="AO23" s="17" t="n">
        <v>5</v>
      </c>
      <c r="AP23" s="17" t="n">
        <v>6</v>
      </c>
      <c r="AQ23" s="17" t="n">
        <v>5</v>
      </c>
      <c r="AR23" s="17" t="n">
        <v>4</v>
      </c>
      <c r="AS23" s="17" t="n">
        <v>5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8">
        <f>AA23+AW23</f>
        <v/>
      </c>
    </row>
    <row r="24">
      <c r="A24" s="8" t="n">
        <v>12</v>
      </c>
      <c r="B24" t="inlineStr">
        <is>
          <t>Catarina Sousa Conceição</t>
        </is>
      </c>
      <c r="C24" s="8" t="inlineStr">
        <is>
          <t>48794</t>
        </is>
      </c>
      <c r="D24" t="inlineStr">
        <is>
          <t>Vilamoura, C. G</t>
        </is>
      </c>
      <c r="E24" s="8" t="n">
        <v>10.9</v>
      </c>
      <c r="F24" s="17" t="n">
        <v>7</v>
      </c>
      <c r="G24" s="17" t="n">
        <v>5</v>
      </c>
      <c r="H24" s="17" t="n">
        <v>6</v>
      </c>
      <c r="I24" s="17" t="n">
        <v>3</v>
      </c>
      <c r="J24" s="17" t="n">
        <v>10</v>
      </c>
      <c r="K24" s="17" t="n">
        <v>4</v>
      </c>
      <c r="L24" s="17" t="n">
        <v>4</v>
      </c>
      <c r="M24" s="17" t="n">
        <v>8</v>
      </c>
      <c r="N24" s="17" t="n">
        <v>5</v>
      </c>
      <c r="O24" s="17" t="n">
        <v>6</v>
      </c>
      <c r="P24" s="17" t="n">
        <v>5</v>
      </c>
      <c r="Q24" s="17" t="n">
        <v>3</v>
      </c>
      <c r="R24" s="17" t="n">
        <v>4</v>
      </c>
      <c r="S24" s="17" t="n">
        <v>6</v>
      </c>
      <c r="T24" s="17" t="n">
        <v>6</v>
      </c>
      <c r="U24" s="17" t="n">
        <v>5</v>
      </c>
      <c r="V24" s="17" t="n">
        <v>4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6</v>
      </c>
      <c r="AC24" s="17" t="n">
        <v>3</v>
      </c>
      <c r="AD24" s="17" t="n">
        <v>5</v>
      </c>
      <c r="AE24" s="17" t="n">
        <v>3</v>
      </c>
      <c r="AF24" s="17" t="n">
        <v>5</v>
      </c>
      <c r="AG24" s="17" t="n">
        <v>4</v>
      </c>
      <c r="AH24" s="17" t="n">
        <v>5</v>
      </c>
      <c r="AI24" s="17" t="n">
        <v>5</v>
      </c>
      <c r="AJ24" s="17" t="n">
        <v>6</v>
      </c>
      <c r="AK24" s="17" t="n">
        <v>6</v>
      </c>
      <c r="AL24" s="17" t="n">
        <v>6</v>
      </c>
      <c r="AM24" s="17" t="n">
        <v>3</v>
      </c>
      <c r="AN24" s="17" t="n">
        <v>6</v>
      </c>
      <c r="AO24" s="17" t="n">
        <v>6</v>
      </c>
      <c r="AP24" s="17" t="n">
        <v>5</v>
      </c>
      <c r="AQ24" s="17" t="n">
        <v>4</v>
      </c>
      <c r="AR24" s="17" t="n">
        <v>4</v>
      </c>
      <c r="AS24" s="17" t="n">
        <v>5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  <row r="25">
      <c r="A25" s="8" t="n">
        <v>13</v>
      </c>
      <c r="B25" t="inlineStr">
        <is>
          <t>David Filip Jun.</t>
        </is>
      </c>
      <c r="C25" s="8" t="inlineStr">
        <is>
          <t>51949</t>
        </is>
      </c>
      <c r="D25" t="inlineStr">
        <is>
          <t>Lisbon SC</t>
        </is>
      </c>
      <c r="E25" s="8" t="n">
        <v>7.8</v>
      </c>
      <c r="F25" s="17" t="n">
        <v>8</v>
      </c>
      <c r="G25" s="17" t="n">
        <v>6</v>
      </c>
      <c r="H25" s="17" t="n">
        <v>6</v>
      </c>
      <c r="I25" s="17" t="n">
        <v>4</v>
      </c>
      <c r="J25" s="17" t="n">
        <v>11</v>
      </c>
      <c r="K25" s="17" t="n">
        <v>4</v>
      </c>
      <c r="L25" s="17" t="n">
        <v>5</v>
      </c>
      <c r="M25" s="17" t="n">
        <v>6</v>
      </c>
      <c r="N25" s="17" t="n">
        <v>6</v>
      </c>
      <c r="O25" s="17" t="n">
        <v>5</v>
      </c>
      <c r="P25" s="17" t="n">
        <v>4</v>
      </c>
      <c r="Q25" s="17" t="n">
        <v>3</v>
      </c>
      <c r="R25" s="17" t="n">
        <v>4</v>
      </c>
      <c r="S25" s="17" t="n">
        <v>5</v>
      </c>
      <c r="T25" s="17" t="n">
        <v>6</v>
      </c>
      <c r="U25" s="17" t="n">
        <v>5</v>
      </c>
      <c r="V25" s="17" t="n">
        <v>4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6</v>
      </c>
      <c r="AC25" s="17" t="n">
        <v>4</v>
      </c>
      <c r="AD25" s="17" t="n">
        <v>5</v>
      </c>
      <c r="AE25" s="17" t="n">
        <v>4</v>
      </c>
      <c r="AF25" s="17" t="n">
        <v>4</v>
      </c>
      <c r="AG25" s="17" t="n">
        <v>5</v>
      </c>
      <c r="AH25" s="17" t="n">
        <v>5</v>
      </c>
      <c r="AI25" s="17" t="n">
        <v>5</v>
      </c>
      <c r="AJ25" s="17" t="n">
        <v>5</v>
      </c>
      <c r="AK25" s="17" t="n">
        <v>5</v>
      </c>
      <c r="AL25" s="17" t="n">
        <v>5</v>
      </c>
      <c r="AM25" s="17" t="n">
        <v>4</v>
      </c>
      <c r="AN25" s="17" t="n">
        <v>6</v>
      </c>
      <c r="AO25" s="17" t="n">
        <v>5</v>
      </c>
      <c r="AP25" s="17" t="n">
        <v>8</v>
      </c>
      <c r="AQ25" s="17" t="n">
        <v>4</v>
      </c>
      <c r="AR25" s="17" t="n">
        <v>3</v>
      </c>
      <c r="AS25" s="17" t="n">
        <v>4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8">
        <f>AA25+AW25</f>
        <v/>
      </c>
    </row>
    <row r="26">
      <c r="A26" s="8" t="n">
        <v>14</v>
      </c>
      <c r="B26" t="inlineStr">
        <is>
          <t>Alfie Kelley</t>
        </is>
      </c>
      <c r="C26" s="8" t="inlineStr">
        <is>
          <t>58043</t>
        </is>
      </c>
      <c r="D26" t="inlineStr">
        <is>
          <t>Belas</t>
        </is>
      </c>
      <c r="E26" s="8" t="n">
        <v>18.8</v>
      </c>
      <c r="F26" s="17" t="n">
        <v>10</v>
      </c>
      <c r="G26" s="17" t="n">
        <v>3</v>
      </c>
      <c r="H26" s="17" t="n">
        <v>6</v>
      </c>
      <c r="I26" s="17" t="n">
        <v>3</v>
      </c>
      <c r="J26" s="17" t="n">
        <v>8</v>
      </c>
      <c r="K26" s="17" t="n">
        <v>5</v>
      </c>
      <c r="L26" s="17" t="n">
        <v>4</v>
      </c>
      <c r="M26" s="17" t="n">
        <v>7</v>
      </c>
      <c r="N26" s="17" t="n">
        <v>7</v>
      </c>
      <c r="O26" s="17" t="n">
        <v>5</v>
      </c>
      <c r="P26" s="17" t="n">
        <v>4</v>
      </c>
      <c r="Q26" s="17" t="n">
        <v>3</v>
      </c>
      <c r="R26" s="17" t="n">
        <v>5</v>
      </c>
      <c r="S26" s="17" t="n">
        <v>6</v>
      </c>
      <c r="T26" s="17" t="n">
        <v>6</v>
      </c>
      <c r="U26" s="17" t="n">
        <v>6</v>
      </c>
      <c r="V26" s="17" t="n">
        <v>5</v>
      </c>
      <c r="W26" s="17" t="n">
        <v>6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7" t="n">
        <v>6</v>
      </c>
      <c r="AC26" s="17" t="n">
        <v>3</v>
      </c>
      <c r="AD26" s="17" t="n">
        <v>5</v>
      </c>
      <c r="AE26" s="17" t="n">
        <v>3</v>
      </c>
      <c r="AF26" s="17" t="n">
        <v>5</v>
      </c>
      <c r="AG26" s="17" t="n">
        <v>6</v>
      </c>
      <c r="AH26" s="17" t="n">
        <v>4</v>
      </c>
      <c r="AI26" s="17" t="n">
        <v>6</v>
      </c>
      <c r="AJ26" s="17" t="n">
        <v>8</v>
      </c>
      <c r="AK26" s="17" t="n">
        <v>9</v>
      </c>
      <c r="AL26" s="17" t="n">
        <v>6</v>
      </c>
      <c r="AM26" s="17" t="n">
        <v>5</v>
      </c>
      <c r="AN26" s="17" t="n">
        <v>5</v>
      </c>
      <c r="AO26" s="17" t="n">
        <v>4</v>
      </c>
      <c r="AP26" s="17" t="n">
        <v>5</v>
      </c>
      <c r="AQ26" s="17" t="n">
        <v>5</v>
      </c>
      <c r="AR26" s="17" t="n">
        <v>3</v>
      </c>
      <c r="AS26" s="17" t="n">
        <v>5</v>
      </c>
      <c r="AT26" s="8">
        <f>SUM(AB26:AS26)</f>
        <v/>
      </c>
      <c r="AU26" s="8">
        <f>AU11</f>
        <v/>
      </c>
      <c r="AV26" s="8">
        <f>AT26-AU26</f>
        <v/>
      </c>
      <c r="AW26" s="8">
        <f>MAX(0,25-AV26)*1.0</f>
        <v/>
      </c>
      <c r="AX26" s="18">
        <f>AA26+AW26</f>
        <v/>
      </c>
    </row>
  </sheetData>
  <mergeCells count="1">
    <mergeCell ref="A1:H1"/>
  </mergeCells>
  <conditionalFormatting sqref="F13:F26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26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26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26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26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26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26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26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26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26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26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26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26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26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26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26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26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26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26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26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26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26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26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26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26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26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26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26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26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26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26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26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26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26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26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26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Greatgolf Junior Open U12</t>
        </is>
      </c>
    </row>
    <row r="2">
      <c r="A2" s="10" t="inlineStr">
        <is>
          <t>Data:</t>
        </is>
      </c>
      <c r="B2" t="inlineStr">
        <is>
          <t>2026-02-16</t>
        </is>
      </c>
    </row>
    <row r="3">
      <c r="A3" s="10" t="inlineStr">
        <is>
          <t>Campo:</t>
        </is>
      </c>
      <c r="B3" t="inlineStr">
        <is>
          <t>Vilamoura — Millennium</t>
        </is>
      </c>
    </row>
    <row r="4">
      <c r="A4" s="10" t="inlineStr">
        <is>
          <t>ccode/tcode:</t>
        </is>
      </c>
      <c r="B4" t="inlineStr">
        <is>
          <t>935/10296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https://scoring.datagolf.pt/pt/Classifications.aspx?ccode=935&amp;tcode=10296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GG_U12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3</v>
      </c>
      <c r="H11" s="14" t="n">
        <v>4</v>
      </c>
      <c r="I11" s="14" t="n">
        <v>3</v>
      </c>
      <c r="J11" s="14" t="n">
        <v>4</v>
      </c>
      <c r="K11" s="14" t="n">
        <v>4</v>
      </c>
      <c r="L11" s="14" t="n">
        <v>4</v>
      </c>
      <c r="M11" s="14" t="n">
        <v>5</v>
      </c>
      <c r="N11" s="14" t="n">
        <v>4</v>
      </c>
      <c r="O11" s="14" t="n">
        <v>5</v>
      </c>
      <c r="P11" s="14" t="n">
        <v>4</v>
      </c>
      <c r="Q11" s="14" t="n">
        <v>3</v>
      </c>
      <c r="R11" s="14" t="n">
        <v>4</v>
      </c>
      <c r="S11" s="14" t="n">
        <v>4</v>
      </c>
      <c r="T11" s="14" t="n">
        <v>5</v>
      </c>
      <c r="U11" s="14" t="n">
        <v>4</v>
      </c>
      <c r="V11" s="14" t="n">
        <v>3</v>
      </c>
      <c r="W11" s="14" t="n">
        <v>4</v>
      </c>
      <c r="Y11" s="15">
        <f>SUM(F11:W11)</f>
        <v/>
      </c>
      <c r="AB11" s="14" t="n">
        <v>5</v>
      </c>
      <c r="AC11" s="14" t="n">
        <v>3</v>
      </c>
      <c r="AD11" s="14" t="n">
        <v>4</v>
      </c>
      <c r="AE11" s="14" t="n">
        <v>3</v>
      </c>
      <c r="AF11" s="14" t="n">
        <v>4</v>
      </c>
      <c r="AG11" s="14" t="n">
        <v>4</v>
      </c>
      <c r="AH11" s="14" t="n">
        <v>4</v>
      </c>
      <c r="AI11" s="14" t="n">
        <v>5</v>
      </c>
      <c r="AJ11" s="14" t="n">
        <v>4</v>
      </c>
      <c r="AK11" s="14" t="n">
        <v>5</v>
      </c>
      <c r="AL11" s="14" t="n">
        <v>4</v>
      </c>
      <c r="AM11" s="14" t="n">
        <v>3</v>
      </c>
      <c r="AN11" s="14" t="n">
        <v>4</v>
      </c>
      <c r="AO11" s="14" t="n">
        <v>4</v>
      </c>
      <c r="AP11" s="14" t="n">
        <v>5</v>
      </c>
      <c r="AQ11" s="14" t="n">
        <v>4</v>
      </c>
      <c r="AR11" s="14" t="n">
        <v>3</v>
      </c>
      <c r="AS11" s="14" t="n">
        <v>4</v>
      </c>
      <c r="AU11" s="15">
        <f>SUM(AB11:AS11)</f>
        <v/>
      </c>
    </row>
    <row r="12">
      <c r="A12" s="13" t="inlineStr">
        <is>
          <t>—SI—</t>
        </is>
      </c>
      <c r="F12" s="16" t="n">
        <v>16</v>
      </c>
      <c r="G12" s="16" t="n">
        <v>12</v>
      </c>
      <c r="H12" s="16" t="n">
        <v>4</v>
      </c>
      <c r="I12" s="16" t="n">
        <v>6</v>
      </c>
      <c r="J12" s="16" t="n">
        <v>8</v>
      </c>
      <c r="K12" s="16" t="n">
        <v>18</v>
      </c>
      <c r="L12" s="16" t="n">
        <v>10</v>
      </c>
      <c r="M12" s="16" t="n">
        <v>14</v>
      </c>
      <c r="N12" s="16" t="n">
        <v>2</v>
      </c>
      <c r="O12" s="16" t="n">
        <v>17</v>
      </c>
      <c r="P12" s="16" t="n">
        <v>7</v>
      </c>
      <c r="Q12" s="16" t="n">
        <v>5</v>
      </c>
      <c r="R12" s="16" t="n">
        <v>1</v>
      </c>
      <c r="S12" s="16" t="n">
        <v>3</v>
      </c>
      <c r="T12" s="16" t="n">
        <v>13</v>
      </c>
      <c r="U12" s="16" t="n">
        <v>15</v>
      </c>
      <c r="V12" s="16" t="n">
        <v>11</v>
      </c>
      <c r="W12" s="16" t="n">
        <v>9</v>
      </c>
      <c r="AB12" s="16" t="n">
        <v>16</v>
      </c>
      <c r="AC12" s="16" t="n">
        <v>12</v>
      </c>
      <c r="AD12" s="16" t="n">
        <v>4</v>
      </c>
      <c r="AE12" s="16" t="n">
        <v>6</v>
      </c>
      <c r="AF12" s="16" t="n">
        <v>8</v>
      </c>
      <c r="AG12" s="16" t="n">
        <v>18</v>
      </c>
      <c r="AH12" s="16" t="n">
        <v>10</v>
      </c>
      <c r="AI12" s="16" t="n">
        <v>14</v>
      </c>
      <c r="AJ12" s="16" t="n">
        <v>2</v>
      </c>
      <c r="AK12" s="16" t="n">
        <v>17</v>
      </c>
      <c r="AL12" s="16" t="n">
        <v>7</v>
      </c>
      <c r="AM12" s="16" t="n">
        <v>5</v>
      </c>
      <c r="AN12" s="16" t="n">
        <v>1</v>
      </c>
      <c r="AO12" s="16" t="n">
        <v>3</v>
      </c>
      <c r="AP12" s="16" t="n">
        <v>13</v>
      </c>
      <c r="AQ12" s="16" t="n">
        <v>15</v>
      </c>
      <c r="AR12" s="16" t="n">
        <v>11</v>
      </c>
      <c r="AS12" s="16" t="n">
        <v>9</v>
      </c>
    </row>
    <row r="13">
      <c r="A13" s="8" t="n">
        <v>1</v>
      </c>
      <c r="B13" t="inlineStr">
        <is>
          <t>Ricardo Castro Ferreira</t>
        </is>
      </c>
      <c r="C13" s="8" t="inlineStr">
        <is>
          <t>49085</t>
        </is>
      </c>
      <c r="D13" t="inlineStr">
        <is>
          <t>Estoril</t>
        </is>
      </c>
      <c r="E13" s="8" t="n">
        <v>7.7</v>
      </c>
      <c r="F13" s="17" t="n">
        <v>5</v>
      </c>
      <c r="G13" s="17" t="n">
        <v>3</v>
      </c>
      <c r="H13" s="17" t="n">
        <v>4</v>
      </c>
      <c r="I13" s="17" t="n">
        <v>3</v>
      </c>
      <c r="J13" s="17" t="n">
        <v>5</v>
      </c>
      <c r="K13" s="17" t="n">
        <v>5</v>
      </c>
      <c r="L13" s="17" t="n">
        <v>4</v>
      </c>
      <c r="M13" s="17" t="n">
        <v>5</v>
      </c>
      <c r="N13" s="17" t="n">
        <v>4</v>
      </c>
      <c r="O13" s="17" t="n">
        <v>4</v>
      </c>
      <c r="P13" s="17" t="n">
        <v>5</v>
      </c>
      <c r="Q13" s="17" t="n">
        <v>3</v>
      </c>
      <c r="R13" s="17" t="n">
        <v>5</v>
      </c>
      <c r="S13" s="17" t="n">
        <v>6</v>
      </c>
      <c r="T13" s="17" t="n">
        <v>5</v>
      </c>
      <c r="U13" s="17" t="n">
        <v>4</v>
      </c>
      <c r="V13" s="17" t="n">
        <v>2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5</v>
      </c>
      <c r="AC13" s="17" t="n">
        <v>3</v>
      </c>
      <c r="AD13" s="17" t="n">
        <v>4</v>
      </c>
      <c r="AE13" s="17" t="n">
        <v>3</v>
      </c>
      <c r="AF13" s="17" t="n">
        <v>5</v>
      </c>
      <c r="AG13" s="17" t="n">
        <v>4</v>
      </c>
      <c r="AH13" s="17" t="n">
        <v>4</v>
      </c>
      <c r="AI13" s="17" t="n">
        <v>5</v>
      </c>
      <c r="AJ13" s="17" t="n">
        <v>5</v>
      </c>
      <c r="AK13" s="17" t="n">
        <v>5</v>
      </c>
      <c r="AL13" s="17" t="n">
        <v>5</v>
      </c>
      <c r="AM13" s="17" t="n">
        <v>3</v>
      </c>
      <c r="AN13" s="17" t="n">
        <v>5</v>
      </c>
      <c r="AO13" s="17" t="n">
        <v>4</v>
      </c>
      <c r="AP13" s="17" t="n">
        <v>5</v>
      </c>
      <c r="AQ13" s="17" t="n">
        <v>4</v>
      </c>
      <c r="AR13" s="17" t="n">
        <v>4</v>
      </c>
      <c r="AS13" s="17" t="n">
        <v>4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Joe Short</t>
        </is>
      </c>
      <c r="C14" s="8" t="inlineStr">
        <is>
          <t>51804</t>
        </is>
      </c>
      <c r="D14" t="inlineStr">
        <is>
          <t>Vila Sol</t>
        </is>
      </c>
      <c r="E14" s="8" t="n">
        <v>6.1</v>
      </c>
      <c r="F14" s="17" t="n">
        <v>5</v>
      </c>
      <c r="G14" s="17" t="n">
        <v>3</v>
      </c>
      <c r="H14" s="17" t="n">
        <v>7</v>
      </c>
      <c r="I14" s="17" t="n">
        <v>3</v>
      </c>
      <c r="J14" s="17" t="n">
        <v>3</v>
      </c>
      <c r="K14" s="17" t="n">
        <v>3</v>
      </c>
      <c r="L14" s="17" t="n">
        <v>5</v>
      </c>
      <c r="M14" s="17" t="n">
        <v>5</v>
      </c>
      <c r="N14" s="17" t="n">
        <v>5</v>
      </c>
      <c r="O14" s="17" t="n">
        <v>5</v>
      </c>
      <c r="P14" s="17" t="n">
        <v>4</v>
      </c>
      <c r="Q14" s="17" t="n">
        <v>3</v>
      </c>
      <c r="R14" s="17" t="n">
        <v>4</v>
      </c>
      <c r="S14" s="17" t="n">
        <v>4</v>
      </c>
      <c r="T14" s="17" t="n">
        <v>6</v>
      </c>
      <c r="U14" s="17" t="n">
        <v>5</v>
      </c>
      <c r="V14" s="17" t="n">
        <v>4</v>
      </c>
      <c r="W14" s="17" t="n">
        <v>5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6</v>
      </c>
      <c r="AC14" s="17" t="n">
        <v>4</v>
      </c>
      <c r="AD14" s="17" t="n">
        <v>5</v>
      </c>
      <c r="AE14" s="17" t="n">
        <v>4</v>
      </c>
      <c r="AF14" s="17" t="n">
        <v>5</v>
      </c>
      <c r="AG14" s="17" t="n">
        <v>4</v>
      </c>
      <c r="AH14" s="17" t="n">
        <v>5</v>
      </c>
      <c r="AI14" s="17" t="n">
        <v>5</v>
      </c>
      <c r="AJ14" s="17" t="n">
        <v>5</v>
      </c>
      <c r="AK14" s="17" t="n">
        <v>7</v>
      </c>
      <c r="AL14" s="17" t="n">
        <v>4</v>
      </c>
      <c r="AM14" s="17" t="n">
        <v>5</v>
      </c>
      <c r="AN14" s="17" t="n">
        <v>6</v>
      </c>
      <c r="AO14" s="17" t="n">
        <v>5</v>
      </c>
      <c r="AP14" s="17" t="n">
        <v>7</v>
      </c>
      <c r="AQ14" s="17" t="n">
        <v>3</v>
      </c>
      <c r="AR14" s="17" t="n">
        <v>3</v>
      </c>
      <c r="AS14" s="17" t="n">
        <v>4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Guo Ziyang</t>
        </is>
      </c>
      <c r="C15" s="8" t="inlineStr">
        <is>
          <t>57904</t>
        </is>
      </c>
      <c r="D15" t="inlineStr">
        <is>
          <t>Estoril</t>
        </is>
      </c>
      <c r="E15" s="8" t="n">
        <v>11.4</v>
      </c>
      <c r="F15" s="17" t="n">
        <v>7</v>
      </c>
      <c r="G15" s="17" t="n">
        <v>3</v>
      </c>
      <c r="H15" s="17" t="n">
        <v>5</v>
      </c>
      <c r="I15" s="17" t="n">
        <v>4</v>
      </c>
      <c r="J15" s="17" t="n">
        <v>4</v>
      </c>
      <c r="K15" s="17" t="n">
        <v>4</v>
      </c>
      <c r="L15" s="17" t="n">
        <v>5</v>
      </c>
      <c r="M15" s="17" t="n">
        <v>6</v>
      </c>
      <c r="N15" s="17" t="n">
        <v>4</v>
      </c>
      <c r="O15" s="17" t="n">
        <v>6</v>
      </c>
      <c r="P15" s="17" t="n">
        <v>5</v>
      </c>
      <c r="Q15" s="17" t="n">
        <v>4</v>
      </c>
      <c r="R15" s="17" t="n">
        <v>5</v>
      </c>
      <c r="S15" s="17" t="n">
        <v>4</v>
      </c>
      <c r="T15" s="17" t="n">
        <v>6</v>
      </c>
      <c r="U15" s="17" t="n">
        <v>5</v>
      </c>
      <c r="V15" s="17" t="n">
        <v>3</v>
      </c>
      <c r="W15" s="17" t="n">
        <v>5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6</v>
      </c>
      <c r="AC15" s="17" t="n">
        <v>2</v>
      </c>
      <c r="AD15" s="17" t="n">
        <v>4</v>
      </c>
      <c r="AE15" s="17" t="n">
        <v>3</v>
      </c>
      <c r="AF15" s="17" t="n">
        <v>4</v>
      </c>
      <c r="AG15" s="17" t="n">
        <v>4</v>
      </c>
      <c r="AH15" s="17" t="n">
        <v>4</v>
      </c>
      <c r="AI15" s="17" t="n">
        <v>7</v>
      </c>
      <c r="AJ15" s="17" t="n">
        <v>5</v>
      </c>
      <c r="AK15" s="17" t="n">
        <v>6</v>
      </c>
      <c r="AL15" s="17" t="n">
        <v>4</v>
      </c>
      <c r="AM15" s="17" t="n">
        <v>3</v>
      </c>
      <c r="AN15" s="17" t="n">
        <v>7</v>
      </c>
      <c r="AO15" s="17" t="n">
        <v>5</v>
      </c>
      <c r="AP15" s="17" t="n">
        <v>6</v>
      </c>
      <c r="AQ15" s="17" t="n">
        <v>5</v>
      </c>
      <c r="AR15" s="17" t="n">
        <v>3</v>
      </c>
      <c r="AS15" s="17" t="n">
        <v>4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Manuel Goulartt Medeiros</t>
        </is>
      </c>
      <c r="C16" s="8" t="inlineStr">
        <is>
          <t>52884</t>
        </is>
      </c>
      <c r="D16" t="inlineStr">
        <is>
          <t>Santo da Serra</t>
        </is>
      </c>
      <c r="E16" s="8" t="n">
        <v>12</v>
      </c>
      <c r="F16" s="17" t="n">
        <v>6</v>
      </c>
      <c r="G16" s="17" t="n">
        <v>4</v>
      </c>
      <c r="H16" s="17" t="n">
        <v>4</v>
      </c>
      <c r="I16" s="17" t="n">
        <v>3</v>
      </c>
      <c r="J16" s="17" t="n">
        <v>6</v>
      </c>
      <c r="K16" s="17" t="n">
        <v>3</v>
      </c>
      <c r="L16" s="17" t="n">
        <v>3</v>
      </c>
      <c r="M16" s="17" t="n">
        <v>6</v>
      </c>
      <c r="N16" s="17" t="n">
        <v>5</v>
      </c>
      <c r="O16" s="17" t="n">
        <v>7</v>
      </c>
      <c r="P16" s="17" t="n">
        <v>5</v>
      </c>
      <c r="Q16" s="17" t="n">
        <v>4</v>
      </c>
      <c r="R16" s="17" t="n">
        <v>6</v>
      </c>
      <c r="S16" s="17" t="n">
        <v>4</v>
      </c>
      <c r="T16" s="17" t="n">
        <v>8</v>
      </c>
      <c r="U16" s="17" t="n">
        <v>5</v>
      </c>
      <c r="V16" s="17" t="n">
        <v>5</v>
      </c>
      <c r="W16" s="17" t="n">
        <v>3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6</v>
      </c>
      <c r="AC16" s="17" t="n">
        <v>4</v>
      </c>
      <c r="AD16" s="17" t="n">
        <v>5</v>
      </c>
      <c r="AE16" s="17" t="n">
        <v>3</v>
      </c>
      <c r="AF16" s="17" t="n">
        <v>4</v>
      </c>
      <c r="AG16" s="17" t="n">
        <v>4</v>
      </c>
      <c r="AH16" s="17" t="n">
        <v>5</v>
      </c>
      <c r="AI16" s="17" t="n">
        <v>5</v>
      </c>
      <c r="AJ16" s="17" t="n">
        <v>4</v>
      </c>
      <c r="AK16" s="17" t="n">
        <v>5</v>
      </c>
      <c r="AL16" s="17" t="n">
        <v>5</v>
      </c>
      <c r="AM16" s="17" t="n">
        <v>4</v>
      </c>
      <c r="AN16" s="17" t="n">
        <v>4</v>
      </c>
      <c r="AO16" s="17" t="n">
        <v>5</v>
      </c>
      <c r="AP16" s="17" t="n">
        <v>6</v>
      </c>
      <c r="AQ16" s="17" t="n">
        <v>4</v>
      </c>
      <c r="AR16" s="17" t="n">
        <v>4</v>
      </c>
      <c r="AS16" s="17" t="n">
        <v>5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Benji Botham</t>
        </is>
      </c>
      <c r="C17" s="8" t="inlineStr"/>
      <c r="D17" t="inlineStr">
        <is>
          <t>Internacional</t>
        </is>
      </c>
      <c r="E17" s="8" t="n">
        <v>13</v>
      </c>
      <c r="F17" s="17" t="n">
        <v>5</v>
      </c>
      <c r="G17" s="17" t="n">
        <v>4</v>
      </c>
      <c r="H17" s="17" t="n">
        <v>5</v>
      </c>
      <c r="I17" s="17" t="n">
        <v>5</v>
      </c>
      <c r="J17" s="17" t="n">
        <v>5</v>
      </c>
      <c r="K17" s="17" t="n">
        <v>4</v>
      </c>
      <c r="L17" s="17" t="n">
        <v>4</v>
      </c>
      <c r="M17" s="17" t="n">
        <v>5</v>
      </c>
      <c r="N17" s="17" t="n">
        <v>5</v>
      </c>
      <c r="O17" s="17" t="n">
        <v>7</v>
      </c>
      <c r="P17" s="17" t="n">
        <v>5</v>
      </c>
      <c r="Q17" s="17" t="n">
        <v>3</v>
      </c>
      <c r="R17" s="17" t="n">
        <v>5</v>
      </c>
      <c r="S17" s="17" t="n">
        <v>6</v>
      </c>
      <c r="T17" s="17" t="n">
        <v>7</v>
      </c>
      <c r="U17" s="17" t="n">
        <v>6</v>
      </c>
      <c r="V17" s="17" t="n">
        <v>3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5</v>
      </c>
      <c r="AC17" s="17" t="n">
        <v>3</v>
      </c>
      <c r="AD17" s="17" t="n">
        <v>4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6</v>
      </c>
      <c r="AJ17" s="17" t="n">
        <v>4</v>
      </c>
      <c r="AK17" s="17" t="n">
        <v>6</v>
      </c>
      <c r="AL17" s="17" t="n">
        <v>6</v>
      </c>
      <c r="AM17" s="17" t="n">
        <v>3</v>
      </c>
      <c r="AN17" s="17" t="n">
        <v>5</v>
      </c>
      <c r="AO17" s="17" t="n">
        <v>5</v>
      </c>
      <c r="AP17" s="17" t="n">
        <v>7</v>
      </c>
      <c r="AQ17" s="17" t="n">
        <v>4</v>
      </c>
      <c r="AR17" s="17" t="n">
        <v>4</v>
      </c>
      <c r="AS17" s="17" t="n">
        <v>5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Marek Pejas</t>
        </is>
      </c>
      <c r="C18" s="8" t="inlineStr">
        <is>
          <t>52069</t>
        </is>
      </c>
      <c r="D18" t="inlineStr">
        <is>
          <t>Vilamoura, C. G</t>
        </is>
      </c>
      <c r="E18" s="8" t="n">
        <v>20.4</v>
      </c>
      <c r="F18" s="17" t="n">
        <v>6</v>
      </c>
      <c r="G18" s="17" t="n">
        <v>4</v>
      </c>
      <c r="H18" s="17" t="n">
        <v>6</v>
      </c>
      <c r="I18" s="17" t="n">
        <v>4</v>
      </c>
      <c r="J18" s="17" t="n">
        <v>6</v>
      </c>
      <c r="K18" s="17" t="n">
        <v>4</v>
      </c>
      <c r="L18" s="17" t="n">
        <v>4</v>
      </c>
      <c r="M18" s="17" t="n">
        <v>6</v>
      </c>
      <c r="N18" s="17" t="n">
        <v>5</v>
      </c>
      <c r="O18" s="17" t="n">
        <v>6</v>
      </c>
      <c r="P18" s="17" t="n">
        <v>5</v>
      </c>
      <c r="Q18" s="17" t="n">
        <v>4</v>
      </c>
      <c r="R18" s="17" t="n">
        <v>6</v>
      </c>
      <c r="S18" s="17" t="n">
        <v>4</v>
      </c>
      <c r="T18" s="17" t="n">
        <v>6</v>
      </c>
      <c r="U18" s="17" t="n">
        <v>7</v>
      </c>
      <c r="V18" s="17" t="n">
        <v>3</v>
      </c>
      <c r="W18" s="17" t="n">
        <v>6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7</v>
      </c>
      <c r="AC18" s="17" t="n">
        <v>3</v>
      </c>
      <c r="AD18" s="17" t="n">
        <v>7</v>
      </c>
      <c r="AE18" s="17" t="n">
        <v>3</v>
      </c>
      <c r="AF18" s="17" t="n">
        <v>8</v>
      </c>
      <c r="AG18" s="17" t="n">
        <v>5</v>
      </c>
      <c r="AH18" s="17" t="n">
        <v>5</v>
      </c>
      <c r="AI18" s="17" t="n">
        <v>6</v>
      </c>
      <c r="AJ18" s="17" t="n">
        <v>5</v>
      </c>
      <c r="AK18" s="17" t="n">
        <v>6</v>
      </c>
      <c r="AL18" s="17" t="n">
        <v>5</v>
      </c>
      <c r="AM18" s="17" t="n">
        <v>4</v>
      </c>
      <c r="AN18" s="17" t="n">
        <v>6</v>
      </c>
      <c r="AO18" s="17" t="n">
        <v>6</v>
      </c>
      <c r="AP18" s="17" t="n">
        <v>7</v>
      </c>
      <c r="AQ18" s="17" t="n">
        <v>5</v>
      </c>
      <c r="AR18" s="17" t="n">
        <v>4</v>
      </c>
      <c r="AS18" s="17" t="n">
        <v>5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8">
        <f>AA18+AW18</f>
        <v/>
      </c>
    </row>
    <row r="19">
      <c r="A19" s="8" t="n">
        <v>7</v>
      </c>
      <c r="B19" t="inlineStr">
        <is>
          <t>Miguel Santos Pereira</t>
        </is>
      </c>
      <c r="C19" s="8" t="inlineStr">
        <is>
          <t>48946</t>
        </is>
      </c>
      <c r="D19" t="inlineStr">
        <is>
          <t>Vilamoura, C. G</t>
        </is>
      </c>
      <c r="E19" s="8" t="n">
        <v>21.3</v>
      </c>
      <c r="F19" s="17" t="n">
        <v>6</v>
      </c>
      <c r="G19" s="17" t="n">
        <v>3</v>
      </c>
      <c r="H19" s="17" t="n">
        <v>5</v>
      </c>
      <c r="I19" s="17" t="n">
        <v>4</v>
      </c>
      <c r="J19" s="17" t="n">
        <v>5</v>
      </c>
      <c r="K19" s="17" t="n">
        <v>4</v>
      </c>
      <c r="L19" s="17" t="n">
        <v>5</v>
      </c>
      <c r="M19" s="17" t="n">
        <v>5</v>
      </c>
      <c r="N19" s="17" t="n">
        <v>5</v>
      </c>
      <c r="O19" s="17" t="n">
        <v>6</v>
      </c>
      <c r="P19" s="17" t="n">
        <v>6</v>
      </c>
      <c r="Q19" s="17" t="n">
        <v>4</v>
      </c>
      <c r="R19" s="17" t="n">
        <v>4</v>
      </c>
      <c r="S19" s="17" t="n">
        <v>6</v>
      </c>
      <c r="T19" s="17" t="n">
        <v>9</v>
      </c>
      <c r="U19" s="17" t="n">
        <v>6</v>
      </c>
      <c r="V19" s="17" t="n">
        <v>3</v>
      </c>
      <c r="W19" s="17" t="n">
        <v>7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7</v>
      </c>
      <c r="AC19" s="17" t="n">
        <v>4</v>
      </c>
      <c r="AD19" s="17" t="n">
        <v>6</v>
      </c>
      <c r="AE19" s="17" t="n">
        <v>3</v>
      </c>
      <c r="AF19" s="17" t="n">
        <v>5</v>
      </c>
      <c r="AG19" s="17" t="n">
        <v>4</v>
      </c>
      <c r="AH19" s="17" t="n">
        <v>4</v>
      </c>
      <c r="AI19" s="17" t="n">
        <v>5</v>
      </c>
      <c r="AJ19" s="17" t="n">
        <v>5</v>
      </c>
      <c r="AK19" s="17" t="n">
        <v>5</v>
      </c>
      <c r="AL19" s="17" t="n">
        <v>6</v>
      </c>
      <c r="AM19" s="17" t="n">
        <v>3</v>
      </c>
      <c r="AN19" s="17" t="n">
        <v>5</v>
      </c>
      <c r="AO19" s="17" t="n">
        <v>3</v>
      </c>
      <c r="AP19" s="17" t="n">
        <v>7</v>
      </c>
      <c r="AQ19" s="17" t="n">
        <v>5</v>
      </c>
      <c r="AR19" s="17" t="n">
        <v>4</v>
      </c>
      <c r="AS19" s="17" t="n">
        <v>7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8">
        <f>AA19+AW19</f>
        <v/>
      </c>
    </row>
    <row r="20">
      <c r="A20" s="8" t="n">
        <v>8</v>
      </c>
      <c r="B20" t="inlineStr">
        <is>
          <t>George Campbell</t>
        </is>
      </c>
      <c r="C20" s="8" t="inlineStr"/>
      <c r="D20" t="inlineStr">
        <is>
          <t>Internacional</t>
        </is>
      </c>
      <c r="E20" s="8" t="n">
        <v>20</v>
      </c>
      <c r="F20" s="17" t="n">
        <v>7</v>
      </c>
      <c r="G20" s="17" t="n">
        <v>3</v>
      </c>
      <c r="H20" s="17" t="n">
        <v>5</v>
      </c>
      <c r="I20" s="17" t="n">
        <v>3</v>
      </c>
      <c r="J20" s="17" t="n">
        <v>7</v>
      </c>
      <c r="K20" s="17" t="n">
        <v>5</v>
      </c>
      <c r="L20" s="17" t="n">
        <v>5</v>
      </c>
      <c r="M20" s="17" t="n">
        <v>8</v>
      </c>
      <c r="N20" s="17" t="n">
        <v>5</v>
      </c>
      <c r="O20" s="17" t="n">
        <v>6</v>
      </c>
      <c r="P20" s="17" t="n">
        <v>3</v>
      </c>
      <c r="Q20" s="17" t="n">
        <v>3</v>
      </c>
      <c r="R20" s="17" t="n">
        <v>6</v>
      </c>
      <c r="S20" s="17" t="n">
        <v>5</v>
      </c>
      <c r="T20" s="17" t="n">
        <v>7</v>
      </c>
      <c r="U20" s="17" t="n">
        <v>6</v>
      </c>
      <c r="V20" s="17" t="n">
        <v>5</v>
      </c>
      <c r="W20" s="17" t="n">
        <v>5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5</v>
      </c>
      <c r="AC20" s="17" t="n">
        <v>2</v>
      </c>
      <c r="AD20" s="17" t="n">
        <v>6</v>
      </c>
      <c r="AE20" s="17" t="n">
        <v>3</v>
      </c>
      <c r="AF20" s="17" t="n">
        <v>5</v>
      </c>
      <c r="AG20" s="17" t="n">
        <v>5</v>
      </c>
      <c r="AH20" s="17" t="n">
        <v>4</v>
      </c>
      <c r="AI20" s="17" t="n">
        <v>5</v>
      </c>
      <c r="AJ20" s="17" t="n">
        <v>7</v>
      </c>
      <c r="AK20" s="17" t="n">
        <v>6</v>
      </c>
      <c r="AL20" s="17" t="n">
        <v>6</v>
      </c>
      <c r="AM20" s="17" t="n">
        <v>3</v>
      </c>
      <c r="AN20" s="17" t="n">
        <v>8</v>
      </c>
      <c r="AO20" s="17" t="n">
        <v>5</v>
      </c>
      <c r="AP20" s="17" t="n">
        <v>7</v>
      </c>
      <c r="AQ20" s="17" t="n">
        <v>5</v>
      </c>
      <c r="AR20" s="17" t="n">
        <v>4</v>
      </c>
      <c r="AS20" s="17" t="n">
        <v>6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Harry Seabrook</t>
        </is>
      </c>
      <c r="C21" s="8" t="inlineStr">
        <is>
          <t>54264</t>
        </is>
      </c>
      <c r="D21" t="inlineStr">
        <is>
          <t>Vila Sol</t>
        </is>
      </c>
      <c r="E21" s="8" t="n">
        <v>28.6</v>
      </c>
      <c r="F21" s="17" t="n">
        <v>6</v>
      </c>
      <c r="G21" s="17" t="n">
        <v>5</v>
      </c>
      <c r="H21" s="17" t="n">
        <v>4</v>
      </c>
      <c r="I21" s="17" t="n">
        <v>3</v>
      </c>
      <c r="J21" s="17" t="n">
        <v>6</v>
      </c>
      <c r="K21" s="17" t="n">
        <v>7</v>
      </c>
      <c r="L21" s="17" t="n">
        <v>4</v>
      </c>
      <c r="M21" s="17" t="n">
        <v>6</v>
      </c>
      <c r="N21" s="17" t="n">
        <v>7</v>
      </c>
      <c r="O21" s="17" t="n">
        <v>6</v>
      </c>
      <c r="P21" s="17" t="n">
        <v>5</v>
      </c>
      <c r="Q21" s="17" t="n">
        <v>5</v>
      </c>
      <c r="R21" s="17" t="n">
        <v>5</v>
      </c>
      <c r="S21" s="17" t="n">
        <v>7</v>
      </c>
      <c r="T21" s="17" t="n">
        <v>6</v>
      </c>
      <c r="U21" s="17" t="n">
        <v>6</v>
      </c>
      <c r="V21" s="17" t="n">
        <v>6</v>
      </c>
      <c r="W21" s="17" t="n">
        <v>4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5</v>
      </c>
      <c r="AC21" s="17" t="n">
        <v>3</v>
      </c>
      <c r="AD21" s="17" t="n">
        <v>5</v>
      </c>
      <c r="AE21" s="17" t="n">
        <v>2</v>
      </c>
      <c r="AF21" s="17" t="n">
        <v>5</v>
      </c>
      <c r="AG21" s="17" t="n">
        <v>5</v>
      </c>
      <c r="AH21" s="17" t="n">
        <v>3</v>
      </c>
      <c r="AI21" s="17" t="n">
        <v>6</v>
      </c>
      <c r="AJ21" s="17" t="n">
        <v>5</v>
      </c>
      <c r="AK21" s="17" t="n">
        <v>7</v>
      </c>
      <c r="AL21" s="17" t="n">
        <v>6</v>
      </c>
      <c r="AM21" s="17" t="n">
        <v>5</v>
      </c>
      <c r="AN21" s="17" t="n">
        <v>6</v>
      </c>
      <c r="AO21" s="17" t="n">
        <v>4</v>
      </c>
      <c r="AP21" s="17" t="n">
        <v>6</v>
      </c>
      <c r="AQ21" s="17" t="n">
        <v>4</v>
      </c>
      <c r="AR21" s="17" t="n">
        <v>4</v>
      </c>
      <c r="AS21" s="17" t="n">
        <v>6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Harley Botham</t>
        </is>
      </c>
      <c r="C22" s="8" t="inlineStr"/>
      <c r="D22" t="inlineStr">
        <is>
          <t>Internacional</t>
        </is>
      </c>
      <c r="E22" s="8" t="n">
        <v>26</v>
      </c>
      <c r="F22" s="17" t="n">
        <v>6</v>
      </c>
      <c r="G22" s="17" t="n">
        <v>3</v>
      </c>
      <c r="H22" s="17" t="n">
        <v>7</v>
      </c>
      <c r="I22" s="17" t="n">
        <v>4</v>
      </c>
      <c r="J22" s="17" t="n">
        <v>5</v>
      </c>
      <c r="K22" s="17" t="n">
        <v>5</v>
      </c>
      <c r="L22" s="17" t="n">
        <v>5</v>
      </c>
      <c r="M22" s="17" t="n">
        <v>7</v>
      </c>
      <c r="N22" s="17" t="n">
        <v>6</v>
      </c>
      <c r="O22" s="17" t="n">
        <v>6</v>
      </c>
      <c r="P22" s="17" t="n">
        <v>5</v>
      </c>
      <c r="Q22" s="17" t="n">
        <v>3</v>
      </c>
      <c r="R22" s="17" t="n">
        <v>4</v>
      </c>
      <c r="S22" s="17" t="n">
        <v>7</v>
      </c>
      <c r="T22" s="17" t="n">
        <v>10</v>
      </c>
      <c r="U22" s="17" t="n">
        <v>7</v>
      </c>
      <c r="V22" s="17" t="n">
        <v>3</v>
      </c>
      <c r="W22" s="17" t="n">
        <v>5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7</v>
      </c>
      <c r="AC22" s="17" t="n">
        <v>2</v>
      </c>
      <c r="AD22" s="17" t="n">
        <v>5</v>
      </c>
      <c r="AE22" s="17" t="n">
        <v>4</v>
      </c>
      <c r="AF22" s="17" t="n">
        <v>4</v>
      </c>
      <c r="AG22" s="17" t="n">
        <v>4</v>
      </c>
      <c r="AH22" s="17" t="n">
        <v>6</v>
      </c>
      <c r="AI22" s="17" t="n">
        <v>6</v>
      </c>
      <c r="AJ22" s="17" t="n">
        <v>5</v>
      </c>
      <c r="AK22" s="17" t="n">
        <v>6</v>
      </c>
      <c r="AL22" s="17" t="n">
        <v>6</v>
      </c>
      <c r="AM22" s="17" t="n">
        <v>5</v>
      </c>
      <c r="AN22" s="17" t="n">
        <v>5</v>
      </c>
      <c r="AO22" s="17" t="n">
        <v>6</v>
      </c>
      <c r="AP22" s="17" t="n">
        <v>7</v>
      </c>
      <c r="AQ22" s="17" t="n">
        <v>6</v>
      </c>
      <c r="AR22" s="17" t="n">
        <v>3</v>
      </c>
      <c r="AS22" s="17" t="n">
        <v>6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Gabriel Costa</t>
        </is>
      </c>
      <c r="C23" s="8" t="inlineStr">
        <is>
          <t>53838</t>
        </is>
      </c>
      <c r="D23" t="inlineStr">
        <is>
          <t>Amendoeira</t>
        </is>
      </c>
      <c r="E23" s="8" t="n">
        <v>21.4</v>
      </c>
      <c r="F23" s="17" t="n">
        <v>6</v>
      </c>
      <c r="G23" s="17" t="n">
        <v>4</v>
      </c>
      <c r="H23" s="17" t="n">
        <v>5</v>
      </c>
      <c r="I23" s="17" t="n">
        <v>4</v>
      </c>
      <c r="J23" s="17" t="n">
        <v>5</v>
      </c>
      <c r="K23" s="17" t="n">
        <v>5</v>
      </c>
      <c r="L23" s="17" t="n">
        <v>7</v>
      </c>
      <c r="M23" s="17" t="n">
        <v>7</v>
      </c>
      <c r="N23" s="17" t="n">
        <v>8</v>
      </c>
      <c r="O23" s="17" t="n">
        <v>6</v>
      </c>
      <c r="P23" s="17" t="n">
        <v>5</v>
      </c>
      <c r="Q23" s="17" t="n">
        <v>4</v>
      </c>
      <c r="R23" s="17" t="n">
        <v>4</v>
      </c>
      <c r="S23" s="17" t="n">
        <v>3</v>
      </c>
      <c r="T23" s="17" t="n">
        <v>9</v>
      </c>
      <c r="U23" s="17" t="n">
        <v>6</v>
      </c>
      <c r="V23" s="17" t="n">
        <v>6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7</v>
      </c>
      <c r="AC23" s="17" t="n">
        <v>4</v>
      </c>
      <c r="AD23" s="17" t="n">
        <v>4</v>
      </c>
      <c r="AE23" s="17" t="n">
        <v>4</v>
      </c>
      <c r="AF23" s="17" t="n">
        <v>6</v>
      </c>
      <c r="AG23" s="17" t="n">
        <v>4</v>
      </c>
      <c r="AH23" s="17" t="n">
        <v>6</v>
      </c>
      <c r="AI23" s="17" t="n">
        <v>3</v>
      </c>
      <c r="AJ23" s="17" t="n">
        <v>5</v>
      </c>
      <c r="AK23" s="17" t="n">
        <v>7</v>
      </c>
      <c r="AL23" s="17" t="n">
        <v>5</v>
      </c>
      <c r="AM23" s="17" t="n">
        <v>3</v>
      </c>
      <c r="AN23" s="17" t="n">
        <v>4</v>
      </c>
      <c r="AO23" s="17" t="n">
        <v>7</v>
      </c>
      <c r="AP23" s="17" t="n">
        <v>5</v>
      </c>
      <c r="AQ23" s="17" t="n">
        <v>5</v>
      </c>
      <c r="AR23" s="17" t="n">
        <v>5</v>
      </c>
      <c r="AS23" s="17" t="n">
        <v>7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8">
        <f>AA23+AW23</f>
        <v/>
      </c>
    </row>
    <row r="24">
      <c r="A24" s="8" t="n">
        <v>12</v>
      </c>
      <c r="B24" t="inlineStr">
        <is>
          <t>Yeonjin Seo</t>
        </is>
      </c>
      <c r="C24" s="8" t="inlineStr"/>
      <c r="D24" t="inlineStr">
        <is>
          <t>Internacional</t>
        </is>
      </c>
      <c r="E24" s="8" t="n">
        <v>24</v>
      </c>
      <c r="F24" s="17" t="n">
        <v>5</v>
      </c>
      <c r="G24" s="17" t="n">
        <v>3</v>
      </c>
      <c r="H24" s="17" t="n">
        <v>7</v>
      </c>
      <c r="I24" s="17" t="n">
        <v>5</v>
      </c>
      <c r="J24" s="17" t="n">
        <v>7</v>
      </c>
      <c r="K24" s="17" t="n">
        <v>4</v>
      </c>
      <c r="L24" s="17" t="n">
        <v>4</v>
      </c>
      <c r="M24" s="17" t="n">
        <v>7</v>
      </c>
      <c r="N24" s="17" t="n">
        <v>7</v>
      </c>
      <c r="O24" s="17" t="n">
        <v>6</v>
      </c>
      <c r="P24" s="17" t="n">
        <v>7</v>
      </c>
      <c r="Q24" s="17" t="n">
        <v>4</v>
      </c>
      <c r="R24" s="17" t="n">
        <v>6</v>
      </c>
      <c r="S24" s="17" t="n">
        <v>8</v>
      </c>
      <c r="T24" s="17" t="n">
        <v>8</v>
      </c>
      <c r="U24" s="17" t="n">
        <v>7</v>
      </c>
      <c r="V24" s="17" t="n">
        <v>7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5</v>
      </c>
      <c r="AC24" s="17" t="n">
        <v>4</v>
      </c>
      <c r="AD24" s="17" t="n">
        <v>6</v>
      </c>
      <c r="AE24" s="17" t="n">
        <v>4</v>
      </c>
      <c r="AF24" s="17" t="n">
        <v>5</v>
      </c>
      <c r="AG24" s="17" t="n">
        <v>5</v>
      </c>
      <c r="AH24" s="17" t="n">
        <v>6</v>
      </c>
      <c r="AI24" s="17" t="n">
        <v>6</v>
      </c>
      <c r="AJ24" s="17" t="n">
        <v>7</v>
      </c>
      <c r="AK24" s="17" t="n">
        <v>7</v>
      </c>
      <c r="AL24" s="17" t="n">
        <v>5</v>
      </c>
      <c r="AM24" s="17" t="n">
        <v>5</v>
      </c>
      <c r="AN24" s="17" t="n">
        <v>5</v>
      </c>
      <c r="AO24" s="17" t="n">
        <v>5</v>
      </c>
      <c r="AP24" s="17" t="n">
        <v>6</v>
      </c>
      <c r="AQ24" s="17" t="n">
        <v>5</v>
      </c>
      <c r="AR24" s="17" t="n">
        <v>4</v>
      </c>
      <c r="AS24" s="17" t="n">
        <v>6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</sheetData>
  <mergeCells count="1">
    <mergeCell ref="A1:H1"/>
  </mergeCells>
  <conditionalFormatting sqref="F13:F24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24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24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24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24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24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24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24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24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24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24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24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24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24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24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24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24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24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24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24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24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24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24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24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24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24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24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24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24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24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24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24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24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24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24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24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3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3º Drive Tour Norte — Vale Pisão</t>
        </is>
      </c>
    </row>
    <row r="2">
      <c r="A2" s="10" t="inlineStr">
        <is>
          <t>Data:</t>
        </is>
      </c>
      <c r="B2" t="inlineStr">
        <is>
          <t>2026-02-28</t>
        </is>
      </c>
    </row>
    <row r="3">
      <c r="A3" s="10" t="inlineStr">
        <is>
          <t>Campo:</t>
        </is>
      </c>
      <c r="B3" t="inlineStr">
        <is>
          <t>Vale Pisão</t>
        </is>
      </c>
    </row>
    <row r="4">
      <c r="A4" s="10" t="inlineStr">
        <is>
          <t>ccode/tcode:</t>
        </is>
      </c>
      <c r="B4" t="inlineStr">
        <is>
          <t>987/10208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https://scoring.datagolf.pt/pt/Classifications.aspx?ccode=987&amp;tcode=10208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4</v>
      </c>
      <c r="H11" s="14" t="n">
        <v>4</v>
      </c>
      <c r="I11" s="14" t="n">
        <v>3</v>
      </c>
      <c r="J11" s="14" t="n">
        <v>5</v>
      </c>
      <c r="K11" s="14" t="n">
        <v>4</v>
      </c>
      <c r="L11" s="14" t="n">
        <v>3</v>
      </c>
      <c r="M11" s="14" t="n">
        <v>5</v>
      </c>
      <c r="N11" s="14" t="n">
        <v>4</v>
      </c>
      <c r="O11" s="14" t="n">
        <v>5</v>
      </c>
      <c r="P11" s="14" t="n">
        <v>4</v>
      </c>
      <c r="Q11" s="14" t="n">
        <v>4</v>
      </c>
      <c r="R11" s="14" t="n">
        <v>3</v>
      </c>
      <c r="S11" s="14" t="n">
        <v>5</v>
      </c>
      <c r="T11" s="14" t="n">
        <v>4</v>
      </c>
      <c r="U11" s="14" t="n">
        <v>3</v>
      </c>
      <c r="V11" s="14" t="n">
        <v>5</v>
      </c>
      <c r="W11" s="14" t="n">
        <v>4</v>
      </c>
      <c r="Y11" s="15">
        <f>SUM(F11:W11)</f>
        <v/>
      </c>
      <c r="AB11" s="14" t="n">
        <v>5</v>
      </c>
      <c r="AC11" s="14" t="n">
        <v>4</v>
      </c>
      <c r="AD11" s="14" t="n">
        <v>4</v>
      </c>
      <c r="AE11" s="14" t="n">
        <v>3</v>
      </c>
      <c r="AF11" s="14" t="n">
        <v>5</v>
      </c>
      <c r="AG11" s="14" t="n">
        <v>4</v>
      </c>
      <c r="AH11" s="14" t="n">
        <v>3</v>
      </c>
      <c r="AI11" s="14" t="n">
        <v>5</v>
      </c>
      <c r="AJ11" s="14" t="n">
        <v>4</v>
      </c>
      <c r="AK11" s="14" t="n">
        <v>5</v>
      </c>
      <c r="AL11" s="14" t="n">
        <v>4</v>
      </c>
      <c r="AM11" s="14" t="n">
        <v>4</v>
      </c>
      <c r="AN11" s="14" t="n">
        <v>3</v>
      </c>
      <c r="AO11" s="14" t="n">
        <v>5</v>
      </c>
      <c r="AP11" s="14" t="n">
        <v>4</v>
      </c>
      <c r="AQ11" s="14" t="n">
        <v>3</v>
      </c>
      <c r="AR11" s="14" t="n">
        <v>5</v>
      </c>
      <c r="AS11" s="14" t="n">
        <v>4</v>
      </c>
      <c r="AU11" s="15">
        <f>SUM(AB11:AS11)</f>
        <v/>
      </c>
    </row>
    <row r="12">
      <c r="A12" s="13" t="inlineStr">
        <is>
          <t>—SI—</t>
        </is>
      </c>
      <c r="F12" s="16" t="n">
        <v>1</v>
      </c>
      <c r="G12" s="16" t="n">
        <v>9</v>
      </c>
      <c r="H12" s="16" t="n">
        <v>13</v>
      </c>
      <c r="I12" s="16" t="n">
        <v>11</v>
      </c>
      <c r="J12" s="16" t="n">
        <v>7</v>
      </c>
      <c r="K12" s="16" t="n">
        <v>15</v>
      </c>
      <c r="L12" s="16" t="n">
        <v>17</v>
      </c>
      <c r="M12" s="16" t="n">
        <v>5</v>
      </c>
      <c r="N12" s="16" t="n">
        <v>3</v>
      </c>
      <c r="O12" s="16" t="n">
        <v>2</v>
      </c>
      <c r="P12" s="16" t="n">
        <v>10</v>
      </c>
      <c r="Q12" s="16" t="n">
        <v>14</v>
      </c>
      <c r="R12" s="16" t="n">
        <v>12</v>
      </c>
      <c r="S12" s="16" t="n">
        <v>8</v>
      </c>
      <c r="T12" s="16" t="n">
        <v>16</v>
      </c>
      <c r="U12" s="16" t="n">
        <v>18</v>
      </c>
      <c r="V12" s="16" t="n">
        <v>6</v>
      </c>
      <c r="W12" s="16" t="n">
        <v>4</v>
      </c>
      <c r="AB12" s="16" t="n">
        <v>1</v>
      </c>
      <c r="AC12" s="16" t="n">
        <v>9</v>
      </c>
      <c r="AD12" s="16" t="n">
        <v>13</v>
      </c>
      <c r="AE12" s="16" t="n">
        <v>11</v>
      </c>
      <c r="AF12" s="16" t="n">
        <v>7</v>
      </c>
      <c r="AG12" s="16" t="n">
        <v>15</v>
      </c>
      <c r="AH12" s="16" t="n">
        <v>17</v>
      </c>
      <c r="AI12" s="16" t="n">
        <v>5</v>
      </c>
      <c r="AJ12" s="16" t="n">
        <v>3</v>
      </c>
      <c r="AK12" s="16" t="n">
        <v>2</v>
      </c>
      <c r="AL12" s="16" t="n">
        <v>10</v>
      </c>
      <c r="AM12" s="16" t="n">
        <v>14</v>
      </c>
      <c r="AN12" s="16" t="n">
        <v>12</v>
      </c>
      <c r="AO12" s="16" t="n">
        <v>8</v>
      </c>
      <c r="AP12" s="16" t="n">
        <v>16</v>
      </c>
      <c r="AQ12" s="16" t="n">
        <v>18</v>
      </c>
      <c r="AR12" s="16" t="n">
        <v>6</v>
      </c>
      <c r="AS12" s="16" t="n">
        <v>4</v>
      </c>
    </row>
    <row r="13">
      <c r="A13" s="8" t="n">
        <v>1</v>
      </c>
      <c r="B13" t="inlineStr">
        <is>
          <t>Santiago Dias</t>
        </is>
      </c>
      <c r="C13" s="8" t="inlineStr">
        <is>
          <t>42908</t>
        </is>
      </c>
      <c r="D13" t="inlineStr">
        <is>
          <t>Oporto</t>
        </is>
      </c>
      <c r="E13" s="8" t="n">
        <v>1.8</v>
      </c>
      <c r="F13" s="17" t="n">
        <v>4</v>
      </c>
      <c r="G13" s="17" t="n">
        <v>4</v>
      </c>
      <c r="H13" s="17" t="n">
        <v>4</v>
      </c>
      <c r="I13" s="17" t="n">
        <v>3</v>
      </c>
      <c r="J13" s="17" t="n">
        <v>4</v>
      </c>
      <c r="K13" s="17" t="n">
        <v>3</v>
      </c>
      <c r="L13" s="17" t="n">
        <v>3</v>
      </c>
      <c r="M13" s="17" t="n">
        <v>4</v>
      </c>
      <c r="N13" s="17" t="n">
        <v>4</v>
      </c>
      <c r="O13" s="17" t="n">
        <v>4</v>
      </c>
      <c r="P13" s="17" t="n">
        <v>3</v>
      </c>
      <c r="Q13" s="17" t="n">
        <v>4</v>
      </c>
      <c r="R13" s="17" t="n">
        <v>3</v>
      </c>
      <c r="S13" s="17" t="n">
        <v>5</v>
      </c>
      <c r="T13" s="17" t="n">
        <v>4</v>
      </c>
      <c r="U13" s="17" t="n">
        <v>3</v>
      </c>
      <c r="V13" s="17" t="n">
        <v>4</v>
      </c>
      <c r="W13" s="17" t="n">
        <v>4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10</v>
      </c>
      <c r="AC13" s="17" t="n">
        <v>5</v>
      </c>
      <c r="AD13" s="17" t="n">
        <v>3</v>
      </c>
      <c r="AE13" s="17" t="n">
        <v>3</v>
      </c>
      <c r="AF13" s="17" t="n">
        <v>4</v>
      </c>
      <c r="AG13" s="17" t="n">
        <v>5</v>
      </c>
      <c r="AH13" s="17" t="n">
        <v>4</v>
      </c>
      <c r="AI13" s="17" t="n">
        <v>5</v>
      </c>
      <c r="AJ13" s="17" t="n">
        <v>4</v>
      </c>
      <c r="AK13" s="17" t="n">
        <v>4</v>
      </c>
      <c r="AL13" s="17" t="n">
        <v>4</v>
      </c>
      <c r="AM13" s="17" t="n">
        <v>4</v>
      </c>
      <c r="AN13" s="17" t="n">
        <v>2</v>
      </c>
      <c r="AO13" s="17" t="n">
        <v>5</v>
      </c>
      <c r="AP13" s="17" t="n">
        <v>3</v>
      </c>
      <c r="AQ13" s="17" t="n">
        <v>3</v>
      </c>
      <c r="AR13" s="17" t="n">
        <v>5</v>
      </c>
      <c r="AS13" s="17" t="n">
        <v>4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Luis António Silva</t>
        </is>
      </c>
      <c r="C14" s="8" t="inlineStr">
        <is>
          <t>42845</t>
        </is>
      </c>
      <c r="D14" t="inlineStr">
        <is>
          <t>Oporto</t>
        </is>
      </c>
      <c r="E14" s="8" t="n">
        <v>-3.9</v>
      </c>
      <c r="F14" s="17" t="n">
        <v>4</v>
      </c>
      <c r="G14" s="17" t="n">
        <v>4</v>
      </c>
      <c r="H14" s="17" t="n">
        <v>4</v>
      </c>
      <c r="I14" s="17" t="n">
        <v>3</v>
      </c>
      <c r="J14" s="17" t="n">
        <v>6</v>
      </c>
      <c r="K14" s="17" t="n">
        <v>4</v>
      </c>
      <c r="L14" s="17" t="n">
        <v>3</v>
      </c>
      <c r="M14" s="17" t="n">
        <v>4</v>
      </c>
      <c r="N14" s="17" t="n">
        <v>4</v>
      </c>
      <c r="O14" s="17" t="n">
        <v>5</v>
      </c>
      <c r="P14" s="17" t="n">
        <v>4</v>
      </c>
      <c r="Q14" s="17" t="n">
        <v>3</v>
      </c>
      <c r="R14" s="17" t="n">
        <v>4</v>
      </c>
      <c r="S14" s="17" t="n">
        <v>5</v>
      </c>
      <c r="T14" s="17" t="n">
        <v>4</v>
      </c>
      <c r="U14" s="17" t="n">
        <v>3</v>
      </c>
      <c r="V14" s="17" t="n">
        <v>4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5</v>
      </c>
      <c r="AC14" s="17" t="n">
        <v>4</v>
      </c>
      <c r="AD14" s="17" t="n">
        <v>4</v>
      </c>
      <c r="AE14" s="17" t="n">
        <v>3</v>
      </c>
      <c r="AF14" s="17" t="n">
        <v>5</v>
      </c>
      <c r="AG14" s="17" t="n">
        <v>4</v>
      </c>
      <c r="AH14" s="17" t="n">
        <v>3</v>
      </c>
      <c r="AI14" s="17" t="n">
        <v>5</v>
      </c>
      <c r="AJ14" s="17" t="n">
        <v>4</v>
      </c>
      <c r="AK14" s="17" t="n">
        <v>6</v>
      </c>
      <c r="AL14" s="17" t="n">
        <v>4</v>
      </c>
      <c r="AM14" s="17" t="n">
        <v>4</v>
      </c>
      <c r="AN14" s="17" t="n">
        <v>3</v>
      </c>
      <c r="AO14" s="17" t="n">
        <v>5</v>
      </c>
      <c r="AP14" s="17" t="n">
        <v>3</v>
      </c>
      <c r="AQ14" s="17" t="n">
        <v>3</v>
      </c>
      <c r="AR14" s="17" t="n">
        <v>4</v>
      </c>
      <c r="AS14" s="17" t="n">
        <v>3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Maria Loureiro</t>
        </is>
      </c>
      <c r="C15" s="8" t="inlineStr">
        <is>
          <t>46489</t>
        </is>
      </c>
      <c r="D15" t="inlineStr">
        <is>
          <t>Oporto</t>
        </is>
      </c>
      <c r="E15" s="8" t="n">
        <v>6.3</v>
      </c>
      <c r="F15" s="17" t="n">
        <v>4</v>
      </c>
      <c r="G15" s="17" t="n">
        <v>4</v>
      </c>
      <c r="H15" s="17" t="n">
        <v>3</v>
      </c>
      <c r="I15" s="17" t="n">
        <v>4</v>
      </c>
      <c r="J15" s="17" t="n">
        <v>5</v>
      </c>
      <c r="K15" s="17" t="n">
        <v>5</v>
      </c>
      <c r="L15" s="17" t="n">
        <v>3</v>
      </c>
      <c r="M15" s="17" t="n">
        <v>6</v>
      </c>
      <c r="N15" s="17" t="n">
        <v>4</v>
      </c>
      <c r="O15" s="17" t="n">
        <v>5</v>
      </c>
      <c r="P15" s="17" t="n">
        <v>5</v>
      </c>
      <c r="Q15" s="17" t="n">
        <v>4</v>
      </c>
      <c r="R15" s="17" t="n">
        <v>3</v>
      </c>
      <c r="S15" s="17" t="n">
        <v>5</v>
      </c>
      <c r="T15" s="17" t="n">
        <v>4</v>
      </c>
      <c r="U15" s="17" t="n">
        <v>4</v>
      </c>
      <c r="V15" s="17" t="n">
        <v>4</v>
      </c>
      <c r="W15" s="17" t="n">
        <v>5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6</v>
      </c>
      <c r="AC15" s="17" t="n">
        <v>4</v>
      </c>
      <c r="AD15" s="17" t="n">
        <v>4</v>
      </c>
      <c r="AE15" s="17" t="n">
        <v>4</v>
      </c>
      <c r="AF15" s="17" t="n">
        <v>5</v>
      </c>
      <c r="AG15" s="17" t="n">
        <v>4</v>
      </c>
      <c r="AH15" s="17" t="n">
        <v>3</v>
      </c>
      <c r="AI15" s="17" t="n">
        <v>5</v>
      </c>
      <c r="AJ15" s="17" t="n">
        <v>5</v>
      </c>
      <c r="AK15" s="17" t="n">
        <v>4</v>
      </c>
      <c r="AL15" s="17" t="n">
        <v>4</v>
      </c>
      <c r="AM15" s="17" t="n">
        <v>5</v>
      </c>
      <c r="AN15" s="17" t="n">
        <v>3</v>
      </c>
      <c r="AO15" s="17" t="n">
        <v>5</v>
      </c>
      <c r="AP15" s="17" t="n">
        <v>5</v>
      </c>
      <c r="AQ15" s="17" t="n">
        <v>3</v>
      </c>
      <c r="AR15" s="17" t="n">
        <v>6</v>
      </c>
      <c r="AS15" s="17" t="n">
        <v>5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Pedro Ferreira</t>
        </is>
      </c>
      <c r="C16" s="8" t="inlineStr">
        <is>
          <t>43810</t>
        </is>
      </c>
      <c r="D16" t="inlineStr">
        <is>
          <t>Oporto</t>
        </is>
      </c>
      <c r="E16" s="8" t="n">
        <v>0.4</v>
      </c>
      <c r="F16" s="17" t="n">
        <v>5</v>
      </c>
      <c r="G16" s="17" t="n">
        <v>4</v>
      </c>
      <c r="H16" s="17" t="n">
        <v>4</v>
      </c>
      <c r="I16" s="17" t="n">
        <v>4</v>
      </c>
      <c r="J16" s="17" t="n">
        <v>4</v>
      </c>
      <c r="K16" s="17" t="n">
        <v>4</v>
      </c>
      <c r="L16" s="17" t="n">
        <v>4</v>
      </c>
      <c r="M16" s="17" t="n">
        <v>6</v>
      </c>
      <c r="N16" s="17" t="n">
        <v>4</v>
      </c>
      <c r="O16" s="17" t="n">
        <v>6</v>
      </c>
      <c r="P16" s="17" t="n">
        <v>5</v>
      </c>
      <c r="Q16" s="17" t="n">
        <v>4</v>
      </c>
      <c r="R16" s="17" t="n">
        <v>4</v>
      </c>
      <c r="S16" s="17" t="n">
        <v>4</v>
      </c>
      <c r="T16" s="17" t="n">
        <v>4</v>
      </c>
      <c r="U16" s="17" t="n">
        <v>3</v>
      </c>
      <c r="V16" s="17" t="n">
        <v>5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6</v>
      </c>
      <c r="AC16" s="17" t="n">
        <v>5</v>
      </c>
      <c r="AD16" s="17" t="n">
        <v>4</v>
      </c>
      <c r="AE16" s="17" t="n">
        <v>4</v>
      </c>
      <c r="AF16" s="17" t="n">
        <v>5</v>
      </c>
      <c r="AG16" s="17" t="n">
        <v>4</v>
      </c>
      <c r="AH16" s="17" t="n">
        <v>3</v>
      </c>
      <c r="AI16" s="17" t="n">
        <v>6</v>
      </c>
      <c r="AJ16" s="17" t="n">
        <v>5</v>
      </c>
      <c r="AK16" s="17" t="n">
        <v>5</v>
      </c>
      <c r="AL16" s="17" t="n">
        <v>3</v>
      </c>
      <c r="AM16" s="17" t="n">
        <v>4</v>
      </c>
      <c r="AN16" s="17" t="n">
        <v>3</v>
      </c>
      <c r="AO16" s="17" t="n">
        <v>3</v>
      </c>
      <c r="AP16" s="17" t="n">
        <v>5</v>
      </c>
      <c r="AQ16" s="17" t="n">
        <v>3</v>
      </c>
      <c r="AR16" s="17" t="n">
        <v>7</v>
      </c>
      <c r="AS16" s="17" t="n">
        <v>4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Eva Silva</t>
        </is>
      </c>
      <c r="C17" s="8" t="inlineStr">
        <is>
          <t>46437</t>
        </is>
      </c>
      <c r="D17" t="inlineStr">
        <is>
          <t>Oporto</t>
        </is>
      </c>
      <c r="E17" s="8" t="n">
        <v>1.3</v>
      </c>
      <c r="F17" s="17" t="n">
        <v>6</v>
      </c>
      <c r="G17" s="17" t="n">
        <v>5</v>
      </c>
      <c r="H17" s="17" t="n">
        <v>4</v>
      </c>
      <c r="I17" s="17" t="n">
        <v>3</v>
      </c>
      <c r="J17" s="17" t="n">
        <v>4</v>
      </c>
      <c r="K17" s="17" t="n">
        <v>4</v>
      </c>
      <c r="L17" s="17" t="n">
        <v>2</v>
      </c>
      <c r="M17" s="17" t="n">
        <v>5</v>
      </c>
      <c r="N17" s="17" t="n">
        <v>6</v>
      </c>
      <c r="O17" s="17" t="n">
        <v>6</v>
      </c>
      <c r="P17" s="17" t="n">
        <v>4</v>
      </c>
      <c r="Q17" s="17" t="n">
        <v>4</v>
      </c>
      <c r="R17" s="17" t="n">
        <v>3</v>
      </c>
      <c r="S17" s="17" t="n">
        <v>5</v>
      </c>
      <c r="T17" s="17" t="n">
        <v>4</v>
      </c>
      <c r="U17" s="17" t="n">
        <v>3</v>
      </c>
      <c r="V17" s="17" t="n">
        <v>6</v>
      </c>
      <c r="W17" s="17" t="n">
        <v>5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6</v>
      </c>
      <c r="AC17" s="17" t="n">
        <v>4</v>
      </c>
      <c r="AD17" s="17" t="n">
        <v>4</v>
      </c>
      <c r="AE17" s="17" t="n">
        <v>3</v>
      </c>
      <c r="AF17" s="17" t="n">
        <v>5</v>
      </c>
      <c r="AG17" s="17" t="n">
        <v>4</v>
      </c>
      <c r="AH17" s="17" t="n">
        <v>2</v>
      </c>
      <c r="AI17" s="17" t="n">
        <v>5</v>
      </c>
      <c r="AJ17" s="17" t="n">
        <v>6</v>
      </c>
      <c r="AK17" s="17" t="n">
        <v>5</v>
      </c>
      <c r="AL17" s="17" t="n">
        <v>4</v>
      </c>
      <c r="AM17" s="17" t="n">
        <v>3</v>
      </c>
      <c r="AN17" s="17" t="n">
        <v>5</v>
      </c>
      <c r="AO17" s="17" t="n">
        <v>4</v>
      </c>
      <c r="AP17" s="17" t="n">
        <v>5</v>
      </c>
      <c r="AQ17" s="17" t="n">
        <v>3</v>
      </c>
      <c r="AR17" s="17" t="n">
        <v>5</v>
      </c>
      <c r="AS17" s="17" t="n">
        <v>5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Francisco Nunes (jr)</t>
        </is>
      </c>
      <c r="C18" s="8" t="inlineStr">
        <is>
          <t>46299</t>
        </is>
      </c>
      <c r="D18" t="inlineStr">
        <is>
          <t>Miramar</t>
        </is>
      </c>
      <c r="E18" s="8" t="n">
        <v>5.9</v>
      </c>
      <c r="F18" s="17" t="n">
        <v>7</v>
      </c>
      <c r="G18" s="17" t="n">
        <v>3</v>
      </c>
      <c r="H18" s="17" t="n">
        <v>4</v>
      </c>
      <c r="I18" s="17" t="n">
        <v>3</v>
      </c>
      <c r="J18" s="17" t="n">
        <v>5</v>
      </c>
      <c r="K18" s="17" t="n">
        <v>5</v>
      </c>
      <c r="L18" s="17" t="n">
        <v>3</v>
      </c>
      <c r="M18" s="17" t="n">
        <v>5</v>
      </c>
      <c r="N18" s="17" t="n">
        <v>5</v>
      </c>
      <c r="O18" s="17" t="n">
        <v>5</v>
      </c>
      <c r="P18" s="17" t="n">
        <v>4</v>
      </c>
      <c r="Q18" s="17" t="n">
        <v>4</v>
      </c>
      <c r="R18" s="17" t="n">
        <v>3</v>
      </c>
      <c r="S18" s="17" t="n">
        <v>7</v>
      </c>
      <c r="T18" s="17" t="n">
        <v>3</v>
      </c>
      <c r="U18" s="17" t="n">
        <v>3</v>
      </c>
      <c r="V18" s="17" t="n">
        <v>7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4</v>
      </c>
      <c r="AC18" s="17" t="n">
        <v>4</v>
      </c>
      <c r="AD18" s="17" t="n">
        <v>5</v>
      </c>
      <c r="AE18" s="17" t="n">
        <v>3</v>
      </c>
      <c r="AF18" s="17" t="n">
        <v>5</v>
      </c>
      <c r="AG18" s="17" t="n">
        <v>5</v>
      </c>
      <c r="AH18" s="17" t="n">
        <v>3</v>
      </c>
      <c r="AI18" s="17" t="n">
        <v>5</v>
      </c>
      <c r="AJ18" s="17" t="n">
        <v>4</v>
      </c>
      <c r="AK18" s="17" t="n">
        <v>5</v>
      </c>
      <c r="AL18" s="17" t="n">
        <v>4</v>
      </c>
      <c r="AM18" s="17" t="n">
        <v>5</v>
      </c>
      <c r="AN18" s="17" t="n">
        <v>2</v>
      </c>
      <c r="AO18" s="17" t="n">
        <v>6</v>
      </c>
      <c r="AP18" s="17" t="n">
        <v>3</v>
      </c>
      <c r="AQ18" s="17" t="n">
        <v>2</v>
      </c>
      <c r="AR18" s="17" t="n">
        <v>6</v>
      </c>
      <c r="AS18" s="17" t="n">
        <v>5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8">
        <f>AA18+AW18</f>
        <v/>
      </c>
    </row>
    <row r="19">
      <c r="A19" s="8" t="n">
        <v>7</v>
      </c>
      <c r="B19" t="inlineStr">
        <is>
          <t>Gaspard Maes</t>
        </is>
      </c>
      <c r="C19" s="8" t="inlineStr">
        <is>
          <t>51074</t>
        </is>
      </c>
      <c r="D19" t="inlineStr">
        <is>
          <t>Miramar</t>
        </is>
      </c>
      <c r="E19" s="8" t="n">
        <v>0.9</v>
      </c>
      <c r="F19" s="17" t="n">
        <v>4</v>
      </c>
      <c r="G19" s="17" t="n">
        <v>4</v>
      </c>
      <c r="H19" s="17" t="n">
        <v>4</v>
      </c>
      <c r="I19" s="17" t="n">
        <v>4</v>
      </c>
      <c r="J19" s="17" t="n">
        <v>5</v>
      </c>
      <c r="K19" s="17" t="n">
        <v>4</v>
      </c>
      <c r="L19" s="17" t="n">
        <v>3</v>
      </c>
      <c r="M19" s="17" t="n">
        <v>6</v>
      </c>
      <c r="N19" s="17" t="n">
        <v>5</v>
      </c>
      <c r="O19" s="17" t="n">
        <v>4</v>
      </c>
      <c r="P19" s="17" t="n">
        <v>4</v>
      </c>
      <c r="Q19" s="17" t="n">
        <v>4</v>
      </c>
      <c r="R19" s="17" t="n">
        <v>4</v>
      </c>
      <c r="S19" s="17" t="n">
        <v>5</v>
      </c>
      <c r="T19" s="17" t="n">
        <v>4</v>
      </c>
      <c r="U19" s="17" t="n">
        <v>4</v>
      </c>
      <c r="V19" s="17" t="n">
        <v>6</v>
      </c>
      <c r="W19" s="17" t="n">
        <v>6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5</v>
      </c>
      <c r="AC19" s="17" t="n">
        <v>4</v>
      </c>
      <c r="AD19" s="17" t="n">
        <v>4</v>
      </c>
      <c r="AE19" s="17" t="n">
        <v>4</v>
      </c>
      <c r="AF19" s="17" t="n">
        <v>5</v>
      </c>
      <c r="AG19" s="17" t="n">
        <v>4</v>
      </c>
      <c r="AH19" s="17" t="n">
        <v>3</v>
      </c>
      <c r="AI19" s="17" t="n">
        <v>7</v>
      </c>
      <c r="AJ19" s="17" t="n">
        <v>4</v>
      </c>
      <c r="AK19" s="17" t="n">
        <v>5</v>
      </c>
      <c r="AL19" s="17" t="n">
        <v>4</v>
      </c>
      <c r="AM19" s="17" t="n">
        <v>5</v>
      </c>
      <c r="AN19" s="17" t="n">
        <v>3</v>
      </c>
      <c r="AO19" s="17" t="n">
        <v>8</v>
      </c>
      <c r="AP19" s="17" t="n">
        <v>5</v>
      </c>
      <c r="AQ19" s="17" t="n">
        <v>4</v>
      </c>
      <c r="AR19" s="17" t="n">
        <v>6</v>
      </c>
      <c r="AS19" s="17" t="n">
        <v>6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8">
        <f>AA19+AW19</f>
        <v/>
      </c>
    </row>
    <row r="20">
      <c r="A20" s="8" t="n">
        <v>8</v>
      </c>
      <c r="B20" t="inlineStr">
        <is>
          <t>Gabriel Marques Guerreiro</t>
        </is>
      </c>
      <c r="C20" s="8" t="inlineStr">
        <is>
          <t>43053</t>
        </is>
      </c>
      <c r="D20" t="inlineStr">
        <is>
          <t>Estela</t>
        </is>
      </c>
      <c r="E20" s="8" t="n">
        <v>4.4</v>
      </c>
      <c r="F20" s="17" t="n">
        <v>6</v>
      </c>
      <c r="G20" s="17" t="n">
        <v>5</v>
      </c>
      <c r="H20" s="17" t="n">
        <v>5</v>
      </c>
      <c r="I20" s="17" t="n">
        <v>5</v>
      </c>
      <c r="J20" s="17" t="n">
        <v>5</v>
      </c>
      <c r="K20" s="17" t="n">
        <v>4</v>
      </c>
      <c r="L20" s="17" t="n">
        <v>4</v>
      </c>
      <c r="M20" s="17" t="n">
        <v>3</v>
      </c>
      <c r="N20" s="17" t="n">
        <v>5</v>
      </c>
      <c r="O20" s="17" t="n">
        <v>4</v>
      </c>
      <c r="P20" s="17" t="n">
        <v>5</v>
      </c>
      <c r="Q20" s="17" t="n">
        <v>4</v>
      </c>
      <c r="R20" s="17" t="n">
        <v>3</v>
      </c>
      <c r="S20" s="17" t="n">
        <v>4</v>
      </c>
      <c r="T20" s="17" t="n">
        <v>7</v>
      </c>
      <c r="U20" s="17" t="n">
        <v>4</v>
      </c>
      <c r="V20" s="17" t="n">
        <v>5</v>
      </c>
      <c r="W20" s="17" t="n">
        <v>3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10</v>
      </c>
      <c r="AC20" s="17" t="n">
        <v>7</v>
      </c>
      <c r="AD20" s="17" t="n">
        <v>5</v>
      </c>
      <c r="AE20" s="17" t="n">
        <v>3</v>
      </c>
      <c r="AF20" s="17" t="n">
        <v>6</v>
      </c>
      <c r="AG20" s="17" t="n">
        <v>4</v>
      </c>
      <c r="AH20" s="17" t="n">
        <v>2</v>
      </c>
      <c r="AI20" s="17" t="n">
        <v>6</v>
      </c>
      <c r="AJ20" s="17" t="n">
        <v>6</v>
      </c>
      <c r="AK20" s="17" t="n">
        <v>5</v>
      </c>
      <c r="AL20" s="17" t="n">
        <v>4</v>
      </c>
      <c r="AM20" s="17" t="n">
        <v>4</v>
      </c>
      <c r="AN20" s="17" t="n">
        <v>3</v>
      </c>
      <c r="AO20" s="17" t="n">
        <v>5</v>
      </c>
      <c r="AP20" s="17" t="n">
        <v>5</v>
      </c>
      <c r="AQ20" s="17" t="n">
        <v>3</v>
      </c>
      <c r="AR20" s="17" t="n">
        <v>5</v>
      </c>
      <c r="AS20" s="17" t="n">
        <v>6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Margarida Silva Pinto</t>
        </is>
      </c>
      <c r="C21" s="8" t="inlineStr">
        <is>
          <t>46310</t>
        </is>
      </c>
      <c r="D21" t="inlineStr">
        <is>
          <t>Miramar</t>
        </is>
      </c>
      <c r="E21" s="8" t="n">
        <v>3.9</v>
      </c>
      <c r="F21" s="17" t="n">
        <v>5</v>
      </c>
      <c r="G21" s="17" t="n">
        <v>4</v>
      </c>
      <c r="H21" s="17" t="n">
        <v>4</v>
      </c>
      <c r="I21" s="17" t="n">
        <v>3</v>
      </c>
      <c r="J21" s="17" t="n">
        <v>7</v>
      </c>
      <c r="K21" s="17" t="n">
        <v>5</v>
      </c>
      <c r="L21" s="17" t="n">
        <v>4</v>
      </c>
      <c r="M21" s="17" t="n">
        <v>5</v>
      </c>
      <c r="N21" s="17" t="n">
        <v>4</v>
      </c>
      <c r="O21" s="17" t="n">
        <v>6</v>
      </c>
      <c r="P21" s="17" t="n">
        <v>5</v>
      </c>
      <c r="Q21" s="17" t="n">
        <v>5</v>
      </c>
      <c r="R21" s="17" t="n">
        <v>2</v>
      </c>
      <c r="S21" s="17" t="n">
        <v>5</v>
      </c>
      <c r="T21" s="17" t="n">
        <v>4</v>
      </c>
      <c r="U21" s="17" t="n">
        <v>3</v>
      </c>
      <c r="V21" s="17" t="n">
        <v>5</v>
      </c>
      <c r="W21" s="17" t="n">
        <v>5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5</v>
      </c>
      <c r="AC21" s="17" t="n">
        <v>3</v>
      </c>
      <c r="AD21" s="17" t="n">
        <v>4</v>
      </c>
      <c r="AE21" s="17" t="n">
        <v>3</v>
      </c>
      <c r="AF21" s="17" t="n">
        <v>6</v>
      </c>
      <c r="AG21" s="17" t="n">
        <v>4</v>
      </c>
      <c r="AH21" s="17" t="n">
        <v>5</v>
      </c>
      <c r="AI21" s="17" t="n">
        <v>5</v>
      </c>
      <c r="AJ21" s="17" t="n">
        <v>3</v>
      </c>
      <c r="AK21" s="17" t="n">
        <v>5</v>
      </c>
      <c r="AL21" s="17" t="n">
        <v>7</v>
      </c>
      <c r="AM21" s="17" t="n">
        <v>4</v>
      </c>
      <c r="AN21" s="17" t="n">
        <v>3</v>
      </c>
      <c r="AO21" s="17" t="n">
        <v>5</v>
      </c>
      <c r="AP21" s="17" t="n">
        <v>5</v>
      </c>
      <c r="AQ21" s="17" t="n">
        <v>2</v>
      </c>
      <c r="AR21" s="17" t="n">
        <v>6</v>
      </c>
      <c r="AS21" s="17" t="n">
        <v>4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Maria Francisca Santos</t>
        </is>
      </c>
      <c r="C22" s="8" t="inlineStr">
        <is>
          <t>46853</t>
        </is>
      </c>
      <c r="D22" t="inlineStr">
        <is>
          <t>Oporto</t>
        </is>
      </c>
      <c r="E22" s="8" t="n">
        <v>3.9</v>
      </c>
      <c r="F22" s="17" t="n">
        <v>6</v>
      </c>
      <c r="G22" s="17" t="n">
        <v>5</v>
      </c>
      <c r="H22" s="17" t="n">
        <v>4</v>
      </c>
      <c r="I22" s="17" t="n">
        <v>3</v>
      </c>
      <c r="J22" s="17" t="n">
        <v>4</v>
      </c>
      <c r="K22" s="17" t="n">
        <v>4</v>
      </c>
      <c r="L22" s="17" t="n">
        <v>4</v>
      </c>
      <c r="M22" s="17" t="n">
        <v>5</v>
      </c>
      <c r="N22" s="17" t="n">
        <v>5</v>
      </c>
      <c r="O22" s="17" t="n">
        <v>7</v>
      </c>
      <c r="P22" s="17" t="n">
        <v>5</v>
      </c>
      <c r="Q22" s="17" t="n">
        <v>4</v>
      </c>
      <c r="R22" s="17" t="n">
        <v>3</v>
      </c>
      <c r="S22" s="17" t="n">
        <v>5</v>
      </c>
      <c r="T22" s="17" t="n">
        <v>4</v>
      </c>
      <c r="U22" s="17" t="n">
        <v>3</v>
      </c>
      <c r="V22" s="17" t="n">
        <v>4</v>
      </c>
      <c r="W22" s="17" t="n">
        <v>6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6</v>
      </c>
      <c r="AC22" s="17" t="n">
        <v>4</v>
      </c>
      <c r="AD22" s="17" t="n">
        <v>4</v>
      </c>
      <c r="AE22" s="17" t="n">
        <v>3</v>
      </c>
      <c r="AF22" s="17" t="n">
        <v>4</v>
      </c>
      <c r="AG22" s="17" t="n">
        <v>4</v>
      </c>
      <c r="AH22" s="17" t="n">
        <v>5</v>
      </c>
      <c r="AI22" s="17" t="n">
        <v>6</v>
      </c>
      <c r="AJ22" s="17" t="n">
        <v>4</v>
      </c>
      <c r="AK22" s="17" t="n">
        <v>5</v>
      </c>
      <c r="AL22" s="17" t="n">
        <v>5</v>
      </c>
      <c r="AM22" s="17" t="n">
        <v>4</v>
      </c>
      <c r="AN22" s="17" t="n">
        <v>5</v>
      </c>
      <c r="AO22" s="17" t="n">
        <v>5</v>
      </c>
      <c r="AP22" s="17" t="n">
        <v>3</v>
      </c>
      <c r="AQ22" s="17" t="n">
        <v>2</v>
      </c>
      <c r="AR22" s="17" t="n">
        <v>4</v>
      </c>
      <c r="AS22" s="17" t="n">
        <v>6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Tomás Rente</t>
        </is>
      </c>
      <c r="C23" s="8" t="inlineStr">
        <is>
          <t>46311</t>
        </is>
      </c>
      <c r="D23" t="inlineStr">
        <is>
          <t>Miramar</t>
        </is>
      </c>
      <c r="E23" s="8" t="n">
        <v>6</v>
      </c>
      <c r="F23" s="17" t="n">
        <v>6</v>
      </c>
      <c r="G23" s="17" t="n">
        <v>4</v>
      </c>
      <c r="H23" s="17" t="n">
        <v>5</v>
      </c>
      <c r="I23" s="17" t="n">
        <v>3</v>
      </c>
      <c r="J23" s="17" t="n">
        <v>5</v>
      </c>
      <c r="K23" s="17" t="n">
        <v>4</v>
      </c>
      <c r="L23" s="17" t="n">
        <v>4</v>
      </c>
      <c r="M23" s="17" t="n">
        <v>5</v>
      </c>
      <c r="N23" s="17" t="n">
        <v>4</v>
      </c>
      <c r="O23" s="17" t="n">
        <v>5</v>
      </c>
      <c r="P23" s="17" t="n">
        <v>5</v>
      </c>
      <c r="Q23" s="17" t="n">
        <v>4</v>
      </c>
      <c r="R23" s="17" t="n">
        <v>4</v>
      </c>
      <c r="S23" s="17" t="n">
        <v>5</v>
      </c>
      <c r="T23" s="17" t="n">
        <v>5</v>
      </c>
      <c r="U23" s="17" t="n">
        <v>3</v>
      </c>
      <c r="V23" s="17" t="n">
        <v>4</v>
      </c>
      <c r="W23" s="17" t="n">
        <v>6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7</v>
      </c>
      <c r="AC23" s="17" t="n">
        <v>4</v>
      </c>
      <c r="AD23" s="17" t="n">
        <v>4</v>
      </c>
      <c r="AE23" s="17" t="n">
        <v>4</v>
      </c>
      <c r="AF23" s="17" t="n">
        <v>4</v>
      </c>
      <c r="AG23" s="17" t="n">
        <v>4</v>
      </c>
      <c r="AH23" s="17" t="n">
        <v>3</v>
      </c>
      <c r="AI23" s="17" t="n">
        <v>6</v>
      </c>
      <c r="AJ23" s="17" t="n">
        <v>6</v>
      </c>
      <c r="AK23" s="17" t="n">
        <v>5</v>
      </c>
      <c r="AL23" s="17" t="n">
        <v>6</v>
      </c>
      <c r="AM23" s="17" t="n">
        <v>5</v>
      </c>
      <c r="AN23" s="17" t="n">
        <v>3</v>
      </c>
      <c r="AO23" s="17" t="n">
        <v>4</v>
      </c>
      <c r="AP23" s="17" t="n">
        <v>4</v>
      </c>
      <c r="AQ23" s="17" t="n">
        <v>4</v>
      </c>
      <c r="AR23" s="17" t="n">
        <v>4</v>
      </c>
      <c r="AS23" s="17" t="n">
        <v>4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8">
        <f>AA23+AW23</f>
        <v/>
      </c>
    </row>
    <row r="24">
      <c r="A24" s="8" t="n">
        <v>12</v>
      </c>
      <c r="B24" t="inlineStr">
        <is>
          <t>Lucas Pereira Amorim</t>
        </is>
      </c>
      <c r="C24" s="8" t="inlineStr">
        <is>
          <t>54330</t>
        </is>
      </c>
      <c r="D24" t="inlineStr">
        <is>
          <t>Oporto</t>
        </is>
      </c>
      <c r="E24" s="8" t="n">
        <v>15.9</v>
      </c>
      <c r="F24" s="17" t="n">
        <v>7</v>
      </c>
      <c r="G24" s="17" t="n">
        <v>5</v>
      </c>
      <c r="H24" s="17" t="n">
        <v>4</v>
      </c>
      <c r="I24" s="17" t="n">
        <v>5</v>
      </c>
      <c r="J24" s="17" t="n">
        <v>5</v>
      </c>
      <c r="K24" s="17" t="n">
        <v>4</v>
      </c>
      <c r="L24" s="17" t="n">
        <v>4</v>
      </c>
      <c r="M24" s="17" t="n">
        <v>5</v>
      </c>
      <c r="N24" s="17" t="n">
        <v>4</v>
      </c>
      <c r="O24" s="17" t="n">
        <v>5</v>
      </c>
      <c r="P24" s="17" t="n">
        <v>4</v>
      </c>
      <c r="Q24" s="17" t="n">
        <v>5</v>
      </c>
      <c r="R24" s="17" t="n">
        <v>3</v>
      </c>
      <c r="S24" s="17" t="n">
        <v>4</v>
      </c>
      <c r="T24" s="17" t="n">
        <v>5</v>
      </c>
      <c r="U24" s="17" t="n">
        <v>3</v>
      </c>
      <c r="V24" s="17" t="n">
        <v>6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6</v>
      </c>
      <c r="AC24" s="17" t="n">
        <v>4</v>
      </c>
      <c r="AD24" s="17" t="n">
        <v>5</v>
      </c>
      <c r="AE24" s="17" t="n">
        <v>4</v>
      </c>
      <c r="AF24" s="17" t="n">
        <v>6</v>
      </c>
      <c r="AG24" s="17" t="n">
        <v>3</v>
      </c>
      <c r="AH24" s="17" t="n">
        <v>3</v>
      </c>
      <c r="AI24" s="17" t="n">
        <v>6</v>
      </c>
      <c r="AJ24" s="17" t="n">
        <v>5</v>
      </c>
      <c r="AK24" s="17" t="n">
        <v>6</v>
      </c>
      <c r="AL24" s="17" t="n">
        <v>5</v>
      </c>
      <c r="AM24" s="17" t="n">
        <v>5</v>
      </c>
      <c r="AN24" s="17" t="n">
        <v>3</v>
      </c>
      <c r="AO24" s="17" t="n">
        <v>5</v>
      </c>
      <c r="AP24" s="17" t="n">
        <v>5</v>
      </c>
      <c r="AQ24" s="17" t="n">
        <v>3</v>
      </c>
      <c r="AR24" s="17" t="n">
        <v>6</v>
      </c>
      <c r="AS24" s="17" t="n">
        <v>5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  <row r="25">
      <c r="A25" s="8" t="n">
        <v>13</v>
      </c>
      <c r="B25" t="inlineStr">
        <is>
          <t>Camila Pazos</t>
        </is>
      </c>
      <c r="C25" s="8" t="inlineStr">
        <is>
          <t>46297</t>
        </is>
      </c>
      <c r="D25" t="inlineStr">
        <is>
          <t>Miramar</t>
        </is>
      </c>
      <c r="E25" s="8" t="n">
        <v>2.4</v>
      </c>
      <c r="F25" s="17" t="n">
        <v>6</v>
      </c>
      <c r="G25" s="17" t="n">
        <v>4</v>
      </c>
      <c r="H25" s="17" t="n">
        <v>4</v>
      </c>
      <c r="I25" s="17" t="n">
        <v>3</v>
      </c>
      <c r="J25" s="17" t="n">
        <v>5</v>
      </c>
      <c r="K25" s="17" t="n">
        <v>5</v>
      </c>
      <c r="L25" s="17" t="n">
        <v>3</v>
      </c>
      <c r="M25" s="17" t="n">
        <v>4</v>
      </c>
      <c r="N25" s="17" t="n">
        <v>4</v>
      </c>
      <c r="O25" s="17" t="n">
        <v>9</v>
      </c>
      <c r="P25" s="17" t="n">
        <v>5</v>
      </c>
      <c r="Q25" s="17" t="n">
        <v>4</v>
      </c>
      <c r="R25" s="17" t="n">
        <v>3</v>
      </c>
      <c r="S25" s="17" t="n">
        <v>5</v>
      </c>
      <c r="T25" s="17" t="n">
        <v>4</v>
      </c>
      <c r="U25" s="17" t="n">
        <v>4</v>
      </c>
      <c r="V25" s="17" t="n">
        <v>6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6</v>
      </c>
      <c r="AC25" s="17" t="n">
        <v>5</v>
      </c>
      <c r="AD25" s="17" t="n">
        <v>3</v>
      </c>
      <c r="AE25" s="17" t="n">
        <v>4</v>
      </c>
      <c r="AF25" s="17" t="n">
        <v>6</v>
      </c>
      <c r="AG25" s="17" t="n">
        <v>4</v>
      </c>
      <c r="AH25" s="17" t="n">
        <v>4</v>
      </c>
      <c r="AI25" s="17" t="n">
        <v>5</v>
      </c>
      <c r="AJ25" s="17" t="n">
        <v>5</v>
      </c>
      <c r="AK25" s="17" t="n">
        <v>5</v>
      </c>
      <c r="AL25" s="17" t="n">
        <v>5</v>
      </c>
      <c r="AM25" s="17" t="n">
        <v>4</v>
      </c>
      <c r="AN25" s="17" t="n">
        <v>3</v>
      </c>
      <c r="AO25" s="17" t="n">
        <v>4</v>
      </c>
      <c r="AP25" s="17" t="n">
        <v>4</v>
      </c>
      <c r="AQ25" s="17" t="n">
        <v>3</v>
      </c>
      <c r="AR25" s="17" t="n">
        <v>6</v>
      </c>
      <c r="AS25" s="17" t="n">
        <v>4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8">
        <f>AA25+AW25</f>
        <v/>
      </c>
    </row>
    <row r="26">
      <c r="A26" s="8" t="n">
        <v>14</v>
      </c>
      <c r="B26" t="inlineStr">
        <is>
          <t>Marc Costa</t>
        </is>
      </c>
      <c r="C26" s="8" t="inlineStr">
        <is>
          <t>46308</t>
        </is>
      </c>
      <c r="D26" t="inlineStr">
        <is>
          <t>Citynorte</t>
        </is>
      </c>
      <c r="E26" s="8" t="n">
        <v>13.5</v>
      </c>
      <c r="F26" s="17" t="n">
        <v>6</v>
      </c>
      <c r="G26" s="17" t="n">
        <v>6</v>
      </c>
      <c r="H26" s="17" t="n">
        <v>4</v>
      </c>
      <c r="I26" s="17" t="n">
        <v>3</v>
      </c>
      <c r="J26" s="17" t="n">
        <v>6</v>
      </c>
      <c r="K26" s="17" t="n">
        <v>5</v>
      </c>
      <c r="L26" s="17" t="n">
        <v>3</v>
      </c>
      <c r="M26" s="17" t="n">
        <v>8</v>
      </c>
      <c r="N26" s="17" t="n">
        <v>3</v>
      </c>
      <c r="O26" s="17" t="n">
        <v>5</v>
      </c>
      <c r="P26" s="17" t="n">
        <v>5</v>
      </c>
      <c r="Q26" s="17" t="n">
        <v>4</v>
      </c>
      <c r="R26" s="17" t="n">
        <v>4</v>
      </c>
      <c r="S26" s="17" t="n">
        <v>4</v>
      </c>
      <c r="T26" s="17" t="n">
        <v>5</v>
      </c>
      <c r="U26" s="17" t="n">
        <v>3</v>
      </c>
      <c r="V26" s="17" t="n">
        <v>5</v>
      </c>
      <c r="W26" s="17" t="n">
        <v>5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7" t="n">
        <v>6</v>
      </c>
      <c r="AC26" s="17" t="n">
        <v>6</v>
      </c>
      <c r="AD26" s="17" t="n">
        <v>5</v>
      </c>
      <c r="AE26" s="17" t="n">
        <v>4</v>
      </c>
      <c r="AF26" s="17" t="n">
        <v>5</v>
      </c>
      <c r="AG26" s="17" t="n">
        <v>5</v>
      </c>
      <c r="AH26" s="17" t="n">
        <v>3</v>
      </c>
      <c r="AI26" s="17" t="n">
        <v>6</v>
      </c>
      <c r="AJ26" s="17" t="n">
        <v>4</v>
      </c>
      <c r="AK26" s="17" t="n">
        <v>6</v>
      </c>
      <c r="AL26" s="17" t="n">
        <v>5</v>
      </c>
      <c r="AM26" s="17" t="n">
        <v>6</v>
      </c>
      <c r="AN26" s="17" t="n">
        <v>4</v>
      </c>
      <c r="AO26" s="17" t="n">
        <v>5</v>
      </c>
      <c r="AP26" s="17" t="n">
        <v>3</v>
      </c>
      <c r="AQ26" s="17" t="n">
        <v>3</v>
      </c>
      <c r="AR26" s="17" t="n">
        <v>6</v>
      </c>
      <c r="AS26" s="17" t="n">
        <v>5</v>
      </c>
      <c r="AT26" s="8">
        <f>SUM(AB26:AS26)</f>
        <v/>
      </c>
      <c r="AU26" s="8">
        <f>AU11</f>
        <v/>
      </c>
      <c r="AV26" s="8">
        <f>AT26-AU26</f>
        <v/>
      </c>
      <c r="AW26" s="8">
        <f>MAX(0,25-AV26)*1.0</f>
        <v/>
      </c>
      <c r="AX26" s="18">
        <f>AA26+AW26</f>
        <v/>
      </c>
    </row>
    <row r="27">
      <c r="A27" s="8" t="n">
        <v>15</v>
      </c>
      <c r="B27" t="inlineStr">
        <is>
          <t>Sebastiao Sardinha Saraiva</t>
        </is>
      </c>
      <c r="C27" s="8" t="inlineStr">
        <is>
          <t>46195</t>
        </is>
      </c>
      <c r="D27" t="inlineStr">
        <is>
          <t>Oporto</t>
        </is>
      </c>
      <c r="E27" s="8" t="n">
        <v>5.8</v>
      </c>
      <c r="F27" s="17" t="n">
        <v>7</v>
      </c>
      <c r="G27" s="17" t="n">
        <v>5</v>
      </c>
      <c r="H27" s="17" t="n">
        <v>5</v>
      </c>
      <c r="I27" s="17" t="n">
        <v>3</v>
      </c>
      <c r="J27" s="17" t="n">
        <v>5</v>
      </c>
      <c r="K27" s="17" t="n">
        <v>4</v>
      </c>
      <c r="L27" s="17" t="n">
        <v>3</v>
      </c>
      <c r="M27" s="17" t="n">
        <v>5</v>
      </c>
      <c r="N27" s="17" t="n">
        <v>6</v>
      </c>
      <c r="O27" s="17" t="n">
        <v>5</v>
      </c>
      <c r="P27" s="17" t="n">
        <v>6</v>
      </c>
      <c r="Q27" s="17" t="n">
        <v>4</v>
      </c>
      <c r="R27" s="17" t="n">
        <v>4</v>
      </c>
      <c r="S27" s="17" t="n">
        <v>4</v>
      </c>
      <c r="T27" s="17" t="n">
        <v>3</v>
      </c>
      <c r="U27" s="17" t="n">
        <v>4</v>
      </c>
      <c r="V27" s="17" t="n">
        <v>6</v>
      </c>
      <c r="W27" s="17" t="n">
        <v>5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7" t="n">
        <v>5</v>
      </c>
      <c r="AC27" s="17" t="n">
        <v>5</v>
      </c>
      <c r="AD27" s="17" t="n">
        <v>6</v>
      </c>
      <c r="AE27" s="17" t="n">
        <v>4</v>
      </c>
      <c r="AF27" s="17" t="n">
        <v>5</v>
      </c>
      <c r="AG27" s="17" t="n">
        <v>4</v>
      </c>
      <c r="AH27" s="17" t="n">
        <v>5</v>
      </c>
      <c r="AI27" s="17" t="n">
        <v>6</v>
      </c>
      <c r="AJ27" s="17" t="n">
        <v>4</v>
      </c>
      <c r="AK27" s="17" t="n">
        <v>6</v>
      </c>
      <c r="AL27" s="17" t="n">
        <v>4</v>
      </c>
      <c r="AM27" s="17" t="n">
        <v>6</v>
      </c>
      <c r="AN27" s="17" t="n">
        <v>4</v>
      </c>
      <c r="AO27" s="17" t="n">
        <v>7</v>
      </c>
      <c r="AP27" s="17" t="n">
        <v>4</v>
      </c>
      <c r="AQ27" s="17" t="n">
        <v>4</v>
      </c>
      <c r="AR27" s="17" t="n">
        <v>6</v>
      </c>
      <c r="AS27" s="17" t="n">
        <v>5</v>
      </c>
      <c r="AT27" s="8">
        <f>SUM(AB27:AS27)</f>
        <v/>
      </c>
      <c r="AU27" s="8">
        <f>AU11</f>
        <v/>
      </c>
      <c r="AV27" s="8">
        <f>AT27-AU27</f>
        <v/>
      </c>
      <c r="AW27" s="8">
        <f>MAX(0,25-AV27)*1.0</f>
        <v/>
      </c>
      <c r="AX27" s="18">
        <f>AA27+AW27</f>
        <v/>
      </c>
    </row>
    <row r="28">
      <c r="A28" s="8" t="n">
        <v>16</v>
      </c>
      <c r="B28" t="inlineStr">
        <is>
          <t>Afonso de Sousa Pinto</t>
        </is>
      </c>
      <c r="C28" s="8" t="inlineStr">
        <is>
          <t>46480</t>
        </is>
      </c>
      <c r="D28" t="inlineStr">
        <is>
          <t>Oporto</t>
        </is>
      </c>
      <c r="E28" s="8" t="n">
        <v>10.3</v>
      </c>
      <c r="F28" s="17" t="n">
        <v>5</v>
      </c>
      <c r="G28" s="17" t="n">
        <v>6</v>
      </c>
      <c r="H28" s="17" t="n">
        <v>4</v>
      </c>
      <c r="I28" s="17" t="n">
        <v>3</v>
      </c>
      <c r="J28" s="17" t="n">
        <v>5</v>
      </c>
      <c r="K28" s="17" t="n">
        <v>4</v>
      </c>
      <c r="L28" s="17" t="n">
        <v>2</v>
      </c>
      <c r="M28" s="17" t="n">
        <v>7</v>
      </c>
      <c r="N28" s="17" t="n">
        <v>6</v>
      </c>
      <c r="O28" s="17" t="n">
        <v>6</v>
      </c>
      <c r="P28" s="17" t="n">
        <v>4</v>
      </c>
      <c r="Q28" s="17" t="n">
        <v>4</v>
      </c>
      <c r="R28" s="17" t="n">
        <v>3</v>
      </c>
      <c r="S28" s="17" t="n">
        <v>5</v>
      </c>
      <c r="T28" s="17" t="n">
        <v>5</v>
      </c>
      <c r="U28" s="17" t="n">
        <v>3</v>
      </c>
      <c r="V28" s="17" t="n">
        <v>6</v>
      </c>
      <c r="W28" s="17" t="n">
        <v>6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7" t="n">
        <v>5</v>
      </c>
      <c r="AC28" s="17" t="n">
        <v>7</v>
      </c>
      <c r="AD28" s="17" t="n">
        <v>5</v>
      </c>
      <c r="AE28" s="17" t="n">
        <v>3</v>
      </c>
      <c r="AF28" s="17" t="n">
        <v>5</v>
      </c>
      <c r="AG28" s="17" t="n">
        <v>4</v>
      </c>
      <c r="AH28" s="17" t="n">
        <v>4</v>
      </c>
      <c r="AI28" s="17" t="n">
        <v>6</v>
      </c>
      <c r="AJ28" s="17" t="n">
        <v>4</v>
      </c>
      <c r="AK28" s="17" t="n">
        <v>6</v>
      </c>
      <c r="AL28" s="17" t="n">
        <v>5</v>
      </c>
      <c r="AM28" s="17" t="n">
        <v>4</v>
      </c>
      <c r="AN28" s="17" t="n">
        <v>4</v>
      </c>
      <c r="AO28" s="17" t="n">
        <v>6</v>
      </c>
      <c r="AP28" s="17" t="n">
        <v>4</v>
      </c>
      <c r="AQ28" s="17" t="n">
        <v>4</v>
      </c>
      <c r="AR28" s="17" t="n">
        <v>5</v>
      </c>
      <c r="AS28" s="17" t="n">
        <v>4</v>
      </c>
      <c r="AT28" s="8">
        <f>SUM(AB28:AS28)</f>
        <v/>
      </c>
      <c r="AU28" s="8">
        <f>AU11</f>
        <v/>
      </c>
      <c r="AV28" s="8">
        <f>AT28-AU28</f>
        <v/>
      </c>
      <c r="AW28" s="8">
        <f>MAX(0,25-AV28)*1.0</f>
        <v/>
      </c>
      <c r="AX28" s="18">
        <f>AA28+AW28</f>
        <v/>
      </c>
    </row>
    <row r="29">
      <c r="A29" s="8" t="n">
        <v>17</v>
      </c>
      <c r="B29" t="inlineStr">
        <is>
          <t>André Von Hafe</t>
        </is>
      </c>
      <c r="C29" s="8" t="inlineStr">
        <is>
          <t>40473</t>
        </is>
      </c>
      <c r="D29" t="inlineStr">
        <is>
          <t>Estela</t>
        </is>
      </c>
      <c r="E29" s="8" t="n">
        <v>17.5</v>
      </c>
      <c r="F29" s="17" t="n">
        <v>7</v>
      </c>
      <c r="G29" s="17" t="n">
        <v>5</v>
      </c>
      <c r="H29" s="17" t="n">
        <v>4</v>
      </c>
      <c r="I29" s="17" t="n">
        <v>3</v>
      </c>
      <c r="J29" s="17" t="n">
        <v>5</v>
      </c>
      <c r="K29" s="17" t="n">
        <v>3</v>
      </c>
      <c r="L29" s="17" t="n">
        <v>3</v>
      </c>
      <c r="M29" s="17" t="n">
        <v>6</v>
      </c>
      <c r="N29" s="17" t="n">
        <v>5</v>
      </c>
      <c r="O29" s="17" t="n">
        <v>6</v>
      </c>
      <c r="P29" s="17" t="n">
        <v>5</v>
      </c>
      <c r="Q29" s="17" t="n">
        <v>3</v>
      </c>
      <c r="R29" s="17" t="n">
        <v>3</v>
      </c>
      <c r="S29" s="17" t="n">
        <v>8</v>
      </c>
      <c r="T29" s="17" t="n">
        <v>5</v>
      </c>
      <c r="U29" s="17" t="n">
        <v>4</v>
      </c>
      <c r="V29" s="17" t="n">
        <v>5</v>
      </c>
      <c r="W29" s="17" t="n">
        <v>4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7" t="n">
        <v>6</v>
      </c>
      <c r="AC29" s="17" t="n">
        <v>5</v>
      </c>
      <c r="AD29" s="17" t="n">
        <v>5</v>
      </c>
      <c r="AE29" s="17" t="n">
        <v>4</v>
      </c>
      <c r="AF29" s="17" t="n">
        <v>4</v>
      </c>
      <c r="AG29" s="17" t="n">
        <v>4</v>
      </c>
      <c r="AH29" s="17" t="n">
        <v>4</v>
      </c>
      <c r="AI29" s="17" t="n">
        <v>7</v>
      </c>
      <c r="AJ29" s="17" t="n">
        <v>5</v>
      </c>
      <c r="AK29" s="17" t="n">
        <v>6</v>
      </c>
      <c r="AL29" s="17" t="n">
        <v>5</v>
      </c>
      <c r="AM29" s="17" t="n">
        <v>4</v>
      </c>
      <c r="AN29" s="17" t="n">
        <v>4</v>
      </c>
      <c r="AO29" s="17" t="n">
        <v>7</v>
      </c>
      <c r="AP29" s="17" t="n">
        <v>4</v>
      </c>
      <c r="AQ29" s="17" t="n">
        <v>2</v>
      </c>
      <c r="AR29" s="17" t="n">
        <v>5</v>
      </c>
      <c r="AS29" s="17" t="n">
        <v>4</v>
      </c>
      <c r="AT29" s="8">
        <f>SUM(AB29:AS29)</f>
        <v/>
      </c>
      <c r="AU29" s="8">
        <f>AU11</f>
        <v/>
      </c>
      <c r="AV29" s="8">
        <f>AT29-AU29</f>
        <v/>
      </c>
      <c r="AW29" s="8">
        <f>MAX(0,25-AV29)*1.0</f>
        <v/>
      </c>
      <c r="AX29" s="18">
        <f>AA29+AW29</f>
        <v/>
      </c>
    </row>
    <row r="30">
      <c r="A30" s="8" t="n">
        <v>18</v>
      </c>
      <c r="B30" t="inlineStr">
        <is>
          <t>Jorge Xavier Graça Silva</t>
        </is>
      </c>
      <c r="C30" s="8" t="inlineStr">
        <is>
          <t>48705</t>
        </is>
      </c>
      <c r="D30" t="inlineStr">
        <is>
          <t>Oporto</t>
        </is>
      </c>
      <c r="E30" s="8" t="n">
        <v>7.7</v>
      </c>
      <c r="F30" s="17" t="n">
        <v>7</v>
      </c>
      <c r="G30" s="17" t="n">
        <v>7</v>
      </c>
      <c r="H30" s="17" t="n">
        <v>4</v>
      </c>
      <c r="I30" s="17" t="n">
        <v>3</v>
      </c>
      <c r="J30" s="17" t="n">
        <v>6</v>
      </c>
      <c r="K30" s="17" t="n">
        <v>5</v>
      </c>
      <c r="L30" s="17" t="n">
        <v>3</v>
      </c>
      <c r="M30" s="17" t="n">
        <v>5</v>
      </c>
      <c r="N30" s="17" t="n">
        <v>5</v>
      </c>
      <c r="O30" s="17" t="n">
        <v>6</v>
      </c>
      <c r="P30" s="17" t="n">
        <v>6</v>
      </c>
      <c r="Q30" s="17" t="n">
        <v>4</v>
      </c>
      <c r="R30" s="17" t="n">
        <v>3</v>
      </c>
      <c r="S30" s="17" t="n">
        <v>4</v>
      </c>
      <c r="T30" s="17" t="n">
        <v>4</v>
      </c>
      <c r="U30" s="17" t="n">
        <v>4</v>
      </c>
      <c r="V30" s="17" t="n">
        <v>5</v>
      </c>
      <c r="W30" s="17" t="n">
        <v>4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7" t="n">
        <v>7</v>
      </c>
      <c r="AC30" s="17" t="n">
        <v>4</v>
      </c>
      <c r="AD30" s="17" t="n">
        <v>4</v>
      </c>
      <c r="AE30" s="17" t="n">
        <v>6</v>
      </c>
      <c r="AF30" s="17" t="n">
        <v>5</v>
      </c>
      <c r="AG30" s="17" t="n">
        <v>5</v>
      </c>
      <c r="AH30" s="17" t="n">
        <v>3</v>
      </c>
      <c r="AI30" s="17" t="n">
        <v>5</v>
      </c>
      <c r="AJ30" s="17" t="n">
        <v>4</v>
      </c>
      <c r="AK30" s="17" t="n">
        <v>5</v>
      </c>
      <c r="AL30" s="17" t="n">
        <v>4</v>
      </c>
      <c r="AM30" s="17" t="n">
        <v>5</v>
      </c>
      <c r="AN30" s="17" t="n">
        <v>3</v>
      </c>
      <c r="AO30" s="17" t="n">
        <v>5</v>
      </c>
      <c r="AP30" s="17" t="n">
        <v>4</v>
      </c>
      <c r="AQ30" s="17" t="n">
        <v>4</v>
      </c>
      <c r="AR30" s="17" t="n">
        <v>6</v>
      </c>
      <c r="AS30" s="17" t="n">
        <v>5</v>
      </c>
      <c r="AT30" s="8">
        <f>SUM(AB30:AS30)</f>
        <v/>
      </c>
      <c r="AU30" s="8">
        <f>AU11</f>
        <v/>
      </c>
      <c r="AV30" s="8">
        <f>AT30-AU30</f>
        <v/>
      </c>
      <c r="AW30" s="8">
        <f>MAX(0,25-AV30)*1.0</f>
        <v/>
      </c>
      <c r="AX30" s="18">
        <f>AA30+AW30</f>
        <v/>
      </c>
    </row>
    <row r="31">
      <c r="A31" s="8" t="n">
        <v>19</v>
      </c>
      <c r="B31" t="inlineStr">
        <is>
          <t>Manuel Dias</t>
        </is>
      </c>
      <c r="C31" s="8" t="inlineStr">
        <is>
          <t>52815</t>
        </is>
      </c>
      <c r="D31" t="inlineStr">
        <is>
          <t>Braga</t>
        </is>
      </c>
      <c r="E31" s="8" t="n">
        <v>20</v>
      </c>
      <c r="F31" s="17" t="n">
        <v>7</v>
      </c>
      <c r="G31" s="17" t="n">
        <v>7</v>
      </c>
      <c r="H31" s="17" t="n">
        <v>5</v>
      </c>
      <c r="I31" s="17" t="n">
        <v>3</v>
      </c>
      <c r="J31" s="17" t="n">
        <v>6</v>
      </c>
      <c r="K31" s="17" t="n">
        <v>4</v>
      </c>
      <c r="L31" s="17" t="n">
        <v>3</v>
      </c>
      <c r="M31" s="17" t="n">
        <v>6</v>
      </c>
      <c r="N31" s="17" t="n">
        <v>4</v>
      </c>
      <c r="O31" s="17" t="n">
        <v>6</v>
      </c>
      <c r="P31" s="17" t="n">
        <v>4</v>
      </c>
      <c r="Q31" s="17" t="n">
        <v>4</v>
      </c>
      <c r="R31" s="17" t="n">
        <v>3</v>
      </c>
      <c r="S31" s="17" t="n">
        <v>5</v>
      </c>
      <c r="T31" s="17" t="n">
        <v>4</v>
      </c>
      <c r="U31" s="17" t="n">
        <v>3</v>
      </c>
      <c r="V31" s="17" t="n">
        <v>6</v>
      </c>
      <c r="W31" s="17" t="n">
        <v>5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7" t="n">
        <v>6</v>
      </c>
      <c r="AC31" s="17" t="n">
        <v>6</v>
      </c>
      <c r="AD31" s="17" t="n">
        <v>4</v>
      </c>
      <c r="AE31" s="17" t="n">
        <v>5</v>
      </c>
      <c r="AF31" s="17" t="n">
        <v>7</v>
      </c>
      <c r="AG31" s="17" t="n">
        <v>5</v>
      </c>
      <c r="AH31" s="17" t="n">
        <v>3</v>
      </c>
      <c r="AI31" s="17" t="n">
        <v>7</v>
      </c>
      <c r="AJ31" s="17" t="n">
        <v>5</v>
      </c>
      <c r="AK31" s="17" t="n">
        <v>5</v>
      </c>
      <c r="AL31" s="17" t="n">
        <v>4</v>
      </c>
      <c r="AM31" s="17" t="n">
        <v>5</v>
      </c>
      <c r="AN31" s="17" t="n">
        <v>3</v>
      </c>
      <c r="AO31" s="17" t="n">
        <v>5</v>
      </c>
      <c r="AP31" s="17" t="n">
        <v>5</v>
      </c>
      <c r="AQ31" s="17" t="n">
        <v>4</v>
      </c>
      <c r="AR31" s="17" t="n">
        <v>6</v>
      </c>
      <c r="AS31" s="17" t="n">
        <v>5</v>
      </c>
      <c r="AT31" s="8">
        <f>SUM(AB31:AS31)</f>
        <v/>
      </c>
      <c r="AU31" s="8">
        <f>AU11</f>
        <v/>
      </c>
      <c r="AV31" s="8">
        <f>AT31-AU31</f>
        <v/>
      </c>
      <c r="AW31" s="8">
        <f>MAX(0,25-AV31)*1.0</f>
        <v/>
      </c>
      <c r="AX31" s="18">
        <f>AA31+AW31</f>
        <v/>
      </c>
    </row>
    <row r="32">
      <c r="A32" s="8" t="n">
        <v>20</v>
      </c>
      <c r="B32" t="inlineStr">
        <is>
          <t>Henrique Pereira</t>
        </is>
      </c>
      <c r="C32" s="8" t="inlineStr">
        <is>
          <t>53646</t>
        </is>
      </c>
      <c r="D32" t="inlineStr">
        <is>
          <t>Miramar</t>
        </is>
      </c>
      <c r="E32" s="8" t="n">
        <v>13.4</v>
      </c>
      <c r="F32" s="17" t="n">
        <v>6</v>
      </c>
      <c r="G32" s="17" t="n">
        <v>5</v>
      </c>
      <c r="H32" s="17" t="n">
        <v>4</v>
      </c>
      <c r="I32" s="17" t="n">
        <v>4</v>
      </c>
      <c r="J32" s="17" t="n">
        <v>5</v>
      </c>
      <c r="K32" s="17" t="n">
        <v>3</v>
      </c>
      <c r="L32" s="17" t="n">
        <v>3</v>
      </c>
      <c r="M32" s="17" t="n">
        <v>7</v>
      </c>
      <c r="N32" s="17" t="n">
        <v>4</v>
      </c>
      <c r="O32" s="17" t="n">
        <v>7</v>
      </c>
      <c r="P32" s="17" t="n">
        <v>5</v>
      </c>
      <c r="Q32" s="17" t="n">
        <v>4</v>
      </c>
      <c r="R32" s="17" t="n">
        <v>4</v>
      </c>
      <c r="S32" s="17" t="n">
        <v>5</v>
      </c>
      <c r="T32" s="17" t="n">
        <v>5</v>
      </c>
      <c r="U32" s="17" t="n">
        <v>3</v>
      </c>
      <c r="V32" s="17" t="n">
        <v>6</v>
      </c>
      <c r="W32" s="17" t="n">
        <v>5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7" t="n">
        <v>4</v>
      </c>
      <c r="AC32" s="17" t="n">
        <v>6</v>
      </c>
      <c r="AD32" s="17" t="n">
        <v>4</v>
      </c>
      <c r="AE32" s="17" t="n">
        <v>4</v>
      </c>
      <c r="AF32" s="17" t="n">
        <v>4</v>
      </c>
      <c r="AG32" s="17" t="n">
        <v>5</v>
      </c>
      <c r="AH32" s="17" t="n">
        <v>4</v>
      </c>
      <c r="AI32" s="17" t="n">
        <v>8</v>
      </c>
      <c r="AJ32" s="17" t="n">
        <v>4</v>
      </c>
      <c r="AK32" s="17" t="n">
        <v>4</v>
      </c>
      <c r="AL32" s="17" t="n">
        <v>5</v>
      </c>
      <c r="AM32" s="17" t="n">
        <v>4</v>
      </c>
      <c r="AN32" s="17" t="n">
        <v>3</v>
      </c>
      <c r="AO32" s="17" t="n">
        <v>5</v>
      </c>
      <c r="AP32" s="17" t="n">
        <v>5</v>
      </c>
      <c r="AQ32" s="17" t="n">
        <v>2</v>
      </c>
      <c r="AR32" s="17" t="n">
        <v>7</v>
      </c>
      <c r="AS32" s="17" t="n">
        <v>10</v>
      </c>
      <c r="AT32" s="8">
        <f>SUM(AB32:AS32)</f>
        <v/>
      </c>
      <c r="AU32" s="8">
        <f>AU11</f>
        <v/>
      </c>
      <c r="AV32" s="8">
        <f>AT32-AU32</f>
        <v/>
      </c>
      <c r="AW32" s="8">
        <f>MAX(0,25-AV32)*1.0</f>
        <v/>
      </c>
      <c r="AX32" s="18">
        <f>AA32+AW32</f>
        <v/>
      </c>
    </row>
    <row r="33">
      <c r="A33" s="8" t="n">
        <v>21</v>
      </c>
      <c r="B33" t="inlineStr">
        <is>
          <t>João Balixa</t>
        </is>
      </c>
      <c r="C33" s="8" t="inlineStr">
        <is>
          <t>46038</t>
        </is>
      </c>
      <c r="D33" t="inlineStr">
        <is>
          <t>Miramar</t>
        </is>
      </c>
      <c r="E33" s="8" t="n">
        <v>9.9</v>
      </c>
      <c r="F33" s="17" t="n">
        <v>5</v>
      </c>
      <c r="G33" s="17" t="n">
        <v>6</v>
      </c>
      <c r="H33" s="17" t="n">
        <v>4</v>
      </c>
      <c r="I33" s="17" t="n">
        <v>3</v>
      </c>
      <c r="J33" s="17" t="n">
        <v>7</v>
      </c>
      <c r="K33" s="17" t="n">
        <v>5</v>
      </c>
      <c r="L33" s="17" t="n">
        <v>3</v>
      </c>
      <c r="M33" s="17" t="n">
        <v>7</v>
      </c>
      <c r="N33" s="17" t="n">
        <v>3</v>
      </c>
      <c r="O33" s="17" t="n">
        <v>6</v>
      </c>
      <c r="P33" s="17" t="n">
        <v>5</v>
      </c>
      <c r="Q33" s="17" t="n">
        <v>5</v>
      </c>
      <c r="R33" s="17" t="n">
        <v>3</v>
      </c>
      <c r="S33" s="17" t="n">
        <v>5</v>
      </c>
      <c r="T33" s="17" t="n">
        <v>7</v>
      </c>
      <c r="U33" s="17" t="n">
        <v>3</v>
      </c>
      <c r="V33" s="17" t="n">
        <v>4</v>
      </c>
      <c r="W33" s="17" t="n">
        <v>5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7" t="n">
        <v>6</v>
      </c>
      <c r="AC33" s="17" t="n">
        <v>4</v>
      </c>
      <c r="AD33" s="17" t="n">
        <v>5</v>
      </c>
      <c r="AE33" s="17" t="n">
        <v>4</v>
      </c>
      <c r="AF33" s="17" t="n">
        <v>6</v>
      </c>
      <c r="AG33" s="17" t="n">
        <v>4</v>
      </c>
      <c r="AH33" s="17" t="n">
        <v>3</v>
      </c>
      <c r="AI33" s="17" t="n">
        <v>6</v>
      </c>
      <c r="AJ33" s="17" t="n">
        <v>4</v>
      </c>
      <c r="AK33" s="17" t="n">
        <v>5</v>
      </c>
      <c r="AL33" s="17" t="n">
        <v>4</v>
      </c>
      <c r="AM33" s="17" t="n">
        <v>5</v>
      </c>
      <c r="AN33" s="17" t="n">
        <v>3</v>
      </c>
      <c r="AO33" s="17" t="n">
        <v>5</v>
      </c>
      <c r="AP33" s="17" t="n">
        <v>5</v>
      </c>
      <c r="AQ33" s="17" t="n">
        <v>3</v>
      </c>
      <c r="AR33" s="17" t="n">
        <v>4</v>
      </c>
      <c r="AS33" s="17" t="n">
        <v>4</v>
      </c>
      <c r="AT33" s="8">
        <f>SUM(AB33:AS33)</f>
        <v/>
      </c>
      <c r="AU33" s="8">
        <f>AU11</f>
        <v/>
      </c>
      <c r="AV33" s="8">
        <f>AT33-AU33</f>
        <v/>
      </c>
      <c r="AW33" s="8">
        <f>MAX(0,25-AV33)*1.0</f>
        <v/>
      </c>
      <c r="AX33" s="18">
        <f>AA33+AW33</f>
        <v/>
      </c>
    </row>
    <row r="34">
      <c r="A34" s="8" t="n">
        <v>22</v>
      </c>
      <c r="B34" t="inlineStr">
        <is>
          <t>Afonso Silva Pinto</t>
        </is>
      </c>
      <c r="C34" s="8" t="inlineStr">
        <is>
          <t>46309</t>
        </is>
      </c>
      <c r="D34" t="inlineStr">
        <is>
          <t>Miramar</t>
        </is>
      </c>
      <c r="E34" s="8" t="n">
        <v>5.4</v>
      </c>
      <c r="F34" s="17" t="n">
        <v>6</v>
      </c>
      <c r="G34" s="17" t="n">
        <v>4</v>
      </c>
      <c r="H34" s="17" t="n">
        <v>4</v>
      </c>
      <c r="I34" s="17" t="n">
        <v>3</v>
      </c>
      <c r="J34" s="17" t="n">
        <v>6</v>
      </c>
      <c r="K34" s="17" t="n">
        <v>5</v>
      </c>
      <c r="L34" s="17" t="n">
        <v>3</v>
      </c>
      <c r="M34" s="17" t="n">
        <v>7</v>
      </c>
      <c r="N34" s="17" t="n">
        <v>4</v>
      </c>
      <c r="O34" s="17" t="n">
        <v>6</v>
      </c>
      <c r="P34" s="17" t="n">
        <v>7</v>
      </c>
      <c r="Q34" s="17" t="n">
        <v>4</v>
      </c>
      <c r="R34" s="17" t="n">
        <v>3</v>
      </c>
      <c r="S34" s="17" t="n">
        <v>5</v>
      </c>
      <c r="T34" s="17" t="n">
        <v>5</v>
      </c>
      <c r="U34" s="17" t="n">
        <v>3</v>
      </c>
      <c r="V34" s="17" t="n">
        <v>6</v>
      </c>
      <c r="W34" s="17" t="n">
        <v>6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7" t="n">
        <v>6</v>
      </c>
      <c r="AC34" s="17" t="n">
        <v>4</v>
      </c>
      <c r="AD34" s="17" t="n">
        <v>4</v>
      </c>
      <c r="AE34" s="17" t="n">
        <v>5</v>
      </c>
      <c r="AF34" s="17" t="n">
        <v>4</v>
      </c>
      <c r="AG34" s="17" t="n">
        <v>4</v>
      </c>
      <c r="AH34" s="17" t="n">
        <v>3</v>
      </c>
      <c r="AI34" s="17" t="n">
        <v>6</v>
      </c>
      <c r="AJ34" s="17" t="n">
        <v>6</v>
      </c>
      <c r="AK34" s="17" t="n">
        <v>5</v>
      </c>
      <c r="AL34" s="17" t="n">
        <v>5</v>
      </c>
      <c r="AM34" s="17" t="n">
        <v>5</v>
      </c>
      <c r="AN34" s="17" t="n">
        <v>4</v>
      </c>
      <c r="AO34" s="17" t="n">
        <v>4</v>
      </c>
      <c r="AP34" s="17" t="n">
        <v>4</v>
      </c>
      <c r="AQ34" s="17" t="n">
        <v>3</v>
      </c>
      <c r="AR34" s="17" t="n">
        <v>5</v>
      </c>
      <c r="AS34" s="17" t="n">
        <v>5</v>
      </c>
      <c r="AT34" s="8">
        <f>SUM(AB34:AS34)</f>
        <v/>
      </c>
      <c r="AU34" s="8">
        <f>AU11</f>
        <v/>
      </c>
      <c r="AV34" s="8">
        <f>AT34-AU34</f>
        <v/>
      </c>
      <c r="AW34" s="8">
        <f>MAX(0,25-AV34)*1.0</f>
        <v/>
      </c>
      <c r="AX34" s="18">
        <f>AA34+AW34</f>
        <v/>
      </c>
    </row>
    <row r="35">
      <c r="A35" s="8" t="n">
        <v>23</v>
      </c>
      <c r="B35" t="inlineStr">
        <is>
          <t>Teresa Ferreira</t>
        </is>
      </c>
      <c r="C35" s="8" t="inlineStr">
        <is>
          <t>46589</t>
        </is>
      </c>
      <c r="D35" t="inlineStr">
        <is>
          <t>Oporto</t>
        </is>
      </c>
      <c r="E35" s="8" t="n">
        <v>6.8</v>
      </c>
      <c r="F35" s="17" t="n">
        <v>6</v>
      </c>
      <c r="G35" s="17" t="n">
        <v>6</v>
      </c>
      <c r="H35" s="17" t="n">
        <v>4</v>
      </c>
      <c r="I35" s="17" t="n">
        <v>6</v>
      </c>
      <c r="J35" s="17" t="n">
        <v>5</v>
      </c>
      <c r="K35" s="17" t="n">
        <v>4</v>
      </c>
      <c r="L35" s="17" t="n">
        <v>3</v>
      </c>
      <c r="M35" s="17" t="n">
        <v>6</v>
      </c>
      <c r="N35" s="17" t="n">
        <v>5</v>
      </c>
      <c r="O35" s="17" t="n">
        <v>7</v>
      </c>
      <c r="P35" s="17" t="n">
        <v>5</v>
      </c>
      <c r="Q35" s="17" t="n">
        <v>4</v>
      </c>
      <c r="R35" s="17" t="n">
        <v>4</v>
      </c>
      <c r="S35" s="17" t="n">
        <v>5</v>
      </c>
      <c r="T35" s="17" t="n">
        <v>4</v>
      </c>
      <c r="U35" s="17" t="n">
        <v>4</v>
      </c>
      <c r="V35" s="17" t="n">
        <v>5</v>
      </c>
      <c r="W35" s="17" t="n">
        <v>5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7" t="n">
        <v>7</v>
      </c>
      <c r="AC35" s="17" t="n">
        <v>5</v>
      </c>
      <c r="AD35" s="17" t="n">
        <v>4</v>
      </c>
      <c r="AE35" s="17" t="n">
        <v>3</v>
      </c>
      <c r="AF35" s="17" t="n">
        <v>4</v>
      </c>
      <c r="AG35" s="17" t="n">
        <v>5</v>
      </c>
      <c r="AH35" s="17" t="n">
        <v>2</v>
      </c>
      <c r="AI35" s="17" t="n">
        <v>5</v>
      </c>
      <c r="AJ35" s="17" t="n">
        <v>6</v>
      </c>
      <c r="AK35" s="17" t="n">
        <v>6</v>
      </c>
      <c r="AL35" s="17" t="n">
        <v>5</v>
      </c>
      <c r="AM35" s="17" t="n">
        <v>5</v>
      </c>
      <c r="AN35" s="17" t="n">
        <v>3</v>
      </c>
      <c r="AO35" s="17" t="n">
        <v>5</v>
      </c>
      <c r="AP35" s="17" t="n">
        <v>4</v>
      </c>
      <c r="AQ35" s="17" t="n">
        <v>3</v>
      </c>
      <c r="AR35" s="17" t="n">
        <v>5</v>
      </c>
      <c r="AS35" s="17" t="n">
        <v>5</v>
      </c>
      <c r="AT35" s="8">
        <f>SUM(AB35:AS35)</f>
        <v/>
      </c>
      <c r="AU35" s="8">
        <f>AU11</f>
        <v/>
      </c>
      <c r="AV35" s="8">
        <f>AT35-AU35</f>
        <v/>
      </c>
      <c r="AW35" s="8">
        <f>MAX(0,25-AV35)*1.0</f>
        <v/>
      </c>
      <c r="AX35" s="18">
        <f>AA35+AW35</f>
        <v/>
      </c>
    </row>
    <row r="36">
      <c r="A36" s="8" t="n">
        <v>24</v>
      </c>
      <c r="B36" t="inlineStr">
        <is>
          <t>Francisco Saraiva</t>
        </is>
      </c>
      <c r="C36" s="8" t="inlineStr">
        <is>
          <t>39097</t>
        </is>
      </c>
      <c r="D36" t="inlineStr">
        <is>
          <t>Oporto</t>
        </is>
      </c>
      <c r="E36" s="8" t="n">
        <v>7.9</v>
      </c>
      <c r="F36" s="17" t="n">
        <v>6</v>
      </c>
      <c r="G36" s="17" t="n">
        <v>5</v>
      </c>
      <c r="H36" s="17" t="n">
        <v>4</v>
      </c>
      <c r="I36" s="17" t="n">
        <v>4</v>
      </c>
      <c r="J36" s="17" t="n">
        <v>6</v>
      </c>
      <c r="K36" s="17" t="n">
        <v>6</v>
      </c>
      <c r="L36" s="17" t="n">
        <v>4</v>
      </c>
      <c r="M36" s="17" t="n">
        <v>5</v>
      </c>
      <c r="N36" s="17" t="n">
        <v>7</v>
      </c>
      <c r="O36" s="17" t="n">
        <v>5</v>
      </c>
      <c r="P36" s="17" t="n">
        <v>5</v>
      </c>
      <c r="Q36" s="17" t="n">
        <v>4</v>
      </c>
      <c r="R36" s="17" t="n">
        <v>3</v>
      </c>
      <c r="S36" s="17" t="n">
        <v>4</v>
      </c>
      <c r="T36" s="17" t="n">
        <v>5</v>
      </c>
      <c r="U36" s="17" t="n">
        <v>3</v>
      </c>
      <c r="V36" s="17" t="n">
        <v>8</v>
      </c>
      <c r="W36" s="17" t="n">
        <v>5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7" t="n">
        <v>6</v>
      </c>
      <c r="AC36" s="17" t="n">
        <v>4</v>
      </c>
      <c r="AD36" s="17" t="n">
        <v>5</v>
      </c>
      <c r="AE36" s="17" t="n">
        <v>3</v>
      </c>
      <c r="AF36" s="17" t="n">
        <v>4</v>
      </c>
      <c r="AG36" s="17" t="n">
        <v>4</v>
      </c>
      <c r="AH36" s="17" t="n">
        <v>3</v>
      </c>
      <c r="AI36" s="17" t="n">
        <v>6</v>
      </c>
      <c r="AJ36" s="17" t="n">
        <v>6</v>
      </c>
      <c r="AK36" s="17" t="n">
        <v>4</v>
      </c>
      <c r="AL36" s="17" t="n">
        <v>6</v>
      </c>
      <c r="AM36" s="17" t="n">
        <v>7</v>
      </c>
      <c r="AN36" s="17" t="n">
        <v>4</v>
      </c>
      <c r="AO36" s="17" t="n">
        <v>6</v>
      </c>
      <c r="AP36" s="17" t="n">
        <v>4</v>
      </c>
      <c r="AQ36" s="17" t="n">
        <v>3</v>
      </c>
      <c r="AR36" s="17" t="n">
        <v>6</v>
      </c>
      <c r="AS36" s="17" t="n">
        <v>3</v>
      </c>
      <c r="AT36" s="8">
        <f>SUM(AB36:AS36)</f>
        <v/>
      </c>
      <c r="AU36" s="8">
        <f>AU11</f>
        <v/>
      </c>
      <c r="AV36" s="8">
        <f>AT36-AU36</f>
        <v/>
      </c>
      <c r="AW36" s="8">
        <f>MAX(0,25-AV36)*1.0</f>
        <v/>
      </c>
      <c r="AX36" s="18">
        <f>AA36+AW36</f>
        <v/>
      </c>
    </row>
    <row r="37">
      <c r="A37" s="8" t="n">
        <v>25</v>
      </c>
      <c r="B37" t="inlineStr">
        <is>
          <t>António Maria Cavalinhos</t>
        </is>
      </c>
      <c r="C37" s="8" t="inlineStr">
        <is>
          <t>40992</t>
        </is>
      </c>
      <c r="D37" t="inlineStr">
        <is>
          <t>Miramar</t>
        </is>
      </c>
      <c r="E37" s="8" t="n">
        <v>8.300000000000001</v>
      </c>
      <c r="F37" s="17" t="n">
        <v>8</v>
      </c>
      <c r="G37" s="17" t="n">
        <v>4</v>
      </c>
      <c r="H37" s="17" t="n">
        <v>4</v>
      </c>
      <c r="I37" s="17" t="n">
        <v>5</v>
      </c>
      <c r="J37" s="17" t="n">
        <v>6</v>
      </c>
      <c r="K37" s="17" t="n">
        <v>4</v>
      </c>
      <c r="L37" s="17" t="n">
        <v>5</v>
      </c>
      <c r="M37" s="17" t="n">
        <v>5</v>
      </c>
      <c r="N37" s="17" t="n">
        <v>5</v>
      </c>
      <c r="O37" s="17" t="n">
        <v>6</v>
      </c>
      <c r="P37" s="17" t="n">
        <v>4</v>
      </c>
      <c r="Q37" s="17" t="n">
        <v>3</v>
      </c>
      <c r="R37" s="17" t="n">
        <v>4</v>
      </c>
      <c r="S37" s="17" t="n">
        <v>5</v>
      </c>
      <c r="T37" s="17" t="n">
        <v>6</v>
      </c>
      <c r="U37" s="17" t="n">
        <v>3</v>
      </c>
      <c r="V37" s="17" t="n">
        <v>6</v>
      </c>
      <c r="W37" s="17" t="n">
        <v>6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7" t="n">
        <v>6</v>
      </c>
      <c r="AC37" s="17" t="n">
        <v>4</v>
      </c>
      <c r="AD37" s="17" t="n">
        <v>4</v>
      </c>
      <c r="AE37" s="17" t="n">
        <v>4</v>
      </c>
      <c r="AF37" s="17" t="n">
        <v>5</v>
      </c>
      <c r="AG37" s="17" t="n">
        <v>6</v>
      </c>
      <c r="AH37" s="17" t="n">
        <v>3</v>
      </c>
      <c r="AI37" s="17" t="n">
        <v>6</v>
      </c>
      <c r="AJ37" s="17" t="n">
        <v>6</v>
      </c>
      <c r="AK37" s="17" t="n">
        <v>5</v>
      </c>
      <c r="AL37" s="17" t="n">
        <v>6</v>
      </c>
      <c r="AM37" s="17" t="n">
        <v>4</v>
      </c>
      <c r="AN37" s="17" t="n">
        <v>6</v>
      </c>
      <c r="AO37" s="17" t="n">
        <v>6</v>
      </c>
      <c r="AP37" s="17" t="n">
        <v>5</v>
      </c>
      <c r="AQ37" s="17" t="n">
        <v>3</v>
      </c>
      <c r="AR37" s="17" t="n">
        <v>5</v>
      </c>
      <c r="AS37" s="17" t="n">
        <v>5</v>
      </c>
      <c r="AT37" s="8">
        <f>SUM(AB37:AS37)</f>
        <v/>
      </c>
      <c r="AU37" s="8">
        <f>AU11</f>
        <v/>
      </c>
      <c r="AV37" s="8">
        <f>AT37-AU37</f>
        <v/>
      </c>
      <c r="AW37" s="8">
        <f>MAX(0,25-AV37)*1.0</f>
        <v/>
      </c>
      <c r="AX37" s="18">
        <f>AA37+AW37</f>
        <v/>
      </c>
    </row>
    <row r="38">
      <c r="A38" s="8" t="n">
        <v>26</v>
      </c>
      <c r="B38" t="inlineStr">
        <is>
          <t>Raul Pazos (jr)</t>
        </is>
      </c>
      <c r="C38" s="8" t="inlineStr">
        <is>
          <t>46296</t>
        </is>
      </c>
      <c r="D38" t="inlineStr">
        <is>
          <t>Miramar</t>
        </is>
      </c>
      <c r="E38" s="8" t="n">
        <v>10.8</v>
      </c>
      <c r="F38" s="17" t="n">
        <v>5</v>
      </c>
      <c r="G38" s="17" t="n">
        <v>5</v>
      </c>
      <c r="H38" s="17" t="n">
        <v>5</v>
      </c>
      <c r="I38" s="17" t="n">
        <v>3</v>
      </c>
      <c r="J38" s="17" t="n">
        <v>5</v>
      </c>
      <c r="K38" s="17" t="n">
        <v>5</v>
      </c>
      <c r="L38" s="17" t="n">
        <v>4</v>
      </c>
      <c r="M38" s="17" t="n">
        <v>10</v>
      </c>
      <c r="N38" s="17" t="n">
        <v>4</v>
      </c>
      <c r="O38" s="17" t="n">
        <v>6</v>
      </c>
      <c r="P38" s="17" t="n">
        <v>4</v>
      </c>
      <c r="Q38" s="17" t="n">
        <v>5</v>
      </c>
      <c r="R38" s="17" t="n">
        <v>3</v>
      </c>
      <c r="S38" s="17" t="n">
        <v>6</v>
      </c>
      <c r="T38" s="17" t="n">
        <v>7</v>
      </c>
      <c r="U38" s="17" t="n">
        <v>3</v>
      </c>
      <c r="V38" s="17" t="n">
        <v>6</v>
      </c>
      <c r="W38" s="17" t="n">
        <v>4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7" t="n">
        <v>6</v>
      </c>
      <c r="AC38" s="17" t="n">
        <v>5</v>
      </c>
      <c r="AD38" s="17" t="n">
        <v>4</v>
      </c>
      <c r="AE38" s="17" t="n">
        <v>4</v>
      </c>
      <c r="AF38" s="17" t="n">
        <v>5</v>
      </c>
      <c r="AG38" s="17" t="n">
        <v>4</v>
      </c>
      <c r="AH38" s="17" t="n">
        <v>3</v>
      </c>
      <c r="AI38" s="17" t="n">
        <v>5</v>
      </c>
      <c r="AJ38" s="17" t="n">
        <v>6</v>
      </c>
      <c r="AK38" s="17" t="n">
        <v>7</v>
      </c>
      <c r="AL38" s="17" t="n">
        <v>4</v>
      </c>
      <c r="AM38" s="17" t="n">
        <v>5</v>
      </c>
      <c r="AN38" s="17" t="n">
        <v>3</v>
      </c>
      <c r="AO38" s="17" t="n">
        <v>6</v>
      </c>
      <c r="AP38" s="17" t="n">
        <v>3</v>
      </c>
      <c r="AQ38" s="17" t="n">
        <v>4</v>
      </c>
      <c r="AR38" s="17" t="n">
        <v>7</v>
      </c>
      <c r="AS38" s="17" t="n">
        <v>5</v>
      </c>
      <c r="AT38" s="8">
        <f>SUM(AB38:AS38)</f>
        <v/>
      </c>
      <c r="AU38" s="8">
        <f>AU11</f>
        <v/>
      </c>
      <c r="AV38" s="8">
        <f>AT38-AU38</f>
        <v/>
      </c>
      <c r="AW38" s="8">
        <f>MAX(0,25-AV38)*1.0</f>
        <v/>
      </c>
      <c r="AX38" s="18">
        <f>AA38+AW38</f>
        <v/>
      </c>
    </row>
    <row r="39">
      <c r="A39" s="8" t="n">
        <v>27</v>
      </c>
      <c r="B39" t="inlineStr">
        <is>
          <t>Eduardo Rocha Ferreira</t>
        </is>
      </c>
      <c r="C39" s="8" t="inlineStr">
        <is>
          <t>51182</t>
        </is>
      </c>
      <c r="D39" t="inlineStr">
        <is>
          <t>Miramar</t>
        </is>
      </c>
      <c r="E39" s="8" t="n">
        <v>22.7</v>
      </c>
      <c r="F39" s="17" t="n">
        <v>6</v>
      </c>
      <c r="G39" s="17" t="n">
        <v>6</v>
      </c>
      <c r="H39" s="17" t="n">
        <v>4</v>
      </c>
      <c r="I39" s="17" t="n">
        <v>6</v>
      </c>
      <c r="J39" s="17" t="n">
        <v>5</v>
      </c>
      <c r="K39" s="17" t="n">
        <v>4</v>
      </c>
      <c r="L39" s="17" t="n">
        <v>4</v>
      </c>
      <c r="M39" s="17" t="n">
        <v>7</v>
      </c>
      <c r="N39" s="17" t="n">
        <v>4</v>
      </c>
      <c r="O39" s="17" t="n">
        <v>7</v>
      </c>
      <c r="P39" s="17" t="n">
        <v>4</v>
      </c>
      <c r="Q39" s="17" t="n">
        <v>4</v>
      </c>
      <c r="R39" s="17" t="n">
        <v>4</v>
      </c>
      <c r="S39" s="17" t="n">
        <v>5</v>
      </c>
      <c r="T39" s="17" t="n">
        <v>6</v>
      </c>
      <c r="U39" s="17" t="n">
        <v>4</v>
      </c>
      <c r="V39" s="17" t="n">
        <v>4</v>
      </c>
      <c r="W39" s="17" t="n">
        <v>6</v>
      </c>
      <c r="X39" s="8">
        <f>SUM(F39:W39)</f>
        <v/>
      </c>
      <c r="Y39" s="8">
        <f>Y11</f>
        <v/>
      </c>
      <c r="Z39" s="8">
        <f>X39-Y39</f>
        <v/>
      </c>
      <c r="AA39" s="8">
        <f>MAX(0,25-Z39)*1.0</f>
        <v/>
      </c>
      <c r="AB39" s="17" t="n">
        <v>7</v>
      </c>
      <c r="AC39" s="17" t="n">
        <v>4</v>
      </c>
      <c r="AD39" s="17" t="n">
        <v>5</v>
      </c>
      <c r="AE39" s="17" t="n">
        <v>3</v>
      </c>
      <c r="AF39" s="17" t="n">
        <v>6</v>
      </c>
      <c r="AG39" s="17" t="n">
        <v>4</v>
      </c>
      <c r="AH39" s="17" t="n">
        <v>3</v>
      </c>
      <c r="AI39" s="17" t="n">
        <v>6</v>
      </c>
      <c r="AJ39" s="17" t="n">
        <v>4</v>
      </c>
      <c r="AK39" s="17" t="n">
        <v>7</v>
      </c>
      <c r="AL39" s="17" t="n">
        <v>5</v>
      </c>
      <c r="AM39" s="17" t="n">
        <v>4</v>
      </c>
      <c r="AN39" s="17" t="n">
        <v>3</v>
      </c>
      <c r="AO39" s="17" t="n">
        <v>7</v>
      </c>
      <c r="AP39" s="17" t="n">
        <v>5</v>
      </c>
      <c r="AQ39" s="17" t="n">
        <v>4</v>
      </c>
      <c r="AR39" s="17" t="n">
        <v>6</v>
      </c>
      <c r="AS39" s="17" t="n">
        <v>5</v>
      </c>
      <c r="AT39" s="8">
        <f>SUM(AB39:AS39)</f>
        <v/>
      </c>
      <c r="AU39" s="8">
        <f>AU11</f>
        <v/>
      </c>
      <c r="AV39" s="8">
        <f>AT39-AU39</f>
        <v/>
      </c>
      <c r="AW39" s="8">
        <f>MAX(0,25-AV39)*1.0</f>
        <v/>
      </c>
      <c r="AX39" s="18">
        <f>AA39+AW39</f>
        <v/>
      </c>
    </row>
    <row r="40">
      <c r="A40" s="8" t="n">
        <v>28</v>
      </c>
      <c r="B40" t="inlineStr">
        <is>
          <t>Afonso Paiva Gonçalves</t>
        </is>
      </c>
      <c r="C40" s="8" t="inlineStr">
        <is>
          <t>47819</t>
        </is>
      </c>
      <c r="D40" t="inlineStr">
        <is>
          <t>Citynorte</t>
        </is>
      </c>
      <c r="E40" s="8" t="n">
        <v>15.1</v>
      </c>
      <c r="F40" s="17" t="n">
        <v>10</v>
      </c>
      <c r="G40" s="17" t="n">
        <v>5</v>
      </c>
      <c r="H40" s="17" t="n">
        <v>5</v>
      </c>
      <c r="I40" s="17" t="n">
        <v>2</v>
      </c>
      <c r="J40" s="17" t="n">
        <v>6</v>
      </c>
      <c r="K40" s="17" t="n">
        <v>5</v>
      </c>
      <c r="L40" s="17" t="n">
        <v>3</v>
      </c>
      <c r="M40" s="17" t="n">
        <v>6</v>
      </c>
      <c r="N40" s="17" t="n">
        <v>6</v>
      </c>
      <c r="O40" s="17" t="n">
        <v>6</v>
      </c>
      <c r="P40" s="17" t="n">
        <v>5</v>
      </c>
      <c r="Q40" s="17" t="n">
        <v>4</v>
      </c>
      <c r="R40" s="17" t="n">
        <v>5</v>
      </c>
      <c r="S40" s="17" t="n">
        <v>6</v>
      </c>
      <c r="T40" s="17" t="n">
        <v>4</v>
      </c>
      <c r="U40" s="17" t="n">
        <v>3</v>
      </c>
      <c r="V40" s="17" t="n">
        <v>5</v>
      </c>
      <c r="W40" s="17" t="n">
        <v>5</v>
      </c>
      <c r="X40" s="8">
        <f>SUM(F40:W40)</f>
        <v/>
      </c>
      <c r="Y40" s="8">
        <f>Y11</f>
        <v/>
      </c>
      <c r="Z40" s="8">
        <f>X40-Y40</f>
        <v/>
      </c>
      <c r="AA40" s="8">
        <f>MAX(0,25-Z40)*1.0</f>
        <v/>
      </c>
      <c r="AB40" s="17" t="n">
        <v>6</v>
      </c>
      <c r="AC40" s="17" t="n">
        <v>4</v>
      </c>
      <c r="AD40" s="17" t="n">
        <v>6</v>
      </c>
      <c r="AE40" s="17" t="n">
        <v>4</v>
      </c>
      <c r="AF40" s="17" t="n">
        <v>4</v>
      </c>
      <c r="AG40" s="17" t="n">
        <v>4</v>
      </c>
      <c r="AH40" s="17" t="n">
        <v>4</v>
      </c>
      <c r="AI40" s="17" t="n">
        <v>5</v>
      </c>
      <c r="AJ40" s="17" t="n">
        <v>4</v>
      </c>
      <c r="AK40" s="17" t="n">
        <v>5</v>
      </c>
      <c r="AL40" s="17" t="n">
        <v>8</v>
      </c>
      <c r="AM40" s="17" t="n">
        <v>6</v>
      </c>
      <c r="AN40" s="17" t="n">
        <v>3</v>
      </c>
      <c r="AO40" s="17" t="n">
        <v>5</v>
      </c>
      <c r="AP40" s="17" t="n">
        <v>5</v>
      </c>
      <c r="AQ40" s="17" t="n">
        <v>4</v>
      </c>
      <c r="AR40" s="17" t="n">
        <v>5</v>
      </c>
      <c r="AS40" s="17" t="n">
        <v>5</v>
      </c>
      <c r="AT40" s="8">
        <f>SUM(AB40:AS40)</f>
        <v/>
      </c>
      <c r="AU40" s="8">
        <f>AU11</f>
        <v/>
      </c>
      <c r="AV40" s="8">
        <f>AT40-AU40</f>
        <v/>
      </c>
      <c r="AW40" s="8">
        <f>MAX(0,25-AV40)*1.0</f>
        <v/>
      </c>
      <c r="AX40" s="18">
        <f>AA40+AW40</f>
        <v/>
      </c>
    </row>
    <row r="41">
      <c r="A41" s="8" t="n">
        <v>29</v>
      </c>
      <c r="B41" t="inlineStr">
        <is>
          <t>João Araújo</t>
        </is>
      </c>
      <c r="C41" s="8" t="inlineStr">
        <is>
          <t>49012</t>
        </is>
      </c>
      <c r="D41" t="inlineStr">
        <is>
          <t>Citynorte</t>
        </is>
      </c>
      <c r="E41" s="8" t="n">
        <v>6.3</v>
      </c>
      <c r="F41" s="17" t="n">
        <v>7</v>
      </c>
      <c r="G41" s="17" t="n">
        <v>4</v>
      </c>
      <c r="H41" s="17" t="n">
        <v>5</v>
      </c>
      <c r="I41" s="17" t="n">
        <v>4</v>
      </c>
      <c r="J41" s="17" t="n">
        <v>5</v>
      </c>
      <c r="K41" s="17" t="n">
        <v>6</v>
      </c>
      <c r="L41" s="17" t="n">
        <v>4</v>
      </c>
      <c r="M41" s="17" t="n">
        <v>6</v>
      </c>
      <c r="N41" s="17" t="n">
        <v>5</v>
      </c>
      <c r="O41" s="17" t="n">
        <v>6</v>
      </c>
      <c r="P41" s="17" t="n">
        <v>6</v>
      </c>
      <c r="Q41" s="17" t="n">
        <v>4</v>
      </c>
      <c r="R41" s="17" t="n">
        <v>5</v>
      </c>
      <c r="S41" s="17" t="n">
        <v>5</v>
      </c>
      <c r="T41" s="17" t="n">
        <v>4</v>
      </c>
      <c r="U41" s="17" t="n">
        <v>3</v>
      </c>
      <c r="V41" s="17" t="n">
        <v>7</v>
      </c>
      <c r="W41" s="17" t="n">
        <v>5</v>
      </c>
      <c r="X41" s="8">
        <f>SUM(F41:W41)</f>
        <v/>
      </c>
      <c r="Y41" s="8">
        <f>Y11</f>
        <v/>
      </c>
      <c r="Z41" s="8">
        <f>X41-Y41</f>
        <v/>
      </c>
      <c r="AA41" s="8">
        <f>MAX(0,25-Z41)*1.0</f>
        <v/>
      </c>
      <c r="AB41" s="17" t="n">
        <v>5</v>
      </c>
      <c r="AC41" s="17" t="n">
        <v>5</v>
      </c>
      <c r="AD41" s="17" t="n">
        <v>5</v>
      </c>
      <c r="AE41" s="17" t="n">
        <v>5</v>
      </c>
      <c r="AF41" s="17" t="n">
        <v>5</v>
      </c>
      <c r="AG41" s="17" t="n">
        <v>6</v>
      </c>
      <c r="AH41" s="17" t="n">
        <v>3</v>
      </c>
      <c r="AI41" s="17" t="n">
        <v>5</v>
      </c>
      <c r="AJ41" s="17" t="n">
        <v>5</v>
      </c>
      <c r="AK41" s="17" t="n">
        <v>6</v>
      </c>
      <c r="AL41" s="17" t="n">
        <v>4</v>
      </c>
      <c r="AM41" s="17" t="n">
        <v>4</v>
      </c>
      <c r="AN41" s="17" t="n">
        <v>3</v>
      </c>
      <c r="AO41" s="17" t="n">
        <v>5</v>
      </c>
      <c r="AP41" s="17" t="n">
        <v>4</v>
      </c>
      <c r="AQ41" s="17" t="n">
        <v>3</v>
      </c>
      <c r="AR41" s="17" t="n">
        <v>6</v>
      </c>
      <c r="AS41" s="17" t="n">
        <v>4</v>
      </c>
      <c r="AT41" s="8">
        <f>SUM(AB41:AS41)</f>
        <v/>
      </c>
      <c r="AU41" s="8">
        <f>AU11</f>
        <v/>
      </c>
      <c r="AV41" s="8">
        <f>AT41-AU41</f>
        <v/>
      </c>
      <c r="AW41" s="8">
        <f>MAX(0,25-AV41)*1.0</f>
        <v/>
      </c>
      <c r="AX41" s="18">
        <f>AA41+AW41</f>
        <v/>
      </c>
    </row>
    <row r="42">
      <c r="A42" s="8" t="n">
        <v>30</v>
      </c>
      <c r="B42" t="inlineStr">
        <is>
          <t>Diogo Lima</t>
        </is>
      </c>
      <c r="C42" s="8" t="inlineStr">
        <is>
          <t>49717</t>
        </is>
      </c>
      <c r="D42" t="inlineStr">
        <is>
          <t>Citynorte</t>
        </is>
      </c>
      <c r="E42" s="8" t="n">
        <v>11.9</v>
      </c>
      <c r="F42" s="17" t="n">
        <v>7</v>
      </c>
      <c r="G42" s="17" t="n">
        <v>5</v>
      </c>
      <c r="H42" s="17" t="n">
        <v>3</v>
      </c>
      <c r="I42" s="17" t="n">
        <v>6</v>
      </c>
      <c r="J42" s="17" t="n">
        <v>4</v>
      </c>
      <c r="K42" s="17" t="n">
        <v>6</v>
      </c>
      <c r="L42" s="17" t="n">
        <v>4</v>
      </c>
      <c r="M42" s="17" t="n">
        <v>6</v>
      </c>
      <c r="N42" s="17" t="n">
        <v>6</v>
      </c>
      <c r="O42" s="17" t="n">
        <v>9</v>
      </c>
      <c r="P42" s="17" t="n">
        <v>5</v>
      </c>
      <c r="Q42" s="17" t="n">
        <v>4</v>
      </c>
      <c r="R42" s="17" t="n">
        <v>3</v>
      </c>
      <c r="S42" s="17" t="n">
        <v>5</v>
      </c>
      <c r="T42" s="17" t="n">
        <v>4</v>
      </c>
      <c r="U42" s="17" t="n">
        <v>4</v>
      </c>
      <c r="V42" s="17" t="n">
        <v>6</v>
      </c>
      <c r="W42" s="17" t="n">
        <v>5</v>
      </c>
      <c r="X42" s="8">
        <f>SUM(F42:W42)</f>
        <v/>
      </c>
      <c r="Y42" s="8">
        <f>Y11</f>
        <v/>
      </c>
      <c r="Z42" s="8">
        <f>X42-Y42</f>
        <v/>
      </c>
      <c r="AA42" s="8">
        <f>MAX(0,25-Z42)*1.0</f>
        <v/>
      </c>
      <c r="AB42" s="17" t="n">
        <v>8</v>
      </c>
      <c r="AC42" s="17" t="n">
        <v>4</v>
      </c>
      <c r="AD42" s="17" t="n">
        <v>5</v>
      </c>
      <c r="AE42" s="17" t="n">
        <v>4</v>
      </c>
      <c r="AF42" s="17" t="n">
        <v>5</v>
      </c>
      <c r="AG42" s="17" t="n">
        <v>4</v>
      </c>
      <c r="AH42" s="17" t="n">
        <v>3</v>
      </c>
      <c r="AI42" s="17" t="n">
        <v>5</v>
      </c>
      <c r="AJ42" s="17" t="n">
        <v>4</v>
      </c>
      <c r="AK42" s="17" t="n">
        <v>5</v>
      </c>
      <c r="AL42" s="17" t="n">
        <v>4</v>
      </c>
      <c r="AM42" s="17" t="n">
        <v>6</v>
      </c>
      <c r="AN42" s="17" t="n">
        <v>4</v>
      </c>
      <c r="AO42" s="17" t="n">
        <v>5</v>
      </c>
      <c r="AP42" s="17" t="n">
        <v>4</v>
      </c>
      <c r="AQ42" s="17" t="n">
        <v>3</v>
      </c>
      <c r="AR42" s="17" t="n">
        <v>5</v>
      </c>
      <c r="AS42" s="17" t="n">
        <v>6</v>
      </c>
      <c r="AT42" s="8">
        <f>SUM(AB42:AS42)</f>
        <v/>
      </c>
      <c r="AU42" s="8">
        <f>AU11</f>
        <v/>
      </c>
      <c r="AV42" s="8">
        <f>AT42-AU42</f>
        <v/>
      </c>
      <c r="AW42" s="8">
        <f>MAX(0,25-AV42)*1.0</f>
        <v/>
      </c>
      <c r="AX42" s="18">
        <f>AA42+AW42</f>
        <v/>
      </c>
    </row>
    <row r="43">
      <c r="A43" s="8" t="n">
        <v>31</v>
      </c>
      <c r="B43" t="inlineStr">
        <is>
          <t>Sebastião Soares</t>
        </is>
      </c>
      <c r="C43" s="8" t="inlineStr">
        <is>
          <t>47341</t>
        </is>
      </c>
      <c r="D43" t="inlineStr">
        <is>
          <t>Oporto</t>
        </is>
      </c>
      <c r="E43" s="8" t="n">
        <v>14.3</v>
      </c>
      <c r="F43" s="17" t="n">
        <v>6</v>
      </c>
      <c r="G43" s="17" t="n">
        <v>6</v>
      </c>
      <c r="H43" s="17" t="n">
        <v>6</v>
      </c>
      <c r="I43" s="17" t="n">
        <v>4</v>
      </c>
      <c r="J43" s="17" t="n">
        <v>6</v>
      </c>
      <c r="K43" s="17" t="n">
        <v>4</v>
      </c>
      <c r="L43" s="17" t="n">
        <v>4</v>
      </c>
      <c r="M43" s="17" t="n">
        <v>5</v>
      </c>
      <c r="N43" s="17" t="n">
        <v>6</v>
      </c>
      <c r="O43" s="17" t="n">
        <v>5</v>
      </c>
      <c r="P43" s="17" t="n">
        <v>7</v>
      </c>
      <c r="Q43" s="17" t="n">
        <v>4</v>
      </c>
      <c r="R43" s="17" t="n">
        <v>3</v>
      </c>
      <c r="S43" s="17" t="n">
        <v>6</v>
      </c>
      <c r="T43" s="17" t="n">
        <v>5</v>
      </c>
      <c r="U43" s="17" t="n">
        <v>4</v>
      </c>
      <c r="V43" s="17" t="n">
        <v>6</v>
      </c>
      <c r="W43" s="17" t="n">
        <v>5</v>
      </c>
      <c r="X43" s="8">
        <f>SUM(F43:W43)</f>
        <v/>
      </c>
      <c r="Y43" s="8">
        <f>Y11</f>
        <v/>
      </c>
      <c r="Z43" s="8">
        <f>X43-Y43</f>
        <v/>
      </c>
      <c r="AA43" s="8">
        <f>MAX(0,25-Z43)*1.0</f>
        <v/>
      </c>
      <c r="AB43" s="17" t="n">
        <v>6</v>
      </c>
      <c r="AC43" s="17" t="n">
        <v>4</v>
      </c>
      <c r="AD43" s="17" t="n">
        <v>5</v>
      </c>
      <c r="AE43" s="17" t="n">
        <v>3</v>
      </c>
      <c r="AF43" s="17" t="n">
        <v>6</v>
      </c>
      <c r="AG43" s="17" t="n">
        <v>5</v>
      </c>
      <c r="AH43" s="17" t="n">
        <v>3</v>
      </c>
      <c r="AI43" s="17" t="n">
        <v>7</v>
      </c>
      <c r="AJ43" s="17" t="n">
        <v>6</v>
      </c>
      <c r="AK43" s="17" t="n">
        <v>6</v>
      </c>
      <c r="AL43" s="17" t="n">
        <v>4</v>
      </c>
      <c r="AM43" s="17" t="n">
        <v>6</v>
      </c>
      <c r="AN43" s="17" t="n">
        <v>4</v>
      </c>
      <c r="AO43" s="17" t="n">
        <v>8</v>
      </c>
      <c r="AP43" s="17" t="n">
        <v>5</v>
      </c>
      <c r="AQ43" s="17" t="n">
        <v>4</v>
      </c>
      <c r="AR43" s="17" t="n">
        <v>6</v>
      </c>
      <c r="AS43" s="17" t="n">
        <v>6</v>
      </c>
      <c r="AT43" s="8">
        <f>SUM(AB43:AS43)</f>
        <v/>
      </c>
      <c r="AU43" s="8">
        <f>AU11</f>
        <v/>
      </c>
      <c r="AV43" s="8">
        <f>AT43-AU43</f>
        <v/>
      </c>
      <c r="AW43" s="8">
        <f>MAX(0,25-AV43)*1.0</f>
        <v/>
      </c>
      <c r="AX43" s="18">
        <f>AA43+AW43</f>
        <v/>
      </c>
    </row>
    <row r="44">
      <c r="A44" s="8" t="n">
        <v>32</v>
      </c>
      <c r="B44" t="inlineStr">
        <is>
          <t>Manuel Rouco Castro</t>
        </is>
      </c>
      <c r="C44" s="8" t="inlineStr">
        <is>
          <t>47576</t>
        </is>
      </c>
      <c r="D44" t="inlineStr">
        <is>
          <t>Estela</t>
        </is>
      </c>
      <c r="E44" s="8" t="n">
        <v>15.9</v>
      </c>
      <c r="F44" s="17" t="n">
        <v>6</v>
      </c>
      <c r="G44" s="17" t="n">
        <v>4</v>
      </c>
      <c r="H44" s="17" t="n">
        <v>4</v>
      </c>
      <c r="I44" s="17" t="n">
        <v>3</v>
      </c>
      <c r="J44" s="17" t="n">
        <v>8</v>
      </c>
      <c r="K44" s="17" t="n">
        <v>5</v>
      </c>
      <c r="L44" s="17" t="n">
        <v>4</v>
      </c>
      <c r="M44" s="17" t="n">
        <v>7</v>
      </c>
      <c r="N44" s="17" t="n">
        <v>5</v>
      </c>
      <c r="O44" s="17" t="n">
        <v>5</v>
      </c>
      <c r="P44" s="17" t="n">
        <v>4</v>
      </c>
      <c r="Q44" s="17" t="n">
        <v>6</v>
      </c>
      <c r="R44" s="17" t="n">
        <v>4</v>
      </c>
      <c r="S44" s="17" t="n">
        <v>6</v>
      </c>
      <c r="T44" s="17" t="n">
        <v>4</v>
      </c>
      <c r="U44" s="17" t="n">
        <v>5</v>
      </c>
      <c r="V44" s="17" t="n">
        <v>6</v>
      </c>
      <c r="W44" s="17" t="n">
        <v>7</v>
      </c>
      <c r="X44" s="8">
        <f>SUM(F44:W44)</f>
        <v/>
      </c>
      <c r="Y44" s="8">
        <f>Y11</f>
        <v/>
      </c>
      <c r="Z44" s="8">
        <f>X44-Y44</f>
        <v/>
      </c>
      <c r="AA44" s="8">
        <f>MAX(0,25-Z44)*1.0</f>
        <v/>
      </c>
      <c r="AB44" s="17" t="n">
        <v>6</v>
      </c>
      <c r="AC44" s="17" t="n">
        <v>6</v>
      </c>
      <c r="AD44" s="17" t="n">
        <v>5</v>
      </c>
      <c r="AE44" s="17" t="n">
        <v>3</v>
      </c>
      <c r="AF44" s="17" t="n">
        <v>7</v>
      </c>
      <c r="AG44" s="17" t="n">
        <v>5</v>
      </c>
      <c r="AH44" s="17" t="n">
        <v>5</v>
      </c>
      <c r="AI44" s="17" t="n">
        <v>6</v>
      </c>
      <c r="AJ44" s="17" t="n">
        <v>9</v>
      </c>
      <c r="AK44" s="17" t="n">
        <v>6</v>
      </c>
      <c r="AL44" s="17" t="n">
        <v>8</v>
      </c>
      <c r="AM44" s="17" t="n">
        <v>5</v>
      </c>
      <c r="AN44" s="17" t="n">
        <v>4</v>
      </c>
      <c r="AO44" s="17" t="n">
        <v>8</v>
      </c>
      <c r="AP44" s="17" t="n">
        <v>4</v>
      </c>
      <c r="AQ44" s="17" t="n">
        <v>5</v>
      </c>
      <c r="AR44" s="17" t="n">
        <v>5</v>
      </c>
      <c r="AS44" s="17" t="n">
        <v>5</v>
      </c>
      <c r="AT44" s="8">
        <f>SUM(AB44:AS44)</f>
        <v/>
      </c>
      <c r="AU44" s="8">
        <f>AU11</f>
        <v/>
      </c>
      <c r="AV44" s="8">
        <f>AT44-AU44</f>
        <v/>
      </c>
      <c r="AW44" s="8">
        <f>MAX(0,25-AV44)*1.0</f>
        <v/>
      </c>
      <c r="AX44" s="18">
        <f>AA44+AW44</f>
        <v/>
      </c>
    </row>
    <row r="45">
      <c r="A45" s="8" t="n">
        <v>33</v>
      </c>
      <c r="B45" t="inlineStr">
        <is>
          <t>Pedro Luís Fernandes</t>
        </is>
      </c>
      <c r="C45" s="8" t="inlineStr">
        <is>
          <t>52168</t>
        </is>
      </c>
      <c r="D45" t="inlineStr">
        <is>
          <t>Citynorte</t>
        </is>
      </c>
      <c r="E45" s="8" t="n">
        <v>17.4</v>
      </c>
      <c r="F45" s="17" t="n">
        <v>9</v>
      </c>
      <c r="G45" s="17" t="n">
        <v>4</v>
      </c>
      <c r="H45" s="17" t="n">
        <v>6</v>
      </c>
      <c r="I45" s="17" t="n">
        <v>3</v>
      </c>
      <c r="J45" s="17" t="n">
        <v>6</v>
      </c>
      <c r="K45" s="17" t="n">
        <v>4</v>
      </c>
      <c r="L45" s="17" t="n">
        <v>3</v>
      </c>
      <c r="M45" s="17" t="n">
        <v>5</v>
      </c>
      <c r="N45" s="17" t="n">
        <v>4</v>
      </c>
      <c r="O45" s="17" t="n">
        <v>6</v>
      </c>
      <c r="P45" s="17" t="n">
        <v>7</v>
      </c>
      <c r="Q45" s="17" t="n">
        <v>5</v>
      </c>
      <c r="R45" s="17" t="n">
        <v>4</v>
      </c>
      <c r="S45" s="17" t="n">
        <v>6</v>
      </c>
      <c r="T45" s="17" t="n">
        <v>5</v>
      </c>
      <c r="U45" s="17" t="n">
        <v>3</v>
      </c>
      <c r="V45" s="17" t="n">
        <v>7</v>
      </c>
      <c r="W45" s="17" t="n">
        <v>6</v>
      </c>
      <c r="X45" s="8">
        <f>SUM(F45:W45)</f>
        <v/>
      </c>
      <c r="Y45" s="8">
        <f>Y11</f>
        <v/>
      </c>
      <c r="Z45" s="8">
        <f>X45-Y45</f>
        <v/>
      </c>
      <c r="AA45" s="8">
        <f>MAX(0,25-Z45)*1.0</f>
        <v/>
      </c>
      <c r="AB45" s="17" t="n">
        <v>6</v>
      </c>
      <c r="AC45" s="17" t="n">
        <v>8</v>
      </c>
      <c r="AD45" s="17" t="n">
        <v>4</v>
      </c>
      <c r="AE45" s="17" t="n">
        <v>3</v>
      </c>
      <c r="AF45" s="17" t="n">
        <v>6</v>
      </c>
      <c r="AG45" s="17" t="n">
        <v>7</v>
      </c>
      <c r="AH45" s="17" t="n">
        <v>3</v>
      </c>
      <c r="AI45" s="17" t="n">
        <v>8</v>
      </c>
      <c r="AJ45" s="17" t="n">
        <v>5</v>
      </c>
      <c r="AK45" s="17" t="n">
        <v>6</v>
      </c>
      <c r="AL45" s="17" t="n">
        <v>4</v>
      </c>
      <c r="AM45" s="17" t="n">
        <v>4</v>
      </c>
      <c r="AN45" s="17" t="n">
        <v>4</v>
      </c>
      <c r="AO45" s="17" t="n">
        <v>6</v>
      </c>
      <c r="AP45" s="17" t="n">
        <v>4</v>
      </c>
      <c r="AQ45" s="17" t="n">
        <v>3</v>
      </c>
      <c r="AR45" s="17" t="n">
        <v>5</v>
      </c>
      <c r="AS45" s="17" t="n">
        <v>3</v>
      </c>
      <c r="AT45" s="8">
        <f>SUM(AB45:AS45)</f>
        <v/>
      </c>
      <c r="AU45" s="8">
        <f>AU11</f>
        <v/>
      </c>
      <c r="AV45" s="8">
        <f>AT45-AU45</f>
        <v/>
      </c>
      <c r="AW45" s="8">
        <f>MAX(0,25-AV45)*1.0</f>
        <v/>
      </c>
      <c r="AX45" s="18">
        <f>AA45+AW45</f>
        <v/>
      </c>
    </row>
    <row r="46">
      <c r="A46" s="8" t="n">
        <v>34</v>
      </c>
      <c r="B46" t="inlineStr">
        <is>
          <t>Ricardo Rocha Ferreira</t>
        </is>
      </c>
      <c r="C46" s="8" t="inlineStr">
        <is>
          <t>51180</t>
        </is>
      </c>
      <c r="D46" t="inlineStr">
        <is>
          <t>Miramar</t>
        </is>
      </c>
      <c r="E46" s="8" t="n">
        <v>17.3</v>
      </c>
      <c r="F46" s="17" t="n">
        <v>7</v>
      </c>
      <c r="G46" s="17" t="n">
        <v>5</v>
      </c>
      <c r="H46" s="17" t="n">
        <v>4</v>
      </c>
      <c r="I46" s="17" t="n">
        <v>5</v>
      </c>
      <c r="J46" s="17" t="n">
        <v>7</v>
      </c>
      <c r="K46" s="17" t="n">
        <v>3</v>
      </c>
      <c r="L46" s="17" t="n">
        <v>4</v>
      </c>
      <c r="M46" s="17" t="n">
        <v>6</v>
      </c>
      <c r="N46" s="17" t="n">
        <v>10</v>
      </c>
      <c r="O46" s="17" t="n">
        <v>5</v>
      </c>
      <c r="P46" s="17" t="n">
        <v>5</v>
      </c>
      <c r="Q46" s="17" t="n">
        <v>4</v>
      </c>
      <c r="R46" s="17" t="n">
        <v>4</v>
      </c>
      <c r="S46" s="17" t="n">
        <v>6</v>
      </c>
      <c r="T46" s="17" t="n">
        <v>5</v>
      </c>
      <c r="U46" s="17" t="n">
        <v>4</v>
      </c>
      <c r="V46" s="17" t="n">
        <v>5</v>
      </c>
      <c r="W46" s="17" t="n">
        <v>6</v>
      </c>
      <c r="X46" s="8">
        <f>SUM(F46:W46)</f>
        <v/>
      </c>
      <c r="Y46" s="8">
        <f>Y11</f>
        <v/>
      </c>
      <c r="Z46" s="8">
        <f>X46-Y46</f>
        <v/>
      </c>
      <c r="AA46" s="8">
        <f>MAX(0,25-Z46)*1.0</f>
        <v/>
      </c>
      <c r="AB46" s="17" t="n">
        <v>9</v>
      </c>
      <c r="AC46" s="17" t="n">
        <v>4</v>
      </c>
      <c r="AD46" s="17" t="n">
        <v>5</v>
      </c>
      <c r="AE46" s="17" t="n">
        <v>3</v>
      </c>
      <c r="AF46" s="17" t="n">
        <v>5</v>
      </c>
      <c r="AG46" s="17" t="n">
        <v>5</v>
      </c>
      <c r="AH46" s="17" t="n">
        <v>2</v>
      </c>
      <c r="AI46" s="17" t="n">
        <v>5</v>
      </c>
      <c r="AJ46" s="17" t="n">
        <v>5</v>
      </c>
      <c r="AK46" s="17" t="n">
        <v>6</v>
      </c>
      <c r="AL46" s="17" t="n">
        <v>5</v>
      </c>
      <c r="AM46" s="17" t="n">
        <v>4</v>
      </c>
      <c r="AN46" s="17" t="n">
        <v>3</v>
      </c>
      <c r="AO46" s="17" t="n">
        <v>7</v>
      </c>
      <c r="AP46" s="17" t="n">
        <v>4</v>
      </c>
      <c r="AQ46" s="17" t="n">
        <v>3</v>
      </c>
      <c r="AR46" s="17" t="n">
        <v>8</v>
      </c>
      <c r="AS46" s="17" t="n">
        <v>6</v>
      </c>
      <c r="AT46" s="8">
        <f>SUM(AB46:AS46)</f>
        <v/>
      </c>
      <c r="AU46" s="8">
        <f>AU11</f>
        <v/>
      </c>
      <c r="AV46" s="8">
        <f>AT46-AU46</f>
        <v/>
      </c>
      <c r="AW46" s="8">
        <f>MAX(0,25-AV46)*1.0</f>
        <v/>
      </c>
      <c r="AX46" s="18">
        <f>AA46+AW46</f>
        <v/>
      </c>
    </row>
    <row r="47">
      <c r="A47" s="8" t="n">
        <v>35</v>
      </c>
      <c r="B47" t="inlineStr">
        <is>
          <t>Rafael Nogueira</t>
        </is>
      </c>
      <c r="C47" s="8" t="inlineStr">
        <is>
          <t>46606</t>
        </is>
      </c>
      <c r="D47" t="inlineStr">
        <is>
          <t>Paredes</t>
        </is>
      </c>
      <c r="E47" s="8" t="n">
        <v>16.3</v>
      </c>
      <c r="F47" s="17" t="n">
        <v>7</v>
      </c>
      <c r="G47" s="17" t="n">
        <v>4</v>
      </c>
      <c r="H47" s="17" t="n">
        <v>6</v>
      </c>
      <c r="I47" s="17" t="n">
        <v>6</v>
      </c>
      <c r="J47" s="17" t="n">
        <v>5</v>
      </c>
      <c r="K47" s="17" t="n">
        <v>6</v>
      </c>
      <c r="L47" s="17" t="n">
        <v>4</v>
      </c>
      <c r="M47" s="17" t="n">
        <v>7</v>
      </c>
      <c r="N47" s="17" t="n">
        <v>6</v>
      </c>
      <c r="O47" s="17" t="n">
        <v>5</v>
      </c>
      <c r="P47" s="17" t="n">
        <v>6</v>
      </c>
      <c r="Q47" s="17" t="n">
        <v>4</v>
      </c>
      <c r="R47" s="17" t="n">
        <v>3</v>
      </c>
      <c r="S47" s="17" t="n">
        <v>7</v>
      </c>
      <c r="T47" s="17" t="n">
        <v>4</v>
      </c>
      <c r="U47" s="17" t="n">
        <v>4</v>
      </c>
      <c r="V47" s="17" t="n">
        <v>5</v>
      </c>
      <c r="W47" s="17" t="n">
        <v>7</v>
      </c>
      <c r="X47" s="8">
        <f>SUM(F47:W47)</f>
        <v/>
      </c>
      <c r="Y47" s="8">
        <f>Y11</f>
        <v/>
      </c>
      <c r="Z47" s="8">
        <f>X47-Y47</f>
        <v/>
      </c>
      <c r="AA47" s="8">
        <f>MAX(0,25-Z47)*1.0</f>
        <v/>
      </c>
      <c r="AB47" s="17" t="n">
        <v>6</v>
      </c>
      <c r="AC47" s="17" t="n">
        <v>5</v>
      </c>
      <c r="AD47" s="17" t="n">
        <v>5</v>
      </c>
      <c r="AE47" s="17" t="n">
        <v>4</v>
      </c>
      <c r="AF47" s="17" t="n">
        <v>5</v>
      </c>
      <c r="AG47" s="17" t="n">
        <v>4</v>
      </c>
      <c r="AH47" s="17" t="n">
        <v>4</v>
      </c>
      <c r="AI47" s="17" t="n">
        <v>5</v>
      </c>
      <c r="AJ47" s="17" t="n">
        <v>5</v>
      </c>
      <c r="AK47" s="17" t="n">
        <v>6</v>
      </c>
      <c r="AL47" s="17" t="n">
        <v>5</v>
      </c>
      <c r="AM47" s="17" t="n">
        <v>6</v>
      </c>
      <c r="AN47" s="17" t="n">
        <v>4</v>
      </c>
      <c r="AO47" s="17" t="n">
        <v>5</v>
      </c>
      <c r="AP47" s="17" t="n">
        <v>4</v>
      </c>
      <c r="AQ47" s="17" t="n">
        <v>3</v>
      </c>
      <c r="AR47" s="17" t="n">
        <v>5</v>
      </c>
      <c r="AS47" s="17" t="n">
        <v>5</v>
      </c>
      <c r="AT47" s="8">
        <f>SUM(AB47:AS47)</f>
        <v/>
      </c>
      <c r="AU47" s="8">
        <f>AU11</f>
        <v/>
      </c>
      <c r="AV47" s="8">
        <f>AT47-AU47</f>
        <v/>
      </c>
      <c r="AW47" s="8">
        <f>MAX(0,25-AV47)*1.0</f>
        <v/>
      </c>
      <c r="AX47" s="18">
        <f>AA47+AW47</f>
        <v/>
      </c>
    </row>
    <row r="48">
      <c r="A48" s="8" t="n">
        <v>36</v>
      </c>
      <c r="B48" t="inlineStr">
        <is>
          <t>José Maria Pereira</t>
        </is>
      </c>
      <c r="C48" s="8" t="inlineStr">
        <is>
          <t>53645</t>
        </is>
      </c>
      <c r="D48" t="inlineStr">
        <is>
          <t>Miramar</t>
        </is>
      </c>
      <c r="E48" s="8" t="n">
        <v>20.7</v>
      </c>
      <c r="F48" s="17" t="n">
        <v>8</v>
      </c>
      <c r="G48" s="17" t="n">
        <v>4</v>
      </c>
      <c r="H48" s="17" t="n">
        <v>4</v>
      </c>
      <c r="I48" s="17" t="n">
        <v>4</v>
      </c>
      <c r="J48" s="17" t="n">
        <v>7</v>
      </c>
      <c r="K48" s="17" t="n">
        <v>6</v>
      </c>
      <c r="L48" s="17" t="n">
        <v>3</v>
      </c>
      <c r="M48" s="17" t="n">
        <v>7</v>
      </c>
      <c r="N48" s="17" t="n">
        <v>4</v>
      </c>
      <c r="O48" s="17" t="n">
        <v>7</v>
      </c>
      <c r="P48" s="17" t="n">
        <v>5</v>
      </c>
      <c r="Q48" s="17" t="n">
        <v>4</v>
      </c>
      <c r="R48" s="17" t="n">
        <v>4</v>
      </c>
      <c r="S48" s="17" t="n">
        <v>6</v>
      </c>
      <c r="T48" s="17" t="n">
        <v>5</v>
      </c>
      <c r="U48" s="17" t="n">
        <v>4</v>
      </c>
      <c r="V48" s="17" t="n">
        <v>8</v>
      </c>
      <c r="W48" s="17" t="n">
        <v>6</v>
      </c>
      <c r="X48" s="8">
        <f>SUM(F48:W48)</f>
        <v/>
      </c>
      <c r="Y48" s="8">
        <f>Y11</f>
        <v/>
      </c>
      <c r="Z48" s="8">
        <f>X48-Y48</f>
        <v/>
      </c>
      <c r="AA48" s="8">
        <f>MAX(0,25-Z48)*1.0</f>
        <v/>
      </c>
      <c r="AB48" s="17" t="n">
        <v>8</v>
      </c>
      <c r="AC48" s="17" t="n">
        <v>5</v>
      </c>
      <c r="AD48" s="17" t="n">
        <v>5</v>
      </c>
      <c r="AE48" s="17" t="n">
        <v>3</v>
      </c>
      <c r="AF48" s="17" t="n">
        <v>6</v>
      </c>
      <c r="AG48" s="17" t="n">
        <v>5</v>
      </c>
      <c r="AH48" s="17" t="n">
        <v>4</v>
      </c>
      <c r="AI48" s="17" t="n">
        <v>6</v>
      </c>
      <c r="AJ48" s="17" t="n">
        <v>5</v>
      </c>
      <c r="AK48" s="17" t="n">
        <v>5</v>
      </c>
      <c r="AL48" s="17" t="n">
        <v>7</v>
      </c>
      <c r="AM48" s="17" t="n">
        <v>4</v>
      </c>
      <c r="AN48" s="17" t="n">
        <v>6</v>
      </c>
      <c r="AO48" s="17" t="n">
        <v>6</v>
      </c>
      <c r="AP48" s="17" t="n">
        <v>4</v>
      </c>
      <c r="AQ48" s="17" t="n">
        <v>4</v>
      </c>
      <c r="AR48" s="17" t="n">
        <v>7</v>
      </c>
      <c r="AS48" s="17" t="n">
        <v>5</v>
      </c>
      <c r="AT48" s="8">
        <f>SUM(AB48:AS48)</f>
        <v/>
      </c>
      <c r="AU48" s="8">
        <f>AU11</f>
        <v/>
      </c>
      <c r="AV48" s="8">
        <f>AT48-AU48</f>
        <v/>
      </c>
      <c r="AW48" s="8">
        <f>MAX(0,25-AV48)*1.0</f>
        <v/>
      </c>
      <c r="AX48" s="18">
        <f>AA48+AW48</f>
        <v/>
      </c>
    </row>
    <row r="49">
      <c r="A49" s="8" t="n">
        <v>37</v>
      </c>
      <c r="B49" t="inlineStr">
        <is>
          <t>Tomás Sarmento de Beires</t>
        </is>
      </c>
      <c r="C49" s="8" t="inlineStr">
        <is>
          <t>48046</t>
        </is>
      </c>
      <c r="D49" t="inlineStr">
        <is>
          <t>Citynorte</t>
        </is>
      </c>
      <c r="E49" s="8" t="n">
        <v>16.8</v>
      </c>
      <c r="F49" s="17" t="n">
        <v>9</v>
      </c>
      <c r="G49" s="17" t="n">
        <v>5</v>
      </c>
      <c r="H49" s="17" t="n">
        <v>4</v>
      </c>
      <c r="I49" s="17" t="n">
        <v>4</v>
      </c>
      <c r="J49" s="17" t="n">
        <v>7</v>
      </c>
      <c r="K49" s="17" t="n">
        <v>8</v>
      </c>
      <c r="L49" s="17" t="n">
        <v>3</v>
      </c>
      <c r="M49" s="17" t="n">
        <v>6</v>
      </c>
      <c r="N49" s="17" t="n">
        <v>5</v>
      </c>
      <c r="O49" s="17" t="n">
        <v>6</v>
      </c>
      <c r="P49" s="17" t="n">
        <v>6</v>
      </c>
      <c r="Q49" s="17" t="n">
        <v>5</v>
      </c>
      <c r="R49" s="17" t="n">
        <v>3</v>
      </c>
      <c r="S49" s="17" t="n">
        <v>5</v>
      </c>
      <c r="T49" s="17" t="n">
        <v>4</v>
      </c>
      <c r="U49" s="17" t="n">
        <v>3</v>
      </c>
      <c r="V49" s="17" t="n">
        <v>7</v>
      </c>
      <c r="W49" s="17" t="n">
        <v>7</v>
      </c>
      <c r="X49" s="8">
        <f>SUM(F49:W49)</f>
        <v/>
      </c>
      <c r="Y49" s="8">
        <f>Y11</f>
        <v/>
      </c>
      <c r="Z49" s="8">
        <f>X49-Y49</f>
        <v/>
      </c>
      <c r="AA49" s="8">
        <f>MAX(0,25-Z49)*1.0</f>
        <v/>
      </c>
      <c r="AB49" s="17" t="n">
        <v>6</v>
      </c>
      <c r="AC49" s="17" t="n">
        <v>3</v>
      </c>
      <c r="AD49" s="17" t="n">
        <v>2</v>
      </c>
      <c r="AE49" s="17" t="n">
        <v>5</v>
      </c>
      <c r="AF49" s="17" t="n">
        <v>6</v>
      </c>
      <c r="AG49" s="17" t="n">
        <v>4</v>
      </c>
      <c r="AH49" s="17" t="n">
        <v>3</v>
      </c>
      <c r="AI49" s="17" t="n">
        <v>5</v>
      </c>
      <c r="AJ49" s="17" t="n">
        <v>5</v>
      </c>
      <c r="AK49" s="17" t="n">
        <v>6</v>
      </c>
      <c r="AL49" s="17" t="n">
        <v>5</v>
      </c>
      <c r="AM49" s="17" t="n">
        <v>5</v>
      </c>
      <c r="AN49" s="17" t="n">
        <v>4</v>
      </c>
      <c r="AO49" s="17" t="n">
        <v>6</v>
      </c>
      <c r="AP49" s="17" t="n">
        <v>4</v>
      </c>
      <c r="AQ49" s="17" t="n">
        <v>3</v>
      </c>
      <c r="AR49" s="17" t="n">
        <v>6</v>
      </c>
      <c r="AS49" s="17" t="n">
        <v>5</v>
      </c>
      <c r="AT49" s="8">
        <f>SUM(AB49:AS49)</f>
        <v/>
      </c>
      <c r="AU49" s="8">
        <f>AU11</f>
        <v/>
      </c>
      <c r="AV49" s="8">
        <f>AT49-AU49</f>
        <v/>
      </c>
      <c r="AW49" s="8">
        <f>MAX(0,25-AV49)*1.0</f>
        <v/>
      </c>
      <c r="AX49" s="18">
        <f>AA49+AW49</f>
        <v/>
      </c>
    </row>
    <row r="50">
      <c r="A50" s="8" t="n">
        <v>38</v>
      </c>
      <c r="B50" t="inlineStr">
        <is>
          <t>Tomás Araújo</t>
        </is>
      </c>
      <c r="C50" s="8" t="inlineStr">
        <is>
          <t>49011</t>
        </is>
      </c>
      <c r="D50" t="inlineStr">
        <is>
          <t>Citynorte</t>
        </is>
      </c>
      <c r="E50" s="8" t="n">
        <v>16.5</v>
      </c>
      <c r="F50" s="17" t="n">
        <v>9</v>
      </c>
      <c r="G50" s="17" t="n">
        <v>5</v>
      </c>
      <c r="H50" s="17" t="n">
        <v>5</v>
      </c>
      <c r="I50" s="17" t="n">
        <v>5</v>
      </c>
      <c r="J50" s="17" t="n">
        <v>5</v>
      </c>
      <c r="K50" s="17" t="n">
        <v>4</v>
      </c>
      <c r="L50" s="17" t="n">
        <v>4</v>
      </c>
      <c r="M50" s="17" t="n">
        <v>7</v>
      </c>
      <c r="N50" s="17" t="n">
        <v>6</v>
      </c>
      <c r="O50" s="17" t="n">
        <v>6</v>
      </c>
      <c r="P50" s="17" t="n">
        <v>5</v>
      </c>
      <c r="Q50" s="17" t="n">
        <v>4</v>
      </c>
      <c r="R50" s="17" t="n">
        <v>4</v>
      </c>
      <c r="S50" s="17" t="n">
        <v>6</v>
      </c>
      <c r="T50" s="17" t="n">
        <v>7</v>
      </c>
      <c r="U50" s="17" t="n">
        <v>4</v>
      </c>
      <c r="V50" s="17" t="n">
        <v>6</v>
      </c>
      <c r="W50" s="17" t="n">
        <v>5</v>
      </c>
      <c r="X50" s="8">
        <f>SUM(F50:W50)</f>
        <v/>
      </c>
      <c r="Y50" s="8">
        <f>Y11</f>
        <v/>
      </c>
      <c r="Z50" s="8">
        <f>X50-Y50</f>
        <v/>
      </c>
      <c r="AA50" s="8">
        <f>MAX(0,25-Z50)*1.0</f>
        <v/>
      </c>
      <c r="AB50" s="17" t="n">
        <v>8</v>
      </c>
      <c r="AC50" s="17" t="n">
        <v>6</v>
      </c>
      <c r="AD50" s="17" t="n">
        <v>5</v>
      </c>
      <c r="AE50" s="17" t="n">
        <v>4</v>
      </c>
      <c r="AF50" s="17" t="n">
        <v>6</v>
      </c>
      <c r="AG50" s="17" t="n">
        <v>5</v>
      </c>
      <c r="AH50" s="17" t="n">
        <v>3</v>
      </c>
      <c r="AI50" s="17" t="n">
        <v>7</v>
      </c>
      <c r="AJ50" s="17" t="n">
        <v>5</v>
      </c>
      <c r="AK50" s="17" t="n">
        <v>9</v>
      </c>
      <c r="AL50" s="17" t="n">
        <v>6</v>
      </c>
      <c r="AM50" s="17" t="n">
        <v>5</v>
      </c>
      <c r="AN50" s="17" t="n">
        <v>5</v>
      </c>
      <c r="AO50" s="17" t="n">
        <v>5</v>
      </c>
      <c r="AP50" s="17" t="n">
        <v>7</v>
      </c>
      <c r="AQ50" s="17" t="n">
        <v>5</v>
      </c>
      <c r="AR50" s="17" t="n">
        <v>7</v>
      </c>
      <c r="AS50" s="17" t="n">
        <v>6</v>
      </c>
      <c r="AT50" s="8">
        <f>SUM(AB50:AS50)</f>
        <v/>
      </c>
      <c r="AU50" s="8">
        <f>AU11</f>
        <v/>
      </c>
      <c r="AV50" s="8">
        <f>AT50-AU50</f>
        <v/>
      </c>
      <c r="AW50" s="8">
        <f>MAX(0,25-AV50)*1.0</f>
        <v/>
      </c>
      <c r="AX50" s="18">
        <f>AA50+AW50</f>
        <v/>
      </c>
    </row>
    <row r="51">
      <c r="A51" s="8" t="n">
        <v>39</v>
      </c>
      <c r="B51" t="inlineStr">
        <is>
          <t>Afonso Polery</t>
        </is>
      </c>
      <c r="C51" s="8" t="inlineStr">
        <is>
          <t>55093</t>
        </is>
      </c>
      <c r="D51" t="inlineStr">
        <is>
          <t>Estela</t>
        </is>
      </c>
      <c r="E51" s="8" t="n">
        <v>16.6</v>
      </c>
      <c r="F51" s="17" t="n">
        <v>7</v>
      </c>
      <c r="G51" s="17" t="n">
        <v>5</v>
      </c>
      <c r="H51" s="17" t="n">
        <v>6</v>
      </c>
      <c r="I51" s="17" t="n">
        <v>3</v>
      </c>
      <c r="J51" s="17" t="n">
        <v>6</v>
      </c>
      <c r="K51" s="17" t="n">
        <v>5</v>
      </c>
      <c r="L51" s="17" t="n">
        <v>3</v>
      </c>
      <c r="M51" s="17" t="n">
        <v>6</v>
      </c>
      <c r="N51" s="17" t="n">
        <v>4</v>
      </c>
      <c r="O51" s="17" t="n">
        <v>9</v>
      </c>
      <c r="P51" s="17" t="n">
        <v>5</v>
      </c>
      <c r="Q51" s="17" t="n">
        <v>4</v>
      </c>
      <c r="R51" s="17" t="n">
        <v>5</v>
      </c>
      <c r="S51" s="17" t="n">
        <v>6</v>
      </c>
      <c r="T51" s="17" t="n">
        <v>5</v>
      </c>
      <c r="U51" s="17" t="n">
        <v>5</v>
      </c>
      <c r="V51" s="17" t="n">
        <v>6</v>
      </c>
      <c r="W51" s="17" t="n">
        <v>7</v>
      </c>
      <c r="X51" s="8">
        <f>SUM(F51:W51)</f>
        <v/>
      </c>
      <c r="Y51" s="8">
        <f>Y11</f>
        <v/>
      </c>
      <c r="Z51" s="8">
        <f>X51-Y51</f>
        <v/>
      </c>
      <c r="AA51" s="8">
        <f>MAX(0,25-Z51)*1.0</f>
        <v/>
      </c>
      <c r="AB51" s="17" t="n">
        <v>4</v>
      </c>
      <c r="AC51" s="17" t="n">
        <v>4</v>
      </c>
      <c r="AD51" s="17" t="n">
        <v>4</v>
      </c>
      <c r="AE51" s="17" t="n">
        <v>4</v>
      </c>
      <c r="AF51" s="17" t="n">
        <v>5</v>
      </c>
      <c r="AG51" s="17" t="n">
        <v>4</v>
      </c>
      <c r="AH51" s="17" t="n">
        <v>3</v>
      </c>
      <c r="AI51" s="17" t="n">
        <v>4</v>
      </c>
      <c r="AJ51" s="17" t="n">
        <v>5</v>
      </c>
      <c r="AK51" s="17" t="n">
        <v>6</v>
      </c>
      <c r="AL51" s="17" t="n">
        <v>6</v>
      </c>
      <c r="AM51" s="17" t="n">
        <v>5</v>
      </c>
      <c r="AN51" s="17" t="n">
        <v>3</v>
      </c>
      <c r="AO51" s="17" t="n">
        <v>7</v>
      </c>
      <c r="AP51" s="17" t="n">
        <v>8</v>
      </c>
      <c r="AQ51" s="17" t="n">
        <v>3</v>
      </c>
      <c r="AR51" s="17" t="n">
        <v>5</v>
      </c>
      <c r="AS51" s="17" t="n">
        <v>6</v>
      </c>
      <c r="AT51" s="8">
        <f>SUM(AB51:AS51)</f>
        <v/>
      </c>
      <c r="AU51" s="8">
        <f>AU11</f>
        <v/>
      </c>
      <c r="AV51" s="8">
        <f>AT51-AU51</f>
        <v/>
      </c>
      <c r="AW51" s="8">
        <f>MAX(0,25-AV51)*1.0</f>
        <v/>
      </c>
      <c r="AX51" s="18">
        <f>AA51+AW51</f>
        <v/>
      </c>
    </row>
    <row r="52">
      <c r="A52" s="8" t="n">
        <v>40</v>
      </c>
      <c r="B52" t="inlineStr">
        <is>
          <t>Catarina Loureiro</t>
        </is>
      </c>
      <c r="C52" s="8" t="inlineStr">
        <is>
          <t>49328</t>
        </is>
      </c>
      <c r="D52" t="inlineStr">
        <is>
          <t>Oporto</t>
        </is>
      </c>
      <c r="E52" s="8" t="n">
        <v>20.1</v>
      </c>
      <c r="F52" s="17" t="n">
        <v>8</v>
      </c>
      <c r="G52" s="17" t="n">
        <v>5</v>
      </c>
      <c r="H52" s="17" t="n">
        <v>6</v>
      </c>
      <c r="I52" s="17" t="n">
        <v>4</v>
      </c>
      <c r="J52" s="17" t="n">
        <v>5</v>
      </c>
      <c r="K52" s="17" t="n">
        <v>7</v>
      </c>
      <c r="L52" s="17" t="n">
        <v>3</v>
      </c>
      <c r="M52" s="17" t="n">
        <v>7</v>
      </c>
      <c r="N52" s="17" t="n">
        <v>6</v>
      </c>
      <c r="O52" s="17" t="n">
        <v>8</v>
      </c>
      <c r="P52" s="17" t="n">
        <v>4</v>
      </c>
      <c r="Q52" s="17" t="n">
        <v>5</v>
      </c>
      <c r="R52" s="17" t="n">
        <v>4</v>
      </c>
      <c r="S52" s="17" t="n">
        <v>7</v>
      </c>
      <c r="T52" s="17" t="n">
        <v>5</v>
      </c>
      <c r="U52" s="17" t="n">
        <v>4</v>
      </c>
      <c r="V52" s="17" t="n">
        <v>8</v>
      </c>
      <c r="W52" s="17" t="n">
        <v>6</v>
      </c>
      <c r="X52" s="8">
        <f>SUM(F52:W52)</f>
        <v/>
      </c>
      <c r="Y52" s="8">
        <f>Y11</f>
        <v/>
      </c>
      <c r="Z52" s="8">
        <f>X52-Y52</f>
        <v/>
      </c>
      <c r="AA52" s="8">
        <f>MAX(0,25-Z52)*1.0</f>
        <v/>
      </c>
      <c r="AB52" s="17" t="n">
        <v>7</v>
      </c>
      <c r="AC52" s="17" t="n">
        <v>4</v>
      </c>
      <c r="AD52" s="17" t="n">
        <v>5</v>
      </c>
      <c r="AE52" s="17" t="n">
        <v>4</v>
      </c>
      <c r="AF52" s="17" t="n">
        <v>5</v>
      </c>
      <c r="AG52" s="17" t="n">
        <v>6</v>
      </c>
      <c r="AH52" s="17" t="n">
        <v>4</v>
      </c>
      <c r="AI52" s="17" t="n">
        <v>6</v>
      </c>
      <c r="AJ52" s="17" t="n">
        <v>6</v>
      </c>
      <c r="AK52" s="17" t="n">
        <v>8</v>
      </c>
      <c r="AL52" s="17" t="n">
        <v>6</v>
      </c>
      <c r="AM52" s="17" t="n">
        <v>6</v>
      </c>
      <c r="AN52" s="17" t="n">
        <v>3</v>
      </c>
      <c r="AO52" s="17" t="n">
        <v>7</v>
      </c>
      <c r="AP52" s="17" t="n">
        <v>5</v>
      </c>
      <c r="AQ52" s="17" t="n">
        <v>3</v>
      </c>
      <c r="AR52" s="17" t="n">
        <v>6</v>
      </c>
      <c r="AS52" s="17" t="n">
        <v>6</v>
      </c>
      <c r="AT52" s="8">
        <f>SUM(AB52:AS52)</f>
        <v/>
      </c>
      <c r="AU52" s="8">
        <f>AU11</f>
        <v/>
      </c>
      <c r="AV52" s="8">
        <f>AT52-AU52</f>
        <v/>
      </c>
      <c r="AW52" s="8">
        <f>MAX(0,25-AV52)*1.0</f>
        <v/>
      </c>
      <c r="AX52" s="18">
        <f>AA52+AW52</f>
        <v/>
      </c>
    </row>
    <row r="53">
      <c r="A53" s="8" t="n">
        <v>41</v>
      </c>
      <c r="B53" t="inlineStr">
        <is>
          <t>António Pereira Mendes</t>
        </is>
      </c>
      <c r="C53" s="8" t="inlineStr">
        <is>
          <t>55094</t>
        </is>
      </c>
      <c r="D53" t="inlineStr">
        <is>
          <t>Estela</t>
        </is>
      </c>
      <c r="E53" s="8" t="n">
        <v>20.1</v>
      </c>
      <c r="F53" s="17" t="n">
        <v>10</v>
      </c>
      <c r="G53" s="17" t="n">
        <v>5</v>
      </c>
      <c r="H53" s="17" t="n">
        <v>5</v>
      </c>
      <c r="I53" s="17" t="n">
        <v>4</v>
      </c>
      <c r="J53" s="17" t="n">
        <v>7</v>
      </c>
      <c r="K53" s="17" t="n">
        <v>4</v>
      </c>
      <c r="L53" s="17" t="n">
        <v>4</v>
      </c>
      <c r="M53" s="17" t="n">
        <v>7</v>
      </c>
      <c r="N53" s="17" t="n">
        <v>6</v>
      </c>
      <c r="O53" s="17" t="n">
        <v>8</v>
      </c>
      <c r="P53" s="17" t="n">
        <v>5</v>
      </c>
      <c r="Q53" s="17" t="n">
        <v>5</v>
      </c>
      <c r="R53" s="17" t="n">
        <v>4</v>
      </c>
      <c r="S53" s="17" t="n">
        <v>6</v>
      </c>
      <c r="T53" s="17" t="n">
        <v>4</v>
      </c>
      <c r="U53" s="17" t="n">
        <v>4</v>
      </c>
      <c r="V53" s="17" t="n">
        <v>7</v>
      </c>
      <c r="W53" s="17" t="n">
        <v>8</v>
      </c>
      <c r="X53" s="8">
        <f>SUM(F53:W53)</f>
        <v/>
      </c>
      <c r="Y53" s="8">
        <f>Y11</f>
        <v/>
      </c>
      <c r="Z53" s="8">
        <f>X53-Y53</f>
        <v/>
      </c>
      <c r="AA53" s="8">
        <f>MAX(0,25-Z53)*1.0</f>
        <v/>
      </c>
      <c r="AB53" s="17" t="n">
        <v>7</v>
      </c>
      <c r="AC53" s="17" t="n">
        <v>5</v>
      </c>
      <c r="AD53" s="17" t="n">
        <v>5</v>
      </c>
      <c r="AE53" s="17" t="n">
        <v>4</v>
      </c>
      <c r="AF53" s="17" t="n">
        <v>6</v>
      </c>
      <c r="AG53" s="17" t="n">
        <v>5</v>
      </c>
      <c r="AH53" s="17" t="n">
        <v>5</v>
      </c>
      <c r="AI53" s="17" t="n">
        <v>6</v>
      </c>
      <c r="AJ53" s="17" t="n">
        <v>8</v>
      </c>
      <c r="AK53" s="17" t="n">
        <v>8</v>
      </c>
      <c r="AL53" s="17" t="n">
        <v>9</v>
      </c>
      <c r="AM53" s="17" t="n">
        <v>5</v>
      </c>
      <c r="AN53" s="17" t="n">
        <v>5</v>
      </c>
      <c r="AO53" s="17" t="n">
        <v>7</v>
      </c>
      <c r="AP53" s="17" t="n">
        <v>4</v>
      </c>
      <c r="AQ53" s="17" t="n">
        <v>4</v>
      </c>
      <c r="AR53" s="17" t="n">
        <v>6</v>
      </c>
      <c r="AS53" s="17" t="n">
        <v>5</v>
      </c>
      <c r="AT53" s="8">
        <f>SUM(AB53:AS53)</f>
        <v/>
      </c>
      <c r="AU53" s="8">
        <f>AU11</f>
        <v/>
      </c>
      <c r="AV53" s="8">
        <f>AT53-AU53</f>
        <v/>
      </c>
      <c r="AW53" s="8">
        <f>MAX(0,25-AV53)*1.0</f>
        <v/>
      </c>
      <c r="AX53" s="18">
        <f>AA53+AW53</f>
        <v/>
      </c>
    </row>
    <row r="54">
      <c r="A54" s="8" t="n">
        <v>42</v>
      </c>
      <c r="B54" t="inlineStr">
        <is>
          <t>Guido Martins Gonçalves</t>
        </is>
      </c>
      <c r="C54" s="8" t="inlineStr">
        <is>
          <t>46414</t>
        </is>
      </c>
      <c r="D54" t="inlineStr">
        <is>
          <t>Quinta Lágrimas</t>
        </is>
      </c>
      <c r="E54" s="8" t="n">
        <v>14.6</v>
      </c>
      <c r="F54" s="17" t="n">
        <v>7</v>
      </c>
      <c r="G54" s="17" t="n">
        <v>4</v>
      </c>
      <c r="H54" s="17" t="n">
        <v>4</v>
      </c>
      <c r="I54" s="17" t="n">
        <v>6</v>
      </c>
      <c r="J54" s="17" t="n">
        <v>8</v>
      </c>
      <c r="K54" s="17" t="n">
        <v>5</v>
      </c>
      <c r="L54" s="17" t="n">
        <v>4</v>
      </c>
      <c r="M54" s="17" t="n">
        <v>10</v>
      </c>
      <c r="N54" s="17" t="n">
        <v>6</v>
      </c>
      <c r="O54" s="17" t="n">
        <v>7</v>
      </c>
      <c r="P54" s="17" t="n">
        <v>10</v>
      </c>
      <c r="Q54" s="17" t="n">
        <v>6</v>
      </c>
      <c r="R54" s="17" t="n">
        <v>4</v>
      </c>
      <c r="S54" s="17" t="n">
        <v>5</v>
      </c>
      <c r="T54" s="17" t="n">
        <v>4</v>
      </c>
      <c r="U54" s="17" t="n">
        <v>4</v>
      </c>
      <c r="V54" s="17" t="n">
        <v>6</v>
      </c>
      <c r="W54" s="17" t="n">
        <v>5</v>
      </c>
      <c r="X54" s="8">
        <f>SUM(F54:W54)</f>
        <v/>
      </c>
      <c r="Y54" s="8">
        <f>Y11</f>
        <v/>
      </c>
      <c r="Z54" s="8">
        <f>X54-Y54</f>
        <v/>
      </c>
      <c r="AA54" s="8">
        <f>MAX(0,25-Z54)*1.0</f>
        <v/>
      </c>
      <c r="AB54" s="17" t="n">
        <v>7</v>
      </c>
      <c r="AC54" s="17" t="n">
        <v>6</v>
      </c>
      <c r="AD54" s="17" t="n">
        <v>5</v>
      </c>
      <c r="AE54" s="17" t="n">
        <v>8</v>
      </c>
      <c r="AF54" s="17" t="n">
        <v>6</v>
      </c>
      <c r="AG54" s="17" t="n">
        <v>5</v>
      </c>
      <c r="AH54" s="17" t="n">
        <v>5</v>
      </c>
      <c r="AI54" s="17" t="n">
        <v>7</v>
      </c>
      <c r="AJ54" s="17" t="n">
        <v>4</v>
      </c>
      <c r="AK54" s="17" t="n">
        <v>7</v>
      </c>
      <c r="AL54" s="17" t="n">
        <v>10</v>
      </c>
      <c r="AM54" s="17" t="n">
        <v>3</v>
      </c>
      <c r="AN54" s="17" t="n">
        <v>4</v>
      </c>
      <c r="AO54" s="17" t="n">
        <v>7</v>
      </c>
      <c r="AP54" s="17" t="n">
        <v>6</v>
      </c>
      <c r="AQ54" s="17" t="n">
        <v>5</v>
      </c>
      <c r="AR54" s="17" t="n">
        <v>6</v>
      </c>
      <c r="AS54" s="17" t="n">
        <v>6</v>
      </c>
      <c r="AT54" s="8">
        <f>SUM(AB54:AS54)</f>
        <v/>
      </c>
      <c r="AU54" s="8">
        <f>AU11</f>
        <v/>
      </c>
      <c r="AV54" s="8">
        <f>AT54-AU54</f>
        <v/>
      </c>
      <c r="AW54" s="8">
        <f>MAX(0,25-AV54)*1.0</f>
        <v/>
      </c>
      <c r="AX54" s="18">
        <f>AA54+AW54</f>
        <v/>
      </c>
    </row>
    <row r="55">
      <c r="A55" s="8" t="n">
        <v>43</v>
      </c>
      <c r="B55" t="inlineStr">
        <is>
          <t>João Pedro Frade</t>
        </is>
      </c>
      <c r="C55" s="8" t="inlineStr">
        <is>
          <t>45424</t>
        </is>
      </c>
      <c r="D55" t="inlineStr">
        <is>
          <t>Citynorte</t>
        </is>
      </c>
      <c r="E55" s="8" t="n">
        <v>21</v>
      </c>
      <c r="F55" s="17" t="n">
        <v>9</v>
      </c>
      <c r="G55" s="17" t="n">
        <v>7</v>
      </c>
      <c r="H55" s="17" t="n">
        <v>5</v>
      </c>
      <c r="I55" s="17" t="n">
        <v>3</v>
      </c>
      <c r="J55" s="17" t="n">
        <v>9</v>
      </c>
      <c r="K55" s="17" t="n">
        <v>4</v>
      </c>
      <c r="L55" s="17" t="n">
        <v>4</v>
      </c>
      <c r="M55" s="17" t="n">
        <v>7</v>
      </c>
      <c r="N55" s="17" t="n">
        <v>6</v>
      </c>
      <c r="O55" s="17" t="n">
        <v>6</v>
      </c>
      <c r="P55" s="17" t="n">
        <v>7</v>
      </c>
      <c r="Q55" s="17" t="n">
        <v>6</v>
      </c>
      <c r="R55" s="17" t="n">
        <v>3</v>
      </c>
      <c r="S55" s="17" t="n">
        <v>8</v>
      </c>
      <c r="T55" s="17" t="n">
        <v>6</v>
      </c>
      <c r="U55" s="17" t="n">
        <v>4</v>
      </c>
      <c r="V55" s="17" t="n">
        <v>10</v>
      </c>
      <c r="W55" s="17" t="n">
        <v>4</v>
      </c>
      <c r="X55" s="8">
        <f>SUM(F55:W55)</f>
        <v/>
      </c>
      <c r="Y55" s="8">
        <f>Y11</f>
        <v/>
      </c>
      <c r="Z55" s="8">
        <f>X55-Y55</f>
        <v/>
      </c>
      <c r="AA55" s="8">
        <f>MAX(0,25-Z55)*1.0</f>
        <v/>
      </c>
      <c r="AB55" s="17" t="n">
        <v>6</v>
      </c>
      <c r="AC55" s="17" t="n">
        <v>8</v>
      </c>
      <c r="AD55" s="17" t="n">
        <v>6</v>
      </c>
      <c r="AE55" s="17" t="n">
        <v>5</v>
      </c>
      <c r="AF55" s="17" t="n">
        <v>6</v>
      </c>
      <c r="AG55" s="17" t="n">
        <v>5</v>
      </c>
      <c r="AH55" s="17" t="n">
        <v>3</v>
      </c>
      <c r="AI55" s="17" t="n">
        <v>6</v>
      </c>
      <c r="AJ55" s="17" t="n">
        <v>5</v>
      </c>
      <c r="AK55" s="17" t="n">
        <v>6</v>
      </c>
      <c r="AL55" s="17" t="n">
        <v>6</v>
      </c>
      <c r="AM55" s="17" t="n">
        <v>5</v>
      </c>
      <c r="AN55" s="17" t="n">
        <v>5</v>
      </c>
      <c r="AO55" s="17" t="n">
        <v>5</v>
      </c>
      <c r="AP55" s="17" t="n">
        <v>6</v>
      </c>
      <c r="AQ55" s="17" t="n">
        <v>3</v>
      </c>
      <c r="AR55" s="17" t="n">
        <v>6</v>
      </c>
      <c r="AS55" s="17" t="n">
        <v>6</v>
      </c>
      <c r="AT55" s="8">
        <f>SUM(AB55:AS55)</f>
        <v/>
      </c>
      <c r="AU55" s="8">
        <f>AU11</f>
        <v/>
      </c>
      <c r="AV55" s="8">
        <f>AT55-AU55</f>
        <v/>
      </c>
      <c r="AW55" s="8">
        <f>MAX(0,25-AV55)*1.0</f>
        <v/>
      </c>
      <c r="AX55" s="18">
        <f>AA55+AW55</f>
        <v/>
      </c>
    </row>
    <row r="56">
      <c r="A56" s="8" t="n">
        <v>44</v>
      </c>
      <c r="B56" t="inlineStr">
        <is>
          <t>Matias Carepa</t>
        </is>
      </c>
      <c r="C56" s="8" t="inlineStr">
        <is>
          <t>50467</t>
        </is>
      </c>
      <c r="D56" t="inlineStr">
        <is>
          <t>Citynorte</t>
        </is>
      </c>
      <c r="E56" s="8" t="n">
        <v>20.3</v>
      </c>
      <c r="F56" s="17" t="n">
        <v>8</v>
      </c>
      <c r="G56" s="17" t="n">
        <v>9</v>
      </c>
      <c r="H56" s="17" t="n">
        <v>9</v>
      </c>
      <c r="I56" s="17" t="n">
        <v>5</v>
      </c>
      <c r="J56" s="17" t="n">
        <v>5</v>
      </c>
      <c r="K56" s="17" t="n">
        <v>8</v>
      </c>
      <c r="L56" s="17" t="n">
        <v>4</v>
      </c>
      <c r="M56" s="17" t="n">
        <v>7</v>
      </c>
      <c r="N56" s="17" t="n">
        <v>9</v>
      </c>
      <c r="O56" s="17" t="n">
        <v>7</v>
      </c>
      <c r="P56" s="17" t="n">
        <v>4</v>
      </c>
      <c r="Q56" s="17" t="n">
        <v>5</v>
      </c>
      <c r="R56" s="17" t="n">
        <v>6</v>
      </c>
      <c r="S56" s="17" t="n">
        <v>4</v>
      </c>
      <c r="T56" s="17" t="n">
        <v>4</v>
      </c>
      <c r="U56" s="17" t="n">
        <v>3</v>
      </c>
      <c r="V56" s="17" t="n">
        <v>6</v>
      </c>
      <c r="W56" s="17" t="n">
        <v>6</v>
      </c>
      <c r="X56" s="8">
        <f>SUM(F56:W56)</f>
        <v/>
      </c>
      <c r="Y56" s="8">
        <f>Y11</f>
        <v/>
      </c>
      <c r="Z56" s="8">
        <f>X56-Y56</f>
        <v/>
      </c>
      <c r="AA56" s="8">
        <f>MAX(0,25-Z56)*1.0</f>
        <v/>
      </c>
      <c r="AB56" s="17" t="n">
        <v>7</v>
      </c>
      <c r="AC56" s="17" t="n">
        <v>6</v>
      </c>
      <c r="AD56" s="17" t="n">
        <v>5</v>
      </c>
      <c r="AE56" s="17" t="n">
        <v>4</v>
      </c>
      <c r="AF56" s="17" t="n">
        <v>8</v>
      </c>
      <c r="AG56" s="17" t="n">
        <v>5</v>
      </c>
      <c r="AH56" s="17" t="n">
        <v>2</v>
      </c>
      <c r="AI56" s="17" t="n">
        <v>6</v>
      </c>
      <c r="AJ56" s="17" t="n">
        <v>6</v>
      </c>
      <c r="AK56" s="17" t="n">
        <v>7</v>
      </c>
      <c r="AL56" s="17" t="n">
        <v>8</v>
      </c>
      <c r="AM56" s="17" t="n">
        <v>5</v>
      </c>
      <c r="AN56" s="17" t="n">
        <v>4</v>
      </c>
      <c r="AO56" s="17" t="n">
        <v>8</v>
      </c>
      <c r="AP56" s="17" t="n">
        <v>5</v>
      </c>
      <c r="AQ56" s="17" t="n">
        <v>3</v>
      </c>
      <c r="AR56" s="17" t="n">
        <v>6</v>
      </c>
      <c r="AS56" s="17" t="n">
        <v>6</v>
      </c>
      <c r="AT56" s="8">
        <f>SUM(AB56:AS56)</f>
        <v/>
      </c>
      <c r="AU56" s="8">
        <f>AU11</f>
        <v/>
      </c>
      <c r="AV56" s="8">
        <f>AT56-AU56</f>
        <v/>
      </c>
      <c r="AW56" s="8">
        <f>MAX(0,25-AV56)*1.0</f>
        <v/>
      </c>
      <c r="AX56" s="18">
        <f>AA56+AW56</f>
        <v/>
      </c>
    </row>
    <row r="57">
      <c r="A57" s="8" t="n">
        <v>45</v>
      </c>
      <c r="B57" t="inlineStr">
        <is>
          <t>Nuno Bessa</t>
        </is>
      </c>
      <c r="C57" s="8" t="inlineStr">
        <is>
          <t>47003</t>
        </is>
      </c>
      <c r="D57" t="inlineStr">
        <is>
          <t>Vale Pisão</t>
        </is>
      </c>
      <c r="E57" s="8" t="n">
        <v>17</v>
      </c>
      <c r="F57" s="17" t="n">
        <v>6</v>
      </c>
      <c r="G57" s="17" t="n">
        <v>9</v>
      </c>
      <c r="H57" s="17" t="n">
        <v>10</v>
      </c>
      <c r="I57" s="17" t="n">
        <v>6</v>
      </c>
      <c r="J57" s="17" t="n">
        <v>6</v>
      </c>
      <c r="K57" s="17" t="n">
        <v>5</v>
      </c>
      <c r="L57" s="17" t="n">
        <v>4</v>
      </c>
      <c r="M57" s="17" t="n">
        <v>7</v>
      </c>
      <c r="N57" s="17" t="n">
        <v>5</v>
      </c>
      <c r="O57" s="17" t="n">
        <v>6</v>
      </c>
      <c r="P57" s="17" t="n">
        <v>7</v>
      </c>
      <c r="Q57" s="17" t="n">
        <v>5</v>
      </c>
      <c r="R57" s="17" t="n">
        <v>4</v>
      </c>
      <c r="S57" s="17" t="n">
        <v>6</v>
      </c>
      <c r="T57" s="17" t="n">
        <v>5</v>
      </c>
      <c r="U57" s="17" t="n">
        <v>4</v>
      </c>
      <c r="V57" s="17" t="n">
        <v>9</v>
      </c>
      <c r="W57" s="17" t="n">
        <v>6</v>
      </c>
      <c r="X57" s="8">
        <f>SUM(F57:W57)</f>
        <v/>
      </c>
      <c r="Y57" s="8">
        <f>Y11</f>
        <v/>
      </c>
      <c r="Z57" s="8">
        <f>X57-Y57</f>
        <v/>
      </c>
      <c r="AA57" s="8">
        <f>MAX(0,25-Z57)*1.0</f>
        <v/>
      </c>
      <c r="AB57" s="17" t="n">
        <v>5</v>
      </c>
      <c r="AC57" s="17" t="n">
        <v>6</v>
      </c>
      <c r="AD57" s="17" t="n">
        <v>8</v>
      </c>
      <c r="AE57" s="17" t="n">
        <v>6</v>
      </c>
      <c r="AF57" s="17" t="n">
        <v>6</v>
      </c>
      <c r="AG57" s="17" t="n">
        <v>5</v>
      </c>
      <c r="AH57" s="17" t="n">
        <v>3</v>
      </c>
      <c r="AI57" s="17" t="n">
        <v>10</v>
      </c>
      <c r="AJ57" s="17" t="n">
        <v>6</v>
      </c>
      <c r="AK57" s="17" t="n">
        <v>6</v>
      </c>
      <c r="AL57" s="17" t="n">
        <v>5</v>
      </c>
      <c r="AM57" s="17" t="n">
        <v>6</v>
      </c>
      <c r="AN57" s="17" t="n">
        <v>4</v>
      </c>
      <c r="AO57" s="17" t="n">
        <v>6</v>
      </c>
      <c r="AP57" s="17" t="n">
        <v>4</v>
      </c>
      <c r="AQ57" s="17" t="n">
        <v>4</v>
      </c>
      <c r="AR57" s="17" t="n">
        <v>6</v>
      </c>
      <c r="AS57" s="17" t="n">
        <v>8</v>
      </c>
      <c r="AT57" s="8">
        <f>SUM(AB57:AS57)</f>
        <v/>
      </c>
      <c r="AU57" s="8">
        <f>AU11</f>
        <v/>
      </c>
      <c r="AV57" s="8">
        <f>AT57-AU57</f>
        <v/>
      </c>
      <c r="AW57" s="8">
        <f>MAX(0,25-AV57)*1.0</f>
        <v/>
      </c>
      <c r="AX57" s="18">
        <f>AA57+AW57</f>
        <v/>
      </c>
    </row>
    <row r="58">
      <c r="A58" s="8" t="n">
        <v>46</v>
      </c>
      <c r="B58" t="inlineStr">
        <is>
          <t>Leonardo Ferreira</t>
        </is>
      </c>
      <c r="C58" s="8" t="inlineStr">
        <is>
          <t>50193</t>
        </is>
      </c>
      <c r="D58" t="inlineStr">
        <is>
          <t>Paredes</t>
        </is>
      </c>
      <c r="E58" s="8" t="n">
        <v>22.4</v>
      </c>
      <c r="F58" s="17" t="n">
        <v>7</v>
      </c>
      <c r="G58" s="17" t="n">
        <v>6</v>
      </c>
      <c r="H58" s="17" t="n">
        <v>10</v>
      </c>
      <c r="I58" s="17" t="n">
        <v>4</v>
      </c>
      <c r="J58" s="17" t="n">
        <v>6</v>
      </c>
      <c r="K58" s="17" t="n">
        <v>6</v>
      </c>
      <c r="L58" s="17" t="n">
        <v>2</v>
      </c>
      <c r="M58" s="17" t="n">
        <v>7</v>
      </c>
      <c r="N58" s="17" t="n">
        <v>6</v>
      </c>
      <c r="O58" s="17" t="n">
        <v>7</v>
      </c>
      <c r="P58" s="17" t="n">
        <v>7</v>
      </c>
      <c r="Q58" s="17" t="n">
        <v>5</v>
      </c>
      <c r="R58" s="17" t="n">
        <v>4</v>
      </c>
      <c r="S58" s="17" t="n">
        <v>7</v>
      </c>
      <c r="T58" s="17" t="n">
        <v>8</v>
      </c>
      <c r="U58" s="17" t="n">
        <v>5</v>
      </c>
      <c r="V58" s="17" t="n">
        <v>10</v>
      </c>
      <c r="W58" s="17" t="n">
        <v>5</v>
      </c>
      <c r="X58" s="8">
        <f>SUM(F58:W58)</f>
        <v/>
      </c>
      <c r="Y58" s="8">
        <f>Y11</f>
        <v/>
      </c>
      <c r="Z58" s="8">
        <f>X58-Y58</f>
        <v/>
      </c>
      <c r="AA58" s="8">
        <f>MAX(0,25-Z58)*1.0</f>
        <v/>
      </c>
      <c r="AB58" s="17" t="n">
        <v>6</v>
      </c>
      <c r="AC58" s="17" t="n">
        <v>4</v>
      </c>
      <c r="AD58" s="17" t="n">
        <v>6</v>
      </c>
      <c r="AE58" s="17" t="n">
        <v>4</v>
      </c>
      <c r="AF58" s="17" t="n">
        <v>8</v>
      </c>
      <c r="AG58" s="17" t="n">
        <v>3</v>
      </c>
      <c r="AH58" s="17" t="n">
        <v>3</v>
      </c>
      <c r="AI58" s="17" t="n">
        <v>8</v>
      </c>
      <c r="AJ58" s="17" t="n">
        <v>5</v>
      </c>
      <c r="AK58" s="17" t="n">
        <v>9</v>
      </c>
      <c r="AL58" s="17" t="n">
        <v>10</v>
      </c>
      <c r="AM58" s="17" t="n">
        <v>6</v>
      </c>
      <c r="AN58" s="17" t="n">
        <v>4</v>
      </c>
      <c r="AO58" s="17" t="n">
        <v>10</v>
      </c>
      <c r="AP58" s="17" t="n">
        <v>4</v>
      </c>
      <c r="AQ58" s="17" t="n">
        <v>6</v>
      </c>
      <c r="AR58" s="17" t="n">
        <v>7</v>
      </c>
      <c r="AS58" s="17" t="n">
        <v>5</v>
      </c>
      <c r="AT58" s="8">
        <f>SUM(AB58:AS58)</f>
        <v/>
      </c>
      <c r="AU58" s="8">
        <f>AU11</f>
        <v/>
      </c>
      <c r="AV58" s="8">
        <f>AT58-AU58</f>
        <v/>
      </c>
      <c r="AW58" s="8">
        <f>MAX(0,25-AV58)*1.0</f>
        <v/>
      </c>
      <c r="AX58" s="18">
        <f>AA58+AW58</f>
        <v/>
      </c>
    </row>
    <row r="59">
      <c r="A59" s="8" t="n">
        <v>47</v>
      </c>
      <c r="B59" t="inlineStr">
        <is>
          <t>Gil Martins Gonçalves</t>
        </is>
      </c>
      <c r="C59" s="8" t="inlineStr">
        <is>
          <t>46415</t>
        </is>
      </c>
      <c r="D59" t="inlineStr">
        <is>
          <t>Quinta Lágrimas</t>
        </is>
      </c>
      <c r="E59" s="8" t="n">
        <v>18.3</v>
      </c>
      <c r="F59" s="17" t="n">
        <v>8</v>
      </c>
      <c r="G59" s="17" t="n">
        <v>10</v>
      </c>
      <c r="H59" s="17" t="n">
        <v>8</v>
      </c>
      <c r="I59" s="17" t="n">
        <v>3</v>
      </c>
      <c r="J59" s="17" t="n">
        <v>8</v>
      </c>
      <c r="K59" s="17" t="n">
        <v>6</v>
      </c>
      <c r="L59" s="17" t="n">
        <v>5</v>
      </c>
      <c r="M59" s="17" t="n">
        <v>7</v>
      </c>
      <c r="N59" s="17" t="n">
        <v>8</v>
      </c>
      <c r="O59" s="17" t="n">
        <v>10</v>
      </c>
      <c r="P59" s="17" t="n">
        <v>4</v>
      </c>
      <c r="Q59" s="17" t="n">
        <v>4</v>
      </c>
      <c r="R59" s="17" t="n">
        <v>4</v>
      </c>
      <c r="S59" s="17" t="n">
        <v>8</v>
      </c>
      <c r="T59" s="17" t="n">
        <v>5</v>
      </c>
      <c r="U59" s="17" t="n">
        <v>3</v>
      </c>
      <c r="V59" s="17" t="n">
        <v>7</v>
      </c>
      <c r="W59" s="17" t="n">
        <v>6</v>
      </c>
      <c r="X59" s="8">
        <f>SUM(F59:W59)</f>
        <v/>
      </c>
      <c r="Y59" s="8">
        <f>Y11</f>
        <v/>
      </c>
      <c r="Z59" s="8">
        <f>X59-Y59</f>
        <v/>
      </c>
      <c r="AA59" s="8">
        <f>MAX(0,25-Z59)*1.0</f>
        <v/>
      </c>
      <c r="AB59" s="17" t="n">
        <v>8</v>
      </c>
      <c r="AC59" s="17" t="n">
        <v>6</v>
      </c>
      <c r="AD59" s="17" t="n">
        <v>7</v>
      </c>
      <c r="AE59" s="17" t="n">
        <v>4</v>
      </c>
      <c r="AF59" s="17" t="n">
        <v>9</v>
      </c>
      <c r="AG59" s="17" t="n">
        <v>10</v>
      </c>
      <c r="AH59" s="17" t="n">
        <v>3</v>
      </c>
      <c r="AI59" s="17" t="n">
        <v>6</v>
      </c>
      <c r="AJ59" s="17" t="n">
        <v>10</v>
      </c>
      <c r="AK59" s="17" t="n">
        <v>7</v>
      </c>
      <c r="AL59" s="17" t="n">
        <v>6</v>
      </c>
      <c r="AM59" s="17" t="n">
        <v>5</v>
      </c>
      <c r="AN59" s="17" t="n">
        <v>4</v>
      </c>
      <c r="AO59" s="17" t="n">
        <v>6</v>
      </c>
      <c r="AP59" s="17" t="n">
        <v>5</v>
      </c>
      <c r="AQ59" s="17" t="n">
        <v>4</v>
      </c>
      <c r="AR59" s="17" t="n">
        <v>6</v>
      </c>
      <c r="AS59" s="17" t="n">
        <v>5</v>
      </c>
      <c r="AT59" s="8">
        <f>SUM(AB59:AS59)</f>
        <v/>
      </c>
      <c r="AU59" s="8">
        <f>AU11</f>
        <v/>
      </c>
      <c r="AV59" s="8">
        <f>AT59-AU59</f>
        <v/>
      </c>
      <c r="AW59" s="8">
        <f>MAX(0,25-AV59)*1.0</f>
        <v/>
      </c>
      <c r="AX59" s="18">
        <f>AA59+AW59</f>
        <v/>
      </c>
    </row>
    <row r="60">
      <c r="A60" s="8" t="n">
        <v>48</v>
      </c>
      <c r="B60" t="inlineStr">
        <is>
          <t>Gustavo Castro</t>
        </is>
      </c>
      <c r="C60" s="8" t="inlineStr">
        <is>
          <t>50053</t>
        </is>
      </c>
      <c r="D60" t="inlineStr">
        <is>
          <t>Paredes</t>
        </is>
      </c>
      <c r="E60" s="8" t="n">
        <v>17.3</v>
      </c>
      <c r="F60" s="17" t="n">
        <v>8</v>
      </c>
      <c r="G60" s="17" t="n">
        <v>9</v>
      </c>
      <c r="H60" s="17" t="n">
        <v>7</v>
      </c>
      <c r="I60" s="17" t="n">
        <v>6</v>
      </c>
      <c r="J60" s="17" t="n">
        <v>5</v>
      </c>
      <c r="K60" s="17" t="n">
        <v>6</v>
      </c>
      <c r="L60" s="17" t="n">
        <v>4</v>
      </c>
      <c r="M60" s="17" t="n">
        <v>6</v>
      </c>
      <c r="N60" s="17" t="n">
        <v>6</v>
      </c>
      <c r="O60" s="17" t="n">
        <v>5</v>
      </c>
      <c r="P60" s="17" t="n">
        <v>6</v>
      </c>
      <c r="Q60" s="17" t="n">
        <v>10</v>
      </c>
      <c r="R60" s="17" t="n">
        <v>4</v>
      </c>
      <c r="S60" s="17" t="n">
        <v>7</v>
      </c>
      <c r="T60" s="17" t="n">
        <v>4</v>
      </c>
      <c r="U60" s="17" t="n">
        <v>6</v>
      </c>
      <c r="V60" s="17" t="n">
        <v>9</v>
      </c>
      <c r="W60" s="17" t="n">
        <v>6</v>
      </c>
      <c r="X60" s="8">
        <f>SUM(F60:W60)</f>
        <v/>
      </c>
      <c r="Y60" s="8">
        <f>Y11</f>
        <v/>
      </c>
      <c r="Z60" s="8">
        <f>X60-Y60</f>
        <v/>
      </c>
      <c r="AA60" s="8">
        <f>MAX(0,25-Z60)*1.0</f>
        <v/>
      </c>
      <c r="AB60" s="17" t="n">
        <v>6</v>
      </c>
      <c r="AC60" s="17" t="n">
        <v>7</v>
      </c>
      <c r="AD60" s="17" t="n">
        <v>5</v>
      </c>
      <c r="AE60" s="17" t="n">
        <v>4</v>
      </c>
      <c r="AF60" s="17" t="n">
        <v>5</v>
      </c>
      <c r="AG60" s="17" t="n">
        <v>4</v>
      </c>
      <c r="AH60" s="17" t="n">
        <v>3</v>
      </c>
      <c r="AI60" s="17" t="n">
        <v>7</v>
      </c>
      <c r="AJ60" s="17" t="n">
        <v>6</v>
      </c>
      <c r="AK60" s="17" t="n">
        <v>7</v>
      </c>
      <c r="AL60" s="17" t="n">
        <v>8</v>
      </c>
      <c r="AM60" s="17" t="n">
        <v>5</v>
      </c>
      <c r="AN60" s="17" t="n">
        <v>3</v>
      </c>
      <c r="AO60" s="17" t="n">
        <v>6</v>
      </c>
      <c r="AP60" s="17" t="n">
        <v>8</v>
      </c>
      <c r="AQ60" s="17" t="n">
        <v>3</v>
      </c>
      <c r="AR60" s="17" t="n">
        <v>9</v>
      </c>
      <c r="AS60" s="17" t="n">
        <v>4</v>
      </c>
      <c r="AT60" s="8">
        <f>SUM(AB60:AS60)</f>
        <v/>
      </c>
      <c r="AU60" s="8">
        <f>AU11</f>
        <v/>
      </c>
      <c r="AV60" s="8">
        <f>AT60-AU60</f>
        <v/>
      </c>
      <c r="AW60" s="8">
        <f>MAX(0,25-AV60)*1.0</f>
        <v/>
      </c>
      <c r="AX60" s="18">
        <f>AA60+AW60</f>
        <v/>
      </c>
    </row>
    <row r="61">
      <c r="A61" s="8" t="n">
        <v>49</v>
      </c>
      <c r="B61" t="inlineStr">
        <is>
          <t>Gabriel Guimarães Mota</t>
        </is>
      </c>
      <c r="C61" s="8" t="inlineStr">
        <is>
          <t>50526</t>
        </is>
      </c>
      <c r="D61" t="inlineStr">
        <is>
          <t>Estela</t>
        </is>
      </c>
      <c r="E61" s="8" t="n">
        <v>25.5</v>
      </c>
      <c r="F61" s="17" t="n">
        <v>6</v>
      </c>
      <c r="G61" s="17" t="n">
        <v>6</v>
      </c>
      <c r="H61" s="17" t="n">
        <v>6</v>
      </c>
      <c r="I61" s="17" t="n">
        <v>5</v>
      </c>
      <c r="J61" s="17" t="n">
        <v>6</v>
      </c>
      <c r="K61" s="17" t="n">
        <v>4</v>
      </c>
      <c r="L61" s="17" t="n">
        <v>4</v>
      </c>
      <c r="M61" s="17" t="n">
        <v>10</v>
      </c>
      <c r="N61" s="17" t="n">
        <v>7</v>
      </c>
      <c r="O61" s="17" t="n">
        <v>9</v>
      </c>
      <c r="P61" s="17" t="n">
        <v>7</v>
      </c>
      <c r="Q61" s="17" t="n">
        <v>6</v>
      </c>
      <c r="R61" s="17" t="n">
        <v>5</v>
      </c>
      <c r="S61" s="17" t="n">
        <v>6</v>
      </c>
      <c r="T61" s="17" t="n">
        <v>6</v>
      </c>
      <c r="U61" s="17" t="n">
        <v>4</v>
      </c>
      <c r="V61" s="17" t="n">
        <v>10</v>
      </c>
      <c r="W61" s="17" t="n">
        <v>8</v>
      </c>
      <c r="X61" s="8">
        <f>SUM(F61:W61)</f>
        <v/>
      </c>
      <c r="Y61" s="8">
        <f>Y11</f>
        <v/>
      </c>
      <c r="Z61" s="8">
        <f>X61-Y61</f>
        <v/>
      </c>
      <c r="AA61" s="8">
        <f>MAX(0,25-Z61)*1.0</f>
        <v/>
      </c>
      <c r="AB61" s="17" t="n">
        <v>8</v>
      </c>
      <c r="AC61" s="17" t="n">
        <v>4</v>
      </c>
      <c r="AD61" s="17" t="n">
        <v>6</v>
      </c>
      <c r="AE61" s="17" t="n">
        <v>5</v>
      </c>
      <c r="AF61" s="17" t="n">
        <v>5</v>
      </c>
      <c r="AG61" s="17" t="n">
        <v>6</v>
      </c>
      <c r="AH61" s="17" t="n">
        <v>6</v>
      </c>
      <c r="AI61" s="17" t="n">
        <v>8</v>
      </c>
      <c r="AJ61" s="17" t="n">
        <v>7</v>
      </c>
      <c r="AK61" s="17" t="n">
        <v>10</v>
      </c>
      <c r="AL61" s="17" t="n">
        <v>7</v>
      </c>
      <c r="AM61" s="17" t="n">
        <v>6</v>
      </c>
      <c r="AN61" s="17" t="n">
        <v>5</v>
      </c>
      <c r="AO61" s="17" t="n">
        <v>8</v>
      </c>
      <c r="AP61" s="17" t="n">
        <v>4</v>
      </c>
      <c r="AQ61" s="17" t="n">
        <v>10</v>
      </c>
      <c r="AR61" s="17" t="n">
        <v>10</v>
      </c>
      <c r="AS61" s="17" t="n">
        <v>7</v>
      </c>
      <c r="AT61" s="8">
        <f>SUM(AB61:AS61)</f>
        <v/>
      </c>
      <c r="AU61" s="8">
        <f>AU11</f>
        <v/>
      </c>
      <c r="AV61" s="8">
        <f>AT61-AU61</f>
        <v/>
      </c>
      <c r="AW61" s="8">
        <f>MAX(0,25-AV61)*1.0</f>
        <v/>
      </c>
      <c r="AX61" s="18">
        <f>AA61+AW61</f>
        <v/>
      </c>
    </row>
    <row r="62">
      <c r="A62" s="8" t="n">
        <v>50</v>
      </c>
      <c r="B62" t="inlineStr">
        <is>
          <t>Dinis Seabra</t>
        </is>
      </c>
      <c r="C62" s="8" t="inlineStr">
        <is>
          <t>44821</t>
        </is>
      </c>
      <c r="D62" t="inlineStr">
        <is>
          <t>Oporto</t>
        </is>
      </c>
      <c r="E62" s="8" t="n">
        <v>17.8</v>
      </c>
      <c r="F62" s="17" t="n">
        <v>6</v>
      </c>
      <c r="G62" s="17" t="n">
        <v>6</v>
      </c>
      <c r="H62" s="17" t="n">
        <v>5</v>
      </c>
      <c r="I62" s="17" t="n">
        <v>4</v>
      </c>
      <c r="J62" s="17" t="n">
        <v>5</v>
      </c>
      <c r="K62" s="17" t="n">
        <v>4</v>
      </c>
      <c r="L62" s="17" t="n">
        <v>5</v>
      </c>
      <c r="M62" s="17" t="n">
        <v>9</v>
      </c>
      <c r="N62" s="17" t="n">
        <v>5</v>
      </c>
      <c r="O62" s="17" t="n">
        <v>6</v>
      </c>
      <c r="P62" s="17" t="n">
        <v>4</v>
      </c>
      <c r="Q62" s="17" t="n">
        <v>3</v>
      </c>
      <c r="R62" s="17" t="n">
        <v>4</v>
      </c>
      <c r="S62" s="17" t="n">
        <v>10</v>
      </c>
      <c r="T62" s="17" t="n">
        <v>10</v>
      </c>
      <c r="U62" s="17" t="n">
        <v>10</v>
      </c>
      <c r="V62" s="17" t="n">
        <v>10</v>
      </c>
      <c r="W62" s="17" t="n">
        <v>10</v>
      </c>
      <c r="X62" s="8">
        <f>SUM(F62:W62)</f>
        <v/>
      </c>
      <c r="Y62" s="8">
        <f>Y11</f>
        <v/>
      </c>
      <c r="Z62" s="8">
        <f>X62-Y62</f>
        <v/>
      </c>
      <c r="AA62" s="8">
        <f>MAX(0,25-Z62)*1.0</f>
        <v/>
      </c>
      <c r="AW62" s="8" t="n">
        <v>0</v>
      </c>
      <c r="AX62" s="18">
        <f>AA62+AW62</f>
        <v/>
      </c>
    </row>
    <row r="63">
      <c r="A63" s="8" t="n">
        <v>51</v>
      </c>
      <c r="B63" t="inlineStr">
        <is>
          <t>Ricardo Ferreira</t>
        </is>
      </c>
      <c r="C63" s="8" t="inlineStr">
        <is>
          <t>45366</t>
        </is>
      </c>
      <c r="D63" t="inlineStr">
        <is>
          <t>Oporto</t>
        </is>
      </c>
      <c r="E63" s="8" t="n">
        <v>23.1</v>
      </c>
      <c r="F63" s="17" t="n">
        <v>9</v>
      </c>
      <c r="G63" s="17" t="n">
        <v>10</v>
      </c>
      <c r="H63" s="17" t="n">
        <v>8</v>
      </c>
      <c r="I63" s="17" t="n">
        <v>7</v>
      </c>
      <c r="J63" s="17" t="n">
        <v>6</v>
      </c>
      <c r="K63" s="17" t="n">
        <v>5</v>
      </c>
      <c r="L63" s="17" t="n">
        <v>4</v>
      </c>
      <c r="M63" s="17" t="n">
        <v>7</v>
      </c>
      <c r="N63" s="17" t="n">
        <v>5</v>
      </c>
      <c r="O63" s="17" t="n">
        <v>9</v>
      </c>
      <c r="P63" s="17" t="n">
        <v>6</v>
      </c>
      <c r="Q63" s="17" t="n">
        <v>5</v>
      </c>
      <c r="R63" s="17" t="n">
        <v>6</v>
      </c>
      <c r="S63" s="17" t="n">
        <v>10</v>
      </c>
      <c r="T63" s="17" t="n">
        <v>8</v>
      </c>
      <c r="U63" s="17" t="n">
        <v>4</v>
      </c>
      <c r="V63" s="17" t="n">
        <v>7</v>
      </c>
      <c r="W63" s="17" t="n">
        <v>9</v>
      </c>
      <c r="X63" s="8">
        <f>SUM(F63:W63)</f>
        <v/>
      </c>
      <c r="Y63" s="8">
        <f>Y11</f>
        <v/>
      </c>
      <c r="Z63" s="8">
        <f>X63-Y63</f>
        <v/>
      </c>
      <c r="AA63" s="8">
        <f>MAX(0,25-Z63)*1.0</f>
        <v/>
      </c>
      <c r="AB63" s="17" t="n">
        <v>10</v>
      </c>
      <c r="AC63" s="17" t="n">
        <v>5</v>
      </c>
      <c r="AD63" s="17" t="n">
        <v>4</v>
      </c>
      <c r="AE63" s="17" t="n">
        <v>5</v>
      </c>
      <c r="AF63" s="17" t="n">
        <v>7</v>
      </c>
      <c r="AG63" s="17" t="n">
        <v>5</v>
      </c>
      <c r="AH63" s="17" t="n">
        <v>5</v>
      </c>
      <c r="AI63" s="17" t="n">
        <v>6</v>
      </c>
      <c r="AJ63" s="17" t="n">
        <v>5</v>
      </c>
      <c r="AK63" s="17" t="n">
        <v>6</v>
      </c>
      <c r="AL63" s="17" t="n">
        <v>6</v>
      </c>
      <c r="AM63" s="17" t="n">
        <v>6</v>
      </c>
      <c r="AN63" s="17" t="n">
        <v>5</v>
      </c>
      <c r="AO63" s="17" t="n">
        <v>7</v>
      </c>
      <c r="AP63" s="17" t="n">
        <v>7</v>
      </c>
      <c r="AQ63" s="17" t="n">
        <v>6</v>
      </c>
      <c r="AR63" s="17" t="n">
        <v>10</v>
      </c>
      <c r="AS63" s="17" t="n">
        <v>7</v>
      </c>
      <c r="AT63" s="8">
        <f>SUM(AB63:AS63)</f>
        <v/>
      </c>
      <c r="AU63" s="8">
        <f>AU11</f>
        <v/>
      </c>
      <c r="AV63" s="8">
        <f>AT63-AU63</f>
        <v/>
      </c>
      <c r="AW63" s="8">
        <f>MAX(0,25-AV63)*1.0</f>
        <v/>
      </c>
      <c r="AX63" s="18">
        <f>AA63+AW63</f>
        <v/>
      </c>
    </row>
  </sheetData>
  <mergeCells count="1">
    <mergeCell ref="A1:H1"/>
  </mergeCells>
  <conditionalFormatting sqref="F13:F63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63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63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63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63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63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63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63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63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63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63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63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63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63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63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63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63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63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63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63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63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63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63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63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63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63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63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63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63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63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63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63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63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63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63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63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3º Drive Tour Madeira — Palheiro</t>
        </is>
      </c>
    </row>
    <row r="2">
      <c r="A2" s="10" t="inlineStr">
        <is>
          <t>Data:</t>
        </is>
      </c>
      <c r="B2" t="inlineStr">
        <is>
          <t>2026-03-07</t>
        </is>
      </c>
    </row>
    <row r="3">
      <c r="A3" s="10" t="inlineStr">
        <is>
          <t>Campo:</t>
        </is>
      </c>
      <c r="B3" t="inlineStr">
        <is>
          <t>Palheiro Golf</t>
        </is>
      </c>
    </row>
    <row r="4">
      <c r="A4" s="10" t="inlineStr">
        <is>
          <t>ccode/tcode:</t>
        </is>
      </c>
      <c r="B4" t="inlineStr">
        <is>
          <t>982/10200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https://scoring.datagolf.pt/pt/Classifications.aspx?ccode=982&amp;tcode=10200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4</v>
      </c>
      <c r="H11" s="14" t="n">
        <v>3</v>
      </c>
      <c r="I11" s="14" t="n">
        <v>4</v>
      </c>
      <c r="J11" s="14" t="n">
        <v>3</v>
      </c>
      <c r="K11" s="14" t="n">
        <v>5</v>
      </c>
      <c r="L11" s="14" t="n">
        <v>3</v>
      </c>
      <c r="M11" s="14" t="n">
        <v>4</v>
      </c>
      <c r="N11" s="14" t="n">
        <v>4</v>
      </c>
      <c r="O11" s="14" t="n">
        <v>5</v>
      </c>
      <c r="P11" s="14" t="n">
        <v>3</v>
      </c>
      <c r="Q11" s="14" t="n">
        <v>5</v>
      </c>
      <c r="R11" s="14" t="n">
        <v>3</v>
      </c>
      <c r="S11" s="14" t="n">
        <v>4</v>
      </c>
      <c r="T11" s="14" t="n">
        <v>5</v>
      </c>
      <c r="U11" s="14" t="n">
        <v>4</v>
      </c>
      <c r="V11" s="14" t="n">
        <v>4</v>
      </c>
      <c r="W11" s="14" t="n">
        <v>5</v>
      </c>
      <c r="Y11" s="15">
        <f>SUM(F11:W11)</f>
        <v/>
      </c>
    </row>
    <row r="12">
      <c r="A12" s="13" t="inlineStr">
        <is>
          <t>—SI—</t>
        </is>
      </c>
      <c r="F12" s="16" t="n">
        <v>2</v>
      </c>
      <c r="G12" s="16" t="n">
        <v>16</v>
      </c>
      <c r="H12" s="16" t="n">
        <v>8</v>
      </c>
      <c r="I12" s="16" t="n">
        <v>12</v>
      </c>
      <c r="J12" s="16" t="n">
        <v>18</v>
      </c>
      <c r="K12" s="16" t="n">
        <v>4</v>
      </c>
      <c r="L12" s="16" t="n">
        <v>10</v>
      </c>
      <c r="M12" s="16" t="n">
        <v>6</v>
      </c>
      <c r="N12" s="16" t="n">
        <v>14</v>
      </c>
      <c r="O12" s="16" t="n">
        <v>9</v>
      </c>
      <c r="P12" s="16" t="n">
        <v>17</v>
      </c>
      <c r="Q12" s="16" t="n">
        <v>3</v>
      </c>
      <c r="R12" s="16" t="n">
        <v>15</v>
      </c>
      <c r="S12" s="16" t="n">
        <v>7</v>
      </c>
      <c r="T12" s="16" t="n">
        <v>13</v>
      </c>
      <c r="U12" s="16" t="n">
        <v>5</v>
      </c>
      <c r="V12" s="16" t="n">
        <v>1</v>
      </c>
      <c r="W12" s="16" t="n">
        <v>11</v>
      </c>
    </row>
    <row r="13">
      <c r="A13" s="8" t="n">
        <v>1</v>
      </c>
      <c r="B13" t="inlineStr">
        <is>
          <t>Manuel Goulartt Medeiros</t>
        </is>
      </c>
      <c r="C13" s="8" t="inlineStr">
        <is>
          <t>52884</t>
        </is>
      </c>
      <c r="D13" t="inlineStr">
        <is>
          <t>Santo da Serra</t>
        </is>
      </c>
      <c r="E13" s="8" t="n">
        <v>10.7</v>
      </c>
      <c r="F13" s="17" t="n">
        <v>5</v>
      </c>
      <c r="G13" s="17" t="n">
        <v>4</v>
      </c>
      <c r="H13" s="17" t="n">
        <v>3</v>
      </c>
      <c r="I13" s="17" t="n">
        <v>4</v>
      </c>
      <c r="J13" s="17" t="n">
        <v>2</v>
      </c>
      <c r="K13" s="17" t="n">
        <v>6</v>
      </c>
      <c r="L13" s="17" t="n">
        <v>3</v>
      </c>
      <c r="M13" s="17" t="n">
        <v>5</v>
      </c>
      <c r="N13" s="17" t="n">
        <v>5</v>
      </c>
      <c r="O13" s="17" t="n">
        <v>4</v>
      </c>
      <c r="P13" s="17" t="n">
        <v>5</v>
      </c>
      <c r="Q13" s="17" t="n">
        <v>5</v>
      </c>
      <c r="R13" s="17" t="n">
        <v>3</v>
      </c>
      <c r="S13" s="17" t="n">
        <v>3</v>
      </c>
      <c r="T13" s="17" t="n">
        <v>4</v>
      </c>
      <c r="U13" s="17" t="n">
        <v>6</v>
      </c>
      <c r="V13" s="17" t="n">
        <v>4</v>
      </c>
      <c r="W13" s="17" t="n">
        <v>4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Salvador Rodrigues</t>
        </is>
      </c>
      <c r="C14" s="8" t="inlineStr">
        <is>
          <t>39465</t>
        </is>
      </c>
      <c r="D14" t="inlineStr">
        <is>
          <t>Palheiro</t>
        </is>
      </c>
      <c r="E14" s="8" t="n">
        <v>6.2</v>
      </c>
      <c r="F14" s="17" t="n">
        <v>4</v>
      </c>
      <c r="G14" s="17" t="n">
        <v>4</v>
      </c>
      <c r="H14" s="17" t="n">
        <v>5</v>
      </c>
      <c r="I14" s="17" t="n">
        <v>5</v>
      </c>
      <c r="J14" s="17" t="n">
        <v>4</v>
      </c>
      <c r="K14" s="17" t="n">
        <v>5</v>
      </c>
      <c r="L14" s="17" t="n">
        <v>3</v>
      </c>
      <c r="M14" s="17" t="n">
        <v>4</v>
      </c>
      <c r="N14" s="17" t="n">
        <v>4</v>
      </c>
      <c r="O14" s="17" t="n">
        <v>5</v>
      </c>
      <c r="P14" s="17" t="n">
        <v>4</v>
      </c>
      <c r="Q14" s="17" t="n">
        <v>6</v>
      </c>
      <c r="R14" s="17" t="n">
        <v>3</v>
      </c>
      <c r="S14" s="17" t="n">
        <v>4</v>
      </c>
      <c r="T14" s="17" t="n">
        <v>5</v>
      </c>
      <c r="U14" s="17" t="n">
        <v>5</v>
      </c>
      <c r="V14" s="17" t="n">
        <v>4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André Gonçalves</t>
        </is>
      </c>
      <c r="C15" s="8" t="inlineStr">
        <is>
          <t>41121</t>
        </is>
      </c>
      <c r="D15" t="inlineStr">
        <is>
          <t>Palheiro</t>
        </is>
      </c>
      <c r="E15" s="8" t="n">
        <v>6.7</v>
      </c>
      <c r="F15" s="17" t="n">
        <v>5</v>
      </c>
      <c r="G15" s="17" t="n">
        <v>5</v>
      </c>
      <c r="H15" s="17" t="n">
        <v>4</v>
      </c>
      <c r="I15" s="17" t="n">
        <v>3</v>
      </c>
      <c r="J15" s="17" t="n">
        <v>4</v>
      </c>
      <c r="K15" s="17" t="n">
        <v>6</v>
      </c>
      <c r="L15" s="17" t="n">
        <v>2</v>
      </c>
      <c r="M15" s="17" t="n">
        <v>4</v>
      </c>
      <c r="N15" s="17" t="n">
        <v>3</v>
      </c>
      <c r="O15" s="17" t="n">
        <v>3</v>
      </c>
      <c r="P15" s="17" t="n">
        <v>4</v>
      </c>
      <c r="Q15" s="17" t="n">
        <v>6</v>
      </c>
      <c r="R15" s="17" t="n">
        <v>3</v>
      </c>
      <c r="S15" s="17" t="n">
        <v>4</v>
      </c>
      <c r="T15" s="17" t="n">
        <v>7</v>
      </c>
      <c r="U15" s="17" t="n">
        <v>3</v>
      </c>
      <c r="V15" s="17" t="n">
        <v>5</v>
      </c>
      <c r="W15" s="17" t="n">
        <v>7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Matilde Leal Gouveia</t>
        </is>
      </c>
      <c r="C16" s="8" t="inlineStr">
        <is>
          <t>41131</t>
        </is>
      </c>
      <c r="D16" t="inlineStr">
        <is>
          <t>Santo da Serra</t>
        </is>
      </c>
      <c r="E16" s="8" t="n">
        <v>3.5</v>
      </c>
      <c r="F16" s="17" t="n">
        <v>4</v>
      </c>
      <c r="G16" s="17" t="n">
        <v>5</v>
      </c>
      <c r="H16" s="17" t="n">
        <v>5</v>
      </c>
      <c r="I16" s="17" t="n">
        <v>5</v>
      </c>
      <c r="J16" s="17" t="n">
        <v>6</v>
      </c>
      <c r="K16" s="17" t="n">
        <v>6</v>
      </c>
      <c r="L16" s="17" t="n">
        <v>3</v>
      </c>
      <c r="M16" s="17" t="n">
        <v>5</v>
      </c>
      <c r="N16" s="17" t="n">
        <v>6</v>
      </c>
      <c r="O16" s="17" t="n">
        <v>6</v>
      </c>
      <c r="P16" s="17" t="n">
        <v>2</v>
      </c>
      <c r="Q16" s="17" t="n">
        <v>5</v>
      </c>
      <c r="R16" s="17" t="n">
        <v>4</v>
      </c>
      <c r="S16" s="17" t="n">
        <v>5</v>
      </c>
      <c r="T16" s="17" t="n">
        <v>4</v>
      </c>
      <c r="U16" s="17" t="n">
        <v>4</v>
      </c>
      <c r="V16" s="17" t="n">
        <v>3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Maria Câmara</t>
        </is>
      </c>
      <c r="C17" s="8" t="inlineStr">
        <is>
          <t>40990</t>
        </is>
      </c>
      <c r="D17" t="inlineStr">
        <is>
          <t>Santo da Serra</t>
        </is>
      </c>
      <c r="E17" s="8" t="n">
        <v>9.300000000000001</v>
      </c>
      <c r="F17" s="17" t="n">
        <v>5</v>
      </c>
      <c r="G17" s="17" t="n">
        <v>6</v>
      </c>
      <c r="H17" s="17" t="n">
        <v>4</v>
      </c>
      <c r="I17" s="17" t="n">
        <v>5</v>
      </c>
      <c r="J17" s="17" t="n">
        <v>4</v>
      </c>
      <c r="K17" s="17" t="n">
        <v>7</v>
      </c>
      <c r="L17" s="17" t="n">
        <v>3</v>
      </c>
      <c r="M17" s="17" t="n">
        <v>6</v>
      </c>
      <c r="N17" s="17" t="n">
        <v>3</v>
      </c>
      <c r="O17" s="17" t="n">
        <v>5</v>
      </c>
      <c r="P17" s="17" t="n">
        <v>3</v>
      </c>
      <c r="Q17" s="17" t="n">
        <v>6</v>
      </c>
      <c r="R17" s="17" t="n">
        <v>3</v>
      </c>
      <c r="S17" s="17" t="n">
        <v>4</v>
      </c>
      <c r="T17" s="17" t="n">
        <v>4</v>
      </c>
      <c r="U17" s="17" t="n">
        <v>5</v>
      </c>
      <c r="V17" s="17" t="n">
        <v>5</v>
      </c>
      <c r="W17" s="17" t="n">
        <v>5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Maria Cunha</t>
        </is>
      </c>
      <c r="C18" s="8" t="inlineStr">
        <is>
          <t>46482</t>
        </is>
      </c>
      <c r="D18" t="inlineStr">
        <is>
          <t>Palheiro</t>
        </is>
      </c>
      <c r="E18" s="8" t="n">
        <v>4.6</v>
      </c>
      <c r="F18" s="17" t="n">
        <v>5</v>
      </c>
      <c r="G18" s="17" t="n">
        <v>4</v>
      </c>
      <c r="H18" s="17" t="n">
        <v>5</v>
      </c>
      <c r="I18" s="17" t="n">
        <v>5</v>
      </c>
      <c r="J18" s="17" t="n">
        <v>3</v>
      </c>
      <c r="K18" s="17" t="n">
        <v>6</v>
      </c>
      <c r="L18" s="17" t="n">
        <v>3</v>
      </c>
      <c r="M18" s="17" t="n">
        <v>5</v>
      </c>
      <c r="N18" s="17" t="n">
        <v>5</v>
      </c>
      <c r="O18" s="17" t="n">
        <v>7</v>
      </c>
      <c r="P18" s="17" t="n">
        <v>5</v>
      </c>
      <c r="Q18" s="17" t="n">
        <v>5</v>
      </c>
      <c r="R18" s="17" t="n">
        <v>4</v>
      </c>
      <c r="S18" s="17" t="n">
        <v>6</v>
      </c>
      <c r="T18" s="17" t="n">
        <v>6</v>
      </c>
      <c r="U18" s="17" t="n">
        <v>5</v>
      </c>
      <c r="V18" s="17" t="n">
        <v>4</v>
      </c>
      <c r="W18" s="17" t="n">
        <v>5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Rodrigo Abreu</t>
        </is>
      </c>
      <c r="C19" s="8" t="inlineStr">
        <is>
          <t>42684</t>
        </is>
      </c>
      <c r="D19" t="inlineStr">
        <is>
          <t>Palheiro</t>
        </is>
      </c>
      <c r="E19" s="8" t="n">
        <v>9.9</v>
      </c>
      <c r="F19" s="17" t="n">
        <v>5</v>
      </c>
      <c r="G19" s="17" t="n">
        <v>5</v>
      </c>
      <c r="H19" s="17" t="n">
        <v>5</v>
      </c>
      <c r="I19" s="17" t="n">
        <v>4</v>
      </c>
      <c r="J19" s="17" t="n">
        <v>7</v>
      </c>
      <c r="K19" s="17" t="n">
        <v>8</v>
      </c>
      <c r="L19" s="17" t="n">
        <v>2</v>
      </c>
      <c r="M19" s="17" t="n">
        <v>4</v>
      </c>
      <c r="N19" s="17" t="n">
        <v>4</v>
      </c>
      <c r="O19" s="17" t="n">
        <v>6</v>
      </c>
      <c r="P19" s="17" t="n">
        <v>2</v>
      </c>
      <c r="Q19" s="17" t="n">
        <v>7</v>
      </c>
      <c r="R19" s="17" t="n">
        <v>5</v>
      </c>
      <c r="S19" s="17" t="n">
        <v>4</v>
      </c>
      <c r="T19" s="17" t="n">
        <v>6</v>
      </c>
      <c r="U19" s="17" t="n">
        <v>4</v>
      </c>
      <c r="V19" s="17" t="n">
        <v>5</v>
      </c>
      <c r="W19" s="17" t="n">
        <v>6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Mateus Penucho</t>
        </is>
      </c>
      <c r="C20" s="8" t="inlineStr">
        <is>
          <t>52393</t>
        </is>
      </c>
      <c r="D20" t="inlineStr">
        <is>
          <t>Santo da Serra</t>
        </is>
      </c>
      <c r="E20" s="8" t="n">
        <v>15.7</v>
      </c>
      <c r="F20" s="17" t="n">
        <v>4</v>
      </c>
      <c r="G20" s="17" t="n">
        <v>7</v>
      </c>
      <c r="H20" s="17" t="n">
        <v>4</v>
      </c>
      <c r="I20" s="17" t="n">
        <v>4</v>
      </c>
      <c r="J20" s="17" t="n">
        <v>4</v>
      </c>
      <c r="K20" s="17" t="n">
        <v>5</v>
      </c>
      <c r="L20" s="17" t="n">
        <v>4</v>
      </c>
      <c r="M20" s="17" t="n">
        <v>5</v>
      </c>
      <c r="N20" s="17" t="n">
        <v>9</v>
      </c>
      <c r="O20" s="17" t="n">
        <v>6</v>
      </c>
      <c r="P20" s="17" t="n">
        <v>2</v>
      </c>
      <c r="Q20" s="17" t="n">
        <v>5</v>
      </c>
      <c r="R20" s="17" t="n">
        <v>3</v>
      </c>
      <c r="S20" s="17" t="n">
        <v>6</v>
      </c>
      <c r="T20" s="17" t="n">
        <v>6</v>
      </c>
      <c r="U20" s="17" t="n">
        <v>6</v>
      </c>
      <c r="V20" s="17" t="n">
        <v>6</v>
      </c>
      <c r="W20" s="17" t="n">
        <v>6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Gonçalo Gouveia</t>
        </is>
      </c>
      <c r="C21" s="8" t="inlineStr">
        <is>
          <t>50398</t>
        </is>
      </c>
      <c r="D21" t="inlineStr">
        <is>
          <t>Santo da Serra</t>
        </is>
      </c>
      <c r="E21" s="8" t="n">
        <v>22.9</v>
      </c>
      <c r="F21" s="17" t="n">
        <v>7</v>
      </c>
      <c r="G21" s="17" t="n">
        <v>5</v>
      </c>
      <c r="H21" s="17" t="n">
        <v>5</v>
      </c>
      <c r="I21" s="17" t="n">
        <v>5</v>
      </c>
      <c r="J21" s="17" t="n">
        <v>6</v>
      </c>
      <c r="K21" s="17" t="n">
        <v>7</v>
      </c>
      <c r="L21" s="17" t="n">
        <v>3</v>
      </c>
      <c r="M21" s="17" t="n">
        <v>5</v>
      </c>
      <c r="N21" s="17" t="n">
        <v>5</v>
      </c>
      <c r="O21" s="17" t="n">
        <v>5</v>
      </c>
      <c r="P21" s="17" t="n">
        <v>4</v>
      </c>
      <c r="Q21" s="17" t="n">
        <v>7</v>
      </c>
      <c r="R21" s="17" t="n">
        <v>4</v>
      </c>
      <c r="S21" s="17" t="n">
        <v>5</v>
      </c>
      <c r="T21" s="17" t="n">
        <v>7</v>
      </c>
      <c r="U21" s="17" t="n">
        <v>6</v>
      </c>
      <c r="V21" s="17" t="n">
        <v>5</v>
      </c>
      <c r="W21" s="17" t="n">
        <v>6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Manuel Gouveia</t>
        </is>
      </c>
      <c r="C22" s="8" t="inlineStr">
        <is>
          <t>41124</t>
        </is>
      </c>
      <c r="D22" t="inlineStr">
        <is>
          <t>Santo da Serra</t>
        </is>
      </c>
      <c r="E22" s="8" t="n">
        <v>18.8</v>
      </c>
      <c r="F22" s="17" t="n">
        <v>5</v>
      </c>
      <c r="G22" s="17" t="n">
        <v>5</v>
      </c>
      <c r="H22" s="17" t="n">
        <v>3</v>
      </c>
      <c r="I22" s="17" t="n">
        <v>6</v>
      </c>
      <c r="J22" s="17" t="n">
        <v>4</v>
      </c>
      <c r="K22" s="17" t="n">
        <v>6</v>
      </c>
      <c r="L22" s="17" t="n">
        <v>5</v>
      </c>
      <c r="M22" s="17" t="n">
        <v>5</v>
      </c>
      <c r="N22" s="17" t="n">
        <v>4</v>
      </c>
      <c r="O22" s="17" t="n">
        <v>8</v>
      </c>
      <c r="P22" s="17" t="n">
        <v>4</v>
      </c>
      <c r="Q22" s="17" t="n">
        <v>6</v>
      </c>
      <c r="R22" s="17" t="n">
        <v>5</v>
      </c>
      <c r="S22" s="17" t="n">
        <v>4</v>
      </c>
      <c r="T22" s="17" t="n">
        <v>6</v>
      </c>
      <c r="U22" s="17" t="n">
        <v>5</v>
      </c>
      <c r="V22" s="17" t="n">
        <v>8</v>
      </c>
      <c r="W22" s="17" t="n">
        <v>10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Vasco Leal Gouveia</t>
        </is>
      </c>
      <c r="C23" s="8" t="inlineStr">
        <is>
          <t>41130</t>
        </is>
      </c>
      <c r="D23" t="inlineStr">
        <is>
          <t>Santo da Serra</t>
        </is>
      </c>
      <c r="E23" s="8" t="n">
        <v>17.9</v>
      </c>
      <c r="F23" s="17" t="n">
        <v>4</v>
      </c>
      <c r="G23" s="17" t="n">
        <v>7</v>
      </c>
      <c r="H23" s="17" t="n">
        <v>6</v>
      </c>
      <c r="I23" s="17" t="n">
        <v>7</v>
      </c>
      <c r="J23" s="17" t="n">
        <v>8</v>
      </c>
      <c r="K23" s="17" t="n">
        <v>6</v>
      </c>
      <c r="L23" s="17" t="n">
        <v>3</v>
      </c>
      <c r="M23" s="17" t="n">
        <v>5</v>
      </c>
      <c r="N23" s="17" t="n">
        <v>4</v>
      </c>
      <c r="O23" s="17" t="n">
        <v>6</v>
      </c>
      <c r="P23" s="17" t="n">
        <v>4</v>
      </c>
      <c r="Q23" s="17" t="n">
        <v>8</v>
      </c>
      <c r="R23" s="17" t="n">
        <v>5</v>
      </c>
      <c r="S23" s="17" t="n">
        <v>5</v>
      </c>
      <c r="T23" s="17" t="n">
        <v>8</v>
      </c>
      <c r="U23" s="17" t="n">
        <v>5</v>
      </c>
      <c r="V23" s="17" t="n">
        <v>10</v>
      </c>
      <c r="W23" s="17" t="n">
        <v>6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inlineStr">
        <is>
          <t>DQ</t>
        </is>
      </c>
      <c r="B24" t="inlineStr">
        <is>
          <t>José Pedro Miranda</t>
        </is>
      </c>
      <c r="C24" s="8" t="inlineStr"/>
      <c r="D24" t="inlineStr">
        <is>
          <t>Palheiro</t>
        </is>
      </c>
      <c r="E24" s="8" t="n">
        <v>7</v>
      </c>
      <c r="AA24" s="8" t="n">
        <v>0</v>
      </c>
      <c r="AB24" s="18">
        <f>AA24</f>
        <v/>
      </c>
    </row>
  </sheetData>
  <mergeCells count="1">
    <mergeCell ref="A1:H1"/>
  </mergeCells>
  <conditionalFormatting sqref="F13:F24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24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24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24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24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24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24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24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24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24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24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24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24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24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24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24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24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24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2º Aquapor — Quinta do Peru</t>
        </is>
      </c>
    </row>
    <row r="2">
      <c r="A2" s="10" t="inlineStr">
        <is>
          <t>Data:</t>
        </is>
      </c>
      <c r="B2" t="inlineStr">
        <is>
          <t>2026-03-14</t>
        </is>
      </c>
    </row>
    <row r="3">
      <c r="A3" s="10" t="inlineStr">
        <is>
          <t>Campo:</t>
        </is>
      </c>
      <c r="B3" t="inlineStr">
        <is>
          <t>Quinta do Peru</t>
        </is>
      </c>
    </row>
    <row r="4">
      <c r="A4" s="10" t="inlineStr">
        <is>
          <t>ccode/tcode:</t>
        </is>
      </c>
      <c r="B4" t="inlineStr">
        <is>
          <t>000/10875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https://scoring.datagolf.pt/pt/Classifications.aspx?ccode=000&amp;tcode=10875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AQ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4</v>
      </c>
      <c r="H11" s="14" t="n">
        <v>3</v>
      </c>
      <c r="I11" s="14" t="n">
        <v>4</v>
      </c>
      <c r="J11" s="14" t="n">
        <v>5</v>
      </c>
      <c r="K11" s="14" t="n">
        <v>4</v>
      </c>
      <c r="L11" s="14" t="n">
        <v>4</v>
      </c>
      <c r="M11" s="14" t="n">
        <v>3</v>
      </c>
      <c r="N11" s="14" t="n">
        <v>4</v>
      </c>
      <c r="O11" s="14" t="n">
        <v>5</v>
      </c>
      <c r="P11" s="14" t="n">
        <v>3</v>
      </c>
      <c r="Q11" s="14" t="n">
        <v>4</v>
      </c>
      <c r="R11" s="14" t="n">
        <v>5</v>
      </c>
      <c r="S11" s="14" t="n">
        <v>4</v>
      </c>
      <c r="T11" s="14" t="n">
        <v>4</v>
      </c>
      <c r="U11" s="14" t="n">
        <v>3</v>
      </c>
      <c r="V11" s="14" t="n">
        <v>4</v>
      </c>
      <c r="W11" s="14" t="n">
        <v>4</v>
      </c>
      <c r="Y11" s="15">
        <f>SUM(F11:W11)</f>
        <v/>
      </c>
      <c r="AB11" s="14" t="n">
        <v>5</v>
      </c>
      <c r="AC11" s="14" t="n">
        <v>4</v>
      </c>
      <c r="AD11" s="14" t="n">
        <v>3</v>
      </c>
      <c r="AE11" s="14" t="n">
        <v>4</v>
      </c>
      <c r="AF11" s="14" t="n">
        <v>5</v>
      </c>
      <c r="AG11" s="14" t="n">
        <v>4</v>
      </c>
      <c r="AH11" s="14" t="n">
        <v>4</v>
      </c>
      <c r="AI11" s="14" t="n">
        <v>3</v>
      </c>
      <c r="AJ11" s="14" t="n">
        <v>4</v>
      </c>
      <c r="AK11" s="14" t="n">
        <v>5</v>
      </c>
      <c r="AL11" s="14" t="n">
        <v>3</v>
      </c>
      <c r="AM11" s="14" t="n">
        <v>4</v>
      </c>
      <c r="AN11" s="14" t="n">
        <v>5</v>
      </c>
      <c r="AO11" s="14" t="n">
        <v>4</v>
      </c>
      <c r="AP11" s="14" t="n">
        <v>4</v>
      </c>
      <c r="AQ11" s="14" t="n">
        <v>3</v>
      </c>
      <c r="AR11" s="14" t="n">
        <v>4</v>
      </c>
      <c r="AS11" s="14" t="n">
        <v>4</v>
      </c>
      <c r="AU11" s="15">
        <f>SUM(AB11:AS11)</f>
        <v/>
      </c>
    </row>
    <row r="12">
      <c r="A12" s="13" t="inlineStr">
        <is>
          <t>—SI—</t>
        </is>
      </c>
      <c r="F12" s="16" t="n">
        <v>2</v>
      </c>
      <c r="G12" s="16" t="n">
        <v>16</v>
      </c>
      <c r="H12" s="16" t="n">
        <v>18</v>
      </c>
      <c r="I12" s="16" t="n">
        <v>10</v>
      </c>
      <c r="J12" s="16" t="n">
        <v>6</v>
      </c>
      <c r="K12" s="16" t="n">
        <v>14</v>
      </c>
      <c r="L12" s="16" t="n">
        <v>12</v>
      </c>
      <c r="M12" s="16" t="n">
        <v>4</v>
      </c>
      <c r="N12" s="16" t="n">
        <v>8</v>
      </c>
      <c r="O12" s="16" t="n">
        <v>5</v>
      </c>
      <c r="P12" s="16" t="n">
        <v>17</v>
      </c>
      <c r="Q12" s="16" t="n">
        <v>15</v>
      </c>
      <c r="R12" s="16" t="n">
        <v>3</v>
      </c>
      <c r="S12" s="16" t="n">
        <v>13</v>
      </c>
      <c r="T12" s="16" t="n">
        <v>9</v>
      </c>
      <c r="U12" s="16" t="n">
        <v>7</v>
      </c>
      <c r="V12" s="16" t="n">
        <v>11</v>
      </c>
      <c r="W12" s="16" t="n">
        <v>1</v>
      </c>
      <c r="AB12" s="16" t="n">
        <v>2</v>
      </c>
      <c r="AC12" s="16" t="n">
        <v>16</v>
      </c>
      <c r="AD12" s="16" t="n">
        <v>18</v>
      </c>
      <c r="AE12" s="16" t="n">
        <v>10</v>
      </c>
      <c r="AF12" s="16" t="n">
        <v>6</v>
      </c>
      <c r="AG12" s="16" t="n">
        <v>14</v>
      </c>
      <c r="AH12" s="16" t="n">
        <v>12</v>
      </c>
      <c r="AI12" s="16" t="n">
        <v>4</v>
      </c>
      <c r="AJ12" s="16" t="n">
        <v>8</v>
      </c>
      <c r="AK12" s="16" t="n">
        <v>5</v>
      </c>
      <c r="AL12" s="16" t="n">
        <v>17</v>
      </c>
      <c r="AM12" s="16" t="n">
        <v>15</v>
      </c>
      <c r="AN12" s="16" t="n">
        <v>3</v>
      </c>
      <c r="AO12" s="16" t="n">
        <v>13</v>
      </c>
      <c r="AP12" s="16" t="n">
        <v>9</v>
      </c>
      <c r="AQ12" s="16" t="n">
        <v>7</v>
      </c>
      <c r="AR12" s="16" t="n">
        <v>11</v>
      </c>
      <c r="AS12" s="16" t="n">
        <v>1</v>
      </c>
    </row>
    <row r="13">
      <c r="A13" s="8" t="n">
        <v>1</v>
      </c>
      <c r="B13" t="inlineStr">
        <is>
          <t>João Miguel Pereira</t>
        </is>
      </c>
      <c r="C13" s="8" t="inlineStr">
        <is>
          <t>38580</t>
        </is>
      </c>
      <c r="D13" t="inlineStr">
        <is>
          <t>Aroeira</t>
        </is>
      </c>
      <c r="E13" s="8" t="n">
        <v>-3.9</v>
      </c>
      <c r="F13" s="17" t="n">
        <v>4</v>
      </c>
      <c r="G13" s="17" t="n">
        <v>4</v>
      </c>
      <c r="H13" s="17" t="n">
        <v>3</v>
      </c>
      <c r="I13" s="17" t="n">
        <v>4</v>
      </c>
      <c r="J13" s="17" t="n">
        <v>6</v>
      </c>
      <c r="K13" s="17" t="n">
        <v>3</v>
      </c>
      <c r="L13" s="17" t="n">
        <v>4</v>
      </c>
      <c r="M13" s="17" t="n">
        <v>3</v>
      </c>
      <c r="N13" s="17" t="n">
        <v>5</v>
      </c>
      <c r="O13" s="17" t="n">
        <v>3</v>
      </c>
      <c r="P13" s="17" t="n">
        <v>3</v>
      </c>
      <c r="Q13" s="17" t="n">
        <v>3</v>
      </c>
      <c r="R13" s="17" t="n">
        <v>3</v>
      </c>
      <c r="S13" s="17" t="n">
        <v>5</v>
      </c>
      <c r="T13" s="17" t="n">
        <v>3</v>
      </c>
      <c r="U13" s="17" t="n">
        <v>3</v>
      </c>
      <c r="V13" s="17" t="n">
        <v>4</v>
      </c>
      <c r="W13" s="17" t="n">
        <v>4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4</v>
      </c>
      <c r="AC13" s="17" t="n">
        <v>4</v>
      </c>
      <c r="AD13" s="17" t="n">
        <v>3</v>
      </c>
      <c r="AE13" s="17" t="n">
        <v>4</v>
      </c>
      <c r="AF13" s="17" t="n">
        <v>5</v>
      </c>
      <c r="AG13" s="17" t="n">
        <v>4</v>
      </c>
      <c r="AH13" s="17" t="n">
        <v>5</v>
      </c>
      <c r="AI13" s="17" t="n">
        <v>2</v>
      </c>
      <c r="AJ13" s="17" t="n">
        <v>5</v>
      </c>
      <c r="AK13" s="17" t="n">
        <v>3</v>
      </c>
      <c r="AL13" s="17" t="n">
        <v>3</v>
      </c>
      <c r="AM13" s="17" t="n">
        <v>3</v>
      </c>
      <c r="AN13" s="17" t="n">
        <v>6</v>
      </c>
      <c r="AO13" s="17" t="n">
        <v>4</v>
      </c>
      <c r="AP13" s="17" t="n">
        <v>6</v>
      </c>
      <c r="AQ13" s="17" t="n">
        <v>3</v>
      </c>
      <c r="AR13" s="17" t="n">
        <v>4</v>
      </c>
      <c r="AS13" s="17" t="n">
        <v>4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Diogo Silva Pinto Rocha</t>
        </is>
      </c>
      <c r="C14" s="8" t="inlineStr">
        <is>
          <t>34186</t>
        </is>
      </c>
      <c r="D14" t="inlineStr">
        <is>
          <t>Oporto</t>
        </is>
      </c>
      <c r="E14" s="8" t="n">
        <v>-2.3</v>
      </c>
      <c r="F14" s="17" t="n">
        <v>4</v>
      </c>
      <c r="G14" s="17" t="n">
        <v>4</v>
      </c>
      <c r="H14" s="17" t="n">
        <v>3</v>
      </c>
      <c r="I14" s="17" t="n">
        <v>4</v>
      </c>
      <c r="J14" s="17" t="n">
        <v>4</v>
      </c>
      <c r="K14" s="17" t="n">
        <v>3</v>
      </c>
      <c r="L14" s="17" t="n">
        <v>4</v>
      </c>
      <c r="M14" s="17" t="n">
        <v>3</v>
      </c>
      <c r="N14" s="17" t="n">
        <v>4</v>
      </c>
      <c r="O14" s="17" t="n">
        <v>6</v>
      </c>
      <c r="P14" s="17" t="n">
        <v>3</v>
      </c>
      <c r="Q14" s="17" t="n">
        <v>5</v>
      </c>
      <c r="R14" s="17" t="n">
        <v>4</v>
      </c>
      <c r="S14" s="17" t="n">
        <v>3</v>
      </c>
      <c r="T14" s="17" t="n">
        <v>4</v>
      </c>
      <c r="U14" s="17" t="n">
        <v>4</v>
      </c>
      <c r="V14" s="17" t="n">
        <v>3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5</v>
      </c>
      <c r="AC14" s="17" t="n">
        <v>4</v>
      </c>
      <c r="AD14" s="17" t="n">
        <v>3</v>
      </c>
      <c r="AE14" s="17" t="n">
        <v>4</v>
      </c>
      <c r="AF14" s="17" t="n">
        <v>6</v>
      </c>
      <c r="AG14" s="17" t="n">
        <v>3</v>
      </c>
      <c r="AH14" s="17" t="n">
        <v>4</v>
      </c>
      <c r="AI14" s="17" t="n">
        <v>3</v>
      </c>
      <c r="AJ14" s="17" t="n">
        <v>3</v>
      </c>
      <c r="AK14" s="17" t="n">
        <v>5</v>
      </c>
      <c r="AL14" s="17" t="n">
        <v>3</v>
      </c>
      <c r="AM14" s="17" t="n">
        <v>3</v>
      </c>
      <c r="AN14" s="17" t="n">
        <v>5</v>
      </c>
      <c r="AO14" s="17" t="n">
        <v>3</v>
      </c>
      <c r="AP14" s="17" t="n">
        <v>4</v>
      </c>
      <c r="AQ14" s="17" t="n">
        <v>4</v>
      </c>
      <c r="AR14" s="17" t="n">
        <v>5</v>
      </c>
      <c r="AS14" s="17" t="n">
        <v>5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João Setúbal</t>
        </is>
      </c>
      <c r="C15" s="8" t="inlineStr">
        <is>
          <t>43732</t>
        </is>
      </c>
      <c r="D15" t="inlineStr">
        <is>
          <t>Quinta do Peru</t>
        </is>
      </c>
      <c r="E15" s="8" t="n">
        <v>0.8</v>
      </c>
      <c r="F15" s="17" t="n">
        <v>4</v>
      </c>
      <c r="G15" s="17" t="n">
        <v>5</v>
      </c>
      <c r="H15" s="17" t="n">
        <v>2</v>
      </c>
      <c r="I15" s="17" t="n">
        <v>4</v>
      </c>
      <c r="J15" s="17" t="n">
        <v>5</v>
      </c>
      <c r="K15" s="17" t="n">
        <v>4</v>
      </c>
      <c r="L15" s="17" t="n">
        <v>5</v>
      </c>
      <c r="M15" s="17" t="n">
        <v>3</v>
      </c>
      <c r="N15" s="17" t="n">
        <v>4</v>
      </c>
      <c r="O15" s="17" t="n">
        <v>5</v>
      </c>
      <c r="P15" s="17" t="n">
        <v>3</v>
      </c>
      <c r="Q15" s="17" t="n">
        <v>4</v>
      </c>
      <c r="R15" s="17" t="n">
        <v>4</v>
      </c>
      <c r="S15" s="17" t="n">
        <v>4</v>
      </c>
      <c r="T15" s="17" t="n">
        <v>4</v>
      </c>
      <c r="U15" s="17" t="n">
        <v>3</v>
      </c>
      <c r="V15" s="17" t="n">
        <v>5</v>
      </c>
      <c r="W15" s="17" t="n">
        <v>4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4</v>
      </c>
      <c r="AC15" s="17" t="n">
        <v>5</v>
      </c>
      <c r="AD15" s="17" t="n">
        <v>4</v>
      </c>
      <c r="AE15" s="17" t="n">
        <v>4</v>
      </c>
      <c r="AF15" s="17" t="n">
        <v>6</v>
      </c>
      <c r="AG15" s="17" t="n">
        <v>5</v>
      </c>
      <c r="AH15" s="17" t="n">
        <v>5</v>
      </c>
      <c r="AI15" s="17" t="n">
        <v>3</v>
      </c>
      <c r="AJ15" s="17" t="n">
        <v>4</v>
      </c>
      <c r="AK15" s="17" t="n">
        <v>6</v>
      </c>
      <c r="AL15" s="17" t="n">
        <v>2</v>
      </c>
      <c r="AM15" s="17" t="n">
        <v>4</v>
      </c>
      <c r="AN15" s="17" t="n">
        <v>6</v>
      </c>
      <c r="AO15" s="17" t="n">
        <v>4</v>
      </c>
      <c r="AP15" s="17" t="n">
        <v>3</v>
      </c>
      <c r="AQ15" s="17" t="n">
        <v>3</v>
      </c>
      <c r="AR15" s="17" t="n">
        <v>4</v>
      </c>
      <c r="AS15" s="17" t="n">
        <v>5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José Miguel Franco de Sousa</t>
        </is>
      </c>
      <c r="C16" s="8" t="inlineStr">
        <is>
          <t>40112</t>
        </is>
      </c>
      <c r="D16" t="inlineStr">
        <is>
          <t>Estoril</t>
        </is>
      </c>
      <c r="E16" s="8" t="n">
        <v>-2.6</v>
      </c>
      <c r="F16" s="17" t="n">
        <v>5</v>
      </c>
      <c r="G16" s="17" t="n">
        <v>4</v>
      </c>
      <c r="H16" s="17" t="n">
        <v>4</v>
      </c>
      <c r="I16" s="17" t="n">
        <v>4</v>
      </c>
      <c r="J16" s="17" t="n">
        <v>5</v>
      </c>
      <c r="K16" s="17" t="n">
        <v>4</v>
      </c>
      <c r="L16" s="17" t="n">
        <v>5</v>
      </c>
      <c r="M16" s="17" t="n">
        <v>3</v>
      </c>
      <c r="N16" s="17" t="n">
        <v>5</v>
      </c>
      <c r="O16" s="17" t="n">
        <v>5</v>
      </c>
      <c r="P16" s="17" t="n">
        <v>2</v>
      </c>
      <c r="Q16" s="17" t="n">
        <v>4</v>
      </c>
      <c r="R16" s="17" t="n">
        <v>5</v>
      </c>
      <c r="S16" s="17" t="n">
        <v>4</v>
      </c>
      <c r="T16" s="17" t="n">
        <v>3</v>
      </c>
      <c r="U16" s="17" t="n">
        <v>3</v>
      </c>
      <c r="V16" s="17" t="n">
        <v>3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4</v>
      </c>
      <c r="AC16" s="17" t="n">
        <v>5</v>
      </c>
      <c r="AD16" s="17" t="n">
        <v>3</v>
      </c>
      <c r="AE16" s="17" t="n">
        <v>5</v>
      </c>
      <c r="AF16" s="17" t="n">
        <v>5</v>
      </c>
      <c r="AG16" s="17" t="n">
        <v>4</v>
      </c>
      <c r="AH16" s="17" t="n">
        <v>4</v>
      </c>
      <c r="AI16" s="17" t="n">
        <v>4</v>
      </c>
      <c r="AJ16" s="17" t="n">
        <v>4</v>
      </c>
      <c r="AK16" s="17" t="n">
        <v>5</v>
      </c>
      <c r="AL16" s="17" t="n">
        <v>4</v>
      </c>
      <c r="AM16" s="17" t="n">
        <v>4</v>
      </c>
      <c r="AN16" s="17" t="n">
        <v>4</v>
      </c>
      <c r="AO16" s="17" t="n">
        <v>6</v>
      </c>
      <c r="AP16" s="17" t="n">
        <v>4</v>
      </c>
      <c r="AQ16" s="17" t="n">
        <v>4</v>
      </c>
      <c r="AR16" s="17" t="n">
        <v>3</v>
      </c>
      <c r="AS16" s="17" t="n">
        <v>4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Pedro Clare Neves</t>
        </is>
      </c>
      <c r="C17" s="8" t="inlineStr">
        <is>
          <t>30125</t>
        </is>
      </c>
      <c r="D17" t="inlineStr">
        <is>
          <t>Miramar</t>
        </is>
      </c>
      <c r="E17" s="8" t="n">
        <v>-1.8</v>
      </c>
      <c r="F17" s="17" t="n">
        <v>4</v>
      </c>
      <c r="G17" s="17" t="n">
        <v>4</v>
      </c>
      <c r="H17" s="17" t="n">
        <v>3</v>
      </c>
      <c r="I17" s="17" t="n">
        <v>4</v>
      </c>
      <c r="J17" s="17" t="n">
        <v>5</v>
      </c>
      <c r="K17" s="17" t="n">
        <v>5</v>
      </c>
      <c r="L17" s="17" t="n">
        <v>5</v>
      </c>
      <c r="M17" s="17" t="n">
        <v>3</v>
      </c>
      <c r="N17" s="17" t="n">
        <v>4</v>
      </c>
      <c r="O17" s="17" t="n">
        <v>5</v>
      </c>
      <c r="P17" s="17" t="n">
        <v>2</v>
      </c>
      <c r="Q17" s="17" t="n">
        <v>3</v>
      </c>
      <c r="R17" s="17" t="n">
        <v>6</v>
      </c>
      <c r="S17" s="17" t="n">
        <v>4</v>
      </c>
      <c r="T17" s="17" t="n">
        <v>4</v>
      </c>
      <c r="U17" s="17" t="n">
        <v>4</v>
      </c>
      <c r="V17" s="17" t="n">
        <v>4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4</v>
      </c>
      <c r="AC17" s="17" t="n">
        <v>5</v>
      </c>
      <c r="AD17" s="17" t="n">
        <v>3</v>
      </c>
      <c r="AE17" s="17" t="n">
        <v>4</v>
      </c>
      <c r="AF17" s="17" t="n">
        <v>5</v>
      </c>
      <c r="AG17" s="17" t="n">
        <v>5</v>
      </c>
      <c r="AH17" s="17" t="n">
        <v>5</v>
      </c>
      <c r="AI17" s="17" t="n">
        <v>4</v>
      </c>
      <c r="AJ17" s="17" t="n">
        <v>4</v>
      </c>
      <c r="AK17" s="17" t="n">
        <v>5</v>
      </c>
      <c r="AL17" s="17" t="n">
        <v>3</v>
      </c>
      <c r="AM17" s="17" t="n">
        <v>3</v>
      </c>
      <c r="AN17" s="17" t="n">
        <v>5</v>
      </c>
      <c r="AO17" s="17" t="n">
        <v>4</v>
      </c>
      <c r="AP17" s="17" t="n">
        <v>5</v>
      </c>
      <c r="AQ17" s="17" t="n">
        <v>4</v>
      </c>
      <c r="AR17" s="17" t="n">
        <v>5</v>
      </c>
      <c r="AS17" s="17" t="n">
        <v>5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Afonso Rui Oliveira</t>
        </is>
      </c>
      <c r="C18" s="8" t="inlineStr">
        <is>
          <t>40452</t>
        </is>
      </c>
      <c r="D18" t="inlineStr">
        <is>
          <t>Aroeira</t>
        </is>
      </c>
      <c r="E18" s="8" t="n">
        <v>-0.7</v>
      </c>
      <c r="F18" s="17" t="n">
        <v>5</v>
      </c>
      <c r="G18" s="17" t="n">
        <v>5</v>
      </c>
      <c r="H18" s="17" t="n">
        <v>5</v>
      </c>
      <c r="I18" s="17" t="n">
        <v>4</v>
      </c>
      <c r="J18" s="17" t="n">
        <v>5</v>
      </c>
      <c r="K18" s="17" t="n">
        <v>3</v>
      </c>
      <c r="L18" s="17" t="n">
        <v>3</v>
      </c>
      <c r="M18" s="17" t="n">
        <v>4</v>
      </c>
      <c r="N18" s="17" t="n">
        <v>4</v>
      </c>
      <c r="O18" s="17" t="n">
        <v>5</v>
      </c>
      <c r="P18" s="17" t="n">
        <v>3</v>
      </c>
      <c r="Q18" s="17" t="n">
        <v>5</v>
      </c>
      <c r="R18" s="17" t="n">
        <v>4</v>
      </c>
      <c r="S18" s="17" t="n">
        <v>4</v>
      </c>
      <c r="T18" s="17" t="n">
        <v>4</v>
      </c>
      <c r="U18" s="17" t="n">
        <v>3</v>
      </c>
      <c r="V18" s="17" t="n">
        <v>4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6</v>
      </c>
      <c r="AC18" s="17" t="n">
        <v>4</v>
      </c>
      <c r="AD18" s="17" t="n">
        <v>3</v>
      </c>
      <c r="AE18" s="17" t="n">
        <v>4</v>
      </c>
      <c r="AF18" s="17" t="n">
        <v>5</v>
      </c>
      <c r="AG18" s="17" t="n">
        <v>4</v>
      </c>
      <c r="AH18" s="17" t="n">
        <v>4</v>
      </c>
      <c r="AI18" s="17" t="n">
        <v>3</v>
      </c>
      <c r="AJ18" s="17" t="n">
        <v>4</v>
      </c>
      <c r="AK18" s="17" t="n">
        <v>6</v>
      </c>
      <c r="AL18" s="17" t="n">
        <v>3</v>
      </c>
      <c r="AM18" s="17" t="n">
        <v>4</v>
      </c>
      <c r="AN18" s="17" t="n">
        <v>4</v>
      </c>
      <c r="AO18" s="17" t="n">
        <v>4</v>
      </c>
      <c r="AP18" s="17" t="n">
        <v>4</v>
      </c>
      <c r="AQ18" s="17" t="n">
        <v>3</v>
      </c>
      <c r="AR18" s="17" t="n">
        <v>4</v>
      </c>
      <c r="AS18" s="17" t="n">
        <v>4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8">
        <f>AA18+AW18</f>
        <v/>
      </c>
    </row>
    <row r="19">
      <c r="A19" s="8" t="n">
        <v>7</v>
      </c>
      <c r="B19" t="inlineStr">
        <is>
          <t>Pedro Afonso de Correia Mendes</t>
        </is>
      </c>
      <c r="C19" s="8" t="inlineStr">
        <is>
          <t>31111</t>
        </is>
      </c>
      <c r="D19" t="inlineStr">
        <is>
          <t>Oporto</t>
        </is>
      </c>
      <c r="E19" s="8" t="n">
        <v>-1.8</v>
      </c>
      <c r="F19" s="17" t="n">
        <v>6</v>
      </c>
      <c r="G19" s="17" t="n">
        <v>4</v>
      </c>
      <c r="H19" s="17" t="n">
        <v>3</v>
      </c>
      <c r="I19" s="17" t="n">
        <v>4</v>
      </c>
      <c r="J19" s="17" t="n">
        <v>4</v>
      </c>
      <c r="K19" s="17" t="n">
        <v>4</v>
      </c>
      <c r="L19" s="17" t="n">
        <v>4</v>
      </c>
      <c r="M19" s="17" t="n">
        <v>5</v>
      </c>
      <c r="N19" s="17" t="n">
        <v>4</v>
      </c>
      <c r="O19" s="17" t="n">
        <v>5</v>
      </c>
      <c r="P19" s="17" t="n">
        <v>3</v>
      </c>
      <c r="Q19" s="17" t="n">
        <v>3</v>
      </c>
      <c r="R19" s="17" t="n">
        <v>5</v>
      </c>
      <c r="S19" s="17" t="n">
        <v>4</v>
      </c>
      <c r="T19" s="17" t="n">
        <v>3</v>
      </c>
      <c r="U19" s="17" t="n">
        <v>3</v>
      </c>
      <c r="V19" s="17" t="n">
        <v>5</v>
      </c>
      <c r="W19" s="17" t="n">
        <v>5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7</v>
      </c>
      <c r="AC19" s="17" t="n">
        <v>4</v>
      </c>
      <c r="AD19" s="17" t="n">
        <v>2</v>
      </c>
      <c r="AE19" s="17" t="n">
        <v>4</v>
      </c>
      <c r="AF19" s="17" t="n">
        <v>6</v>
      </c>
      <c r="AG19" s="17" t="n">
        <v>4</v>
      </c>
      <c r="AH19" s="17" t="n">
        <v>4</v>
      </c>
      <c r="AI19" s="17" t="n">
        <v>4</v>
      </c>
      <c r="AJ19" s="17" t="n">
        <v>3</v>
      </c>
      <c r="AK19" s="17" t="n">
        <v>5</v>
      </c>
      <c r="AL19" s="17" t="n">
        <v>3</v>
      </c>
      <c r="AM19" s="17" t="n">
        <v>4</v>
      </c>
      <c r="AN19" s="17" t="n">
        <v>5</v>
      </c>
      <c r="AO19" s="17" t="n">
        <v>3</v>
      </c>
      <c r="AP19" s="17" t="n">
        <v>4</v>
      </c>
      <c r="AQ19" s="17" t="n">
        <v>4</v>
      </c>
      <c r="AR19" s="17" t="n">
        <v>4</v>
      </c>
      <c r="AS19" s="17" t="n">
        <v>4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8">
        <f>AA19+AW19</f>
        <v/>
      </c>
    </row>
    <row r="20">
      <c r="A20" s="8" t="n">
        <v>8</v>
      </c>
      <c r="B20" t="inlineStr">
        <is>
          <t>Francisca Salgado</t>
        </is>
      </c>
      <c r="C20" s="8" t="inlineStr">
        <is>
          <t>43832</t>
        </is>
      </c>
      <c r="D20" t="inlineStr">
        <is>
          <t>Vale de Janelas</t>
        </is>
      </c>
      <c r="E20" s="8" t="n">
        <v>0.8</v>
      </c>
      <c r="F20" s="17" t="n">
        <v>5</v>
      </c>
      <c r="G20" s="17" t="n">
        <v>5</v>
      </c>
      <c r="H20" s="17" t="n">
        <v>3</v>
      </c>
      <c r="I20" s="17" t="n">
        <v>5</v>
      </c>
      <c r="J20" s="17" t="n">
        <v>5</v>
      </c>
      <c r="K20" s="17" t="n">
        <v>5</v>
      </c>
      <c r="L20" s="17" t="n">
        <v>4</v>
      </c>
      <c r="M20" s="17" t="n">
        <v>5</v>
      </c>
      <c r="N20" s="17" t="n">
        <v>5</v>
      </c>
      <c r="O20" s="17" t="n">
        <v>4</v>
      </c>
      <c r="P20" s="17" t="n">
        <v>3</v>
      </c>
      <c r="Q20" s="17" t="n">
        <v>4</v>
      </c>
      <c r="R20" s="17" t="n">
        <v>4</v>
      </c>
      <c r="S20" s="17" t="n">
        <v>3</v>
      </c>
      <c r="T20" s="17" t="n">
        <v>4</v>
      </c>
      <c r="U20" s="17" t="n">
        <v>3</v>
      </c>
      <c r="V20" s="17" t="n">
        <v>4</v>
      </c>
      <c r="W20" s="17" t="n">
        <v>5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6</v>
      </c>
      <c r="AC20" s="17" t="n">
        <v>4</v>
      </c>
      <c r="AD20" s="17" t="n">
        <v>3</v>
      </c>
      <c r="AE20" s="17" t="n">
        <v>5</v>
      </c>
      <c r="AF20" s="17" t="n">
        <v>6</v>
      </c>
      <c r="AG20" s="17" t="n">
        <v>4</v>
      </c>
      <c r="AH20" s="17" t="n">
        <v>6</v>
      </c>
      <c r="AI20" s="17" t="n">
        <v>4</v>
      </c>
      <c r="AJ20" s="17" t="n">
        <v>5</v>
      </c>
      <c r="AK20" s="17" t="n">
        <v>5</v>
      </c>
      <c r="AL20" s="17" t="n">
        <v>4</v>
      </c>
      <c r="AM20" s="17" t="n">
        <v>4</v>
      </c>
      <c r="AN20" s="17" t="n">
        <v>5</v>
      </c>
      <c r="AO20" s="17" t="n">
        <v>4</v>
      </c>
      <c r="AP20" s="17" t="n">
        <v>4</v>
      </c>
      <c r="AQ20" s="17" t="n">
        <v>3</v>
      </c>
      <c r="AR20" s="17" t="n">
        <v>4</v>
      </c>
      <c r="AS20" s="17" t="n">
        <v>4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Santiago Dias</t>
        </is>
      </c>
      <c r="C21" s="8" t="inlineStr">
        <is>
          <t>42908</t>
        </is>
      </c>
      <c r="D21" t="inlineStr">
        <is>
          <t>Oporto</t>
        </is>
      </c>
      <c r="E21" s="8" t="n">
        <v>1.1</v>
      </c>
      <c r="F21" s="17" t="n">
        <v>5</v>
      </c>
      <c r="G21" s="17" t="n">
        <v>4</v>
      </c>
      <c r="H21" s="17" t="n">
        <v>4</v>
      </c>
      <c r="I21" s="17" t="n">
        <v>4</v>
      </c>
      <c r="J21" s="17" t="n">
        <v>4</v>
      </c>
      <c r="K21" s="17" t="n">
        <v>6</v>
      </c>
      <c r="L21" s="17" t="n">
        <v>7</v>
      </c>
      <c r="M21" s="17" t="n">
        <v>3</v>
      </c>
      <c r="N21" s="17" t="n">
        <v>4</v>
      </c>
      <c r="O21" s="17" t="n">
        <v>5</v>
      </c>
      <c r="P21" s="17" t="n">
        <v>3</v>
      </c>
      <c r="Q21" s="17" t="n">
        <v>3</v>
      </c>
      <c r="R21" s="17" t="n">
        <v>4</v>
      </c>
      <c r="S21" s="17" t="n">
        <v>3</v>
      </c>
      <c r="T21" s="17" t="n">
        <v>3</v>
      </c>
      <c r="U21" s="17" t="n">
        <v>3</v>
      </c>
      <c r="V21" s="17" t="n">
        <v>5</v>
      </c>
      <c r="W21" s="17" t="n">
        <v>6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5</v>
      </c>
      <c r="AC21" s="17" t="n">
        <v>4</v>
      </c>
      <c r="AD21" s="17" t="n">
        <v>4</v>
      </c>
      <c r="AE21" s="17" t="n">
        <v>4</v>
      </c>
      <c r="AF21" s="17" t="n">
        <v>7</v>
      </c>
      <c r="AG21" s="17" t="n">
        <v>4</v>
      </c>
      <c r="AH21" s="17" t="n">
        <v>5</v>
      </c>
      <c r="AI21" s="17" t="n">
        <v>3</v>
      </c>
      <c r="AJ21" s="17" t="n">
        <v>5</v>
      </c>
      <c r="AK21" s="17" t="n">
        <v>6</v>
      </c>
      <c r="AL21" s="17" t="n">
        <v>4</v>
      </c>
      <c r="AM21" s="17" t="n">
        <v>4</v>
      </c>
      <c r="AN21" s="17" t="n">
        <v>5</v>
      </c>
      <c r="AO21" s="17" t="n">
        <v>5</v>
      </c>
      <c r="AP21" s="17" t="n">
        <v>4</v>
      </c>
      <c r="AQ21" s="17" t="n">
        <v>3</v>
      </c>
      <c r="AR21" s="17" t="n">
        <v>4</v>
      </c>
      <c r="AS21" s="17" t="n">
        <v>4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Brooks Barker</t>
        </is>
      </c>
      <c r="C22" s="8" t="inlineStr">
        <is>
          <t>43359</t>
        </is>
      </c>
      <c r="D22" t="inlineStr">
        <is>
          <t>Vilamoura, C. G</t>
        </is>
      </c>
      <c r="E22" s="8" t="n">
        <v>4.1</v>
      </c>
      <c r="F22" s="17" t="n">
        <v>4</v>
      </c>
      <c r="G22" s="17" t="n">
        <v>5</v>
      </c>
      <c r="H22" s="17" t="n">
        <v>4</v>
      </c>
      <c r="I22" s="17" t="n">
        <v>5</v>
      </c>
      <c r="J22" s="17" t="n">
        <v>4</v>
      </c>
      <c r="K22" s="17" t="n">
        <v>5</v>
      </c>
      <c r="L22" s="17" t="n">
        <v>3</v>
      </c>
      <c r="M22" s="17" t="n">
        <v>3</v>
      </c>
      <c r="N22" s="17" t="n">
        <v>5</v>
      </c>
      <c r="O22" s="17" t="n">
        <v>5</v>
      </c>
      <c r="P22" s="17" t="n">
        <v>3</v>
      </c>
      <c r="Q22" s="17" t="n">
        <v>4</v>
      </c>
      <c r="R22" s="17" t="n">
        <v>4</v>
      </c>
      <c r="S22" s="17" t="n">
        <v>4</v>
      </c>
      <c r="T22" s="17" t="n">
        <v>4</v>
      </c>
      <c r="U22" s="17" t="n">
        <v>4</v>
      </c>
      <c r="V22" s="17" t="n">
        <v>5</v>
      </c>
      <c r="W22" s="17" t="n">
        <v>5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5</v>
      </c>
      <c r="AC22" s="17" t="n">
        <v>4</v>
      </c>
      <c r="AD22" s="17" t="n">
        <v>3</v>
      </c>
      <c r="AE22" s="17" t="n">
        <v>4</v>
      </c>
      <c r="AF22" s="17" t="n">
        <v>6</v>
      </c>
      <c r="AG22" s="17" t="n">
        <v>6</v>
      </c>
      <c r="AH22" s="17" t="n">
        <v>5</v>
      </c>
      <c r="AI22" s="17" t="n">
        <v>4</v>
      </c>
      <c r="AJ22" s="17" t="n">
        <v>4</v>
      </c>
      <c r="AK22" s="17" t="n">
        <v>5</v>
      </c>
      <c r="AL22" s="17" t="n">
        <v>4</v>
      </c>
      <c r="AM22" s="17" t="n">
        <v>4</v>
      </c>
      <c r="AN22" s="17" t="n">
        <v>5</v>
      </c>
      <c r="AO22" s="17" t="n">
        <v>4</v>
      </c>
      <c r="AP22" s="17" t="n">
        <v>5</v>
      </c>
      <c r="AQ22" s="17" t="n">
        <v>4</v>
      </c>
      <c r="AR22" s="17" t="n">
        <v>5</v>
      </c>
      <c r="AS22" s="17" t="n">
        <v>4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Ethan Prybys Orton</t>
        </is>
      </c>
      <c r="C23" s="8" t="inlineStr">
        <is>
          <t>42374</t>
        </is>
      </c>
      <c r="D23" t="inlineStr">
        <is>
          <t>Vila Sol</t>
        </is>
      </c>
      <c r="E23" s="8" t="n">
        <v>2.3</v>
      </c>
      <c r="F23" s="17" t="n">
        <v>8</v>
      </c>
      <c r="G23" s="17" t="n">
        <v>4</v>
      </c>
      <c r="H23" s="17" t="n">
        <v>3</v>
      </c>
      <c r="I23" s="17" t="n">
        <v>4</v>
      </c>
      <c r="J23" s="17" t="n">
        <v>6</v>
      </c>
      <c r="K23" s="17" t="n">
        <v>6</v>
      </c>
      <c r="L23" s="17" t="n">
        <v>4</v>
      </c>
      <c r="M23" s="17" t="n">
        <v>4</v>
      </c>
      <c r="N23" s="17" t="n">
        <v>3</v>
      </c>
      <c r="O23" s="17" t="n">
        <v>4</v>
      </c>
      <c r="P23" s="17" t="n">
        <v>3</v>
      </c>
      <c r="Q23" s="17" t="n">
        <v>3</v>
      </c>
      <c r="R23" s="17" t="n">
        <v>4</v>
      </c>
      <c r="S23" s="17" t="n">
        <v>4</v>
      </c>
      <c r="T23" s="17" t="n">
        <v>4</v>
      </c>
      <c r="U23" s="17" t="n">
        <v>4</v>
      </c>
      <c r="V23" s="17" t="n">
        <v>4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5</v>
      </c>
      <c r="AC23" s="17" t="n">
        <v>4</v>
      </c>
      <c r="AD23" s="17" t="n">
        <v>5</v>
      </c>
      <c r="AE23" s="17" t="n">
        <v>4</v>
      </c>
      <c r="AF23" s="17" t="n">
        <v>7</v>
      </c>
      <c r="AG23" s="17" t="n">
        <v>4</v>
      </c>
      <c r="AH23" s="17" t="n">
        <v>8</v>
      </c>
      <c r="AI23" s="17" t="n">
        <v>3</v>
      </c>
      <c r="AJ23" s="17" t="n">
        <v>4</v>
      </c>
      <c r="AK23" s="17" t="n">
        <v>4</v>
      </c>
      <c r="AL23" s="17" t="n">
        <v>3</v>
      </c>
      <c r="AM23" s="17" t="n">
        <v>4</v>
      </c>
      <c r="AN23" s="17" t="n">
        <v>4</v>
      </c>
      <c r="AO23" s="17" t="n">
        <v>3</v>
      </c>
      <c r="AP23" s="17" t="n">
        <v>5</v>
      </c>
      <c r="AQ23" s="17" t="n">
        <v>3</v>
      </c>
      <c r="AR23" s="17" t="n">
        <v>7</v>
      </c>
      <c r="AS23" s="17" t="n">
        <v>4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8">
        <f>AA23+AW23</f>
        <v/>
      </c>
    </row>
    <row r="24">
      <c r="A24" s="8" t="n">
        <v>12</v>
      </c>
      <c r="B24" t="inlineStr">
        <is>
          <t>Francisca Ferreira da Costa</t>
        </is>
      </c>
      <c r="C24" s="8" t="inlineStr">
        <is>
          <t>40981</t>
        </is>
      </c>
      <c r="D24" t="inlineStr">
        <is>
          <t>Miramar</t>
        </is>
      </c>
      <c r="E24" s="8" t="n">
        <v>-1.8</v>
      </c>
      <c r="F24" s="17" t="n">
        <v>5</v>
      </c>
      <c r="G24" s="17" t="n">
        <v>5</v>
      </c>
      <c r="H24" s="17" t="n">
        <v>2</v>
      </c>
      <c r="I24" s="17" t="n">
        <v>4</v>
      </c>
      <c r="J24" s="17" t="n">
        <v>6</v>
      </c>
      <c r="K24" s="17" t="n">
        <v>5</v>
      </c>
      <c r="L24" s="17" t="n">
        <v>4</v>
      </c>
      <c r="M24" s="17" t="n">
        <v>6</v>
      </c>
      <c r="N24" s="17" t="n">
        <v>4</v>
      </c>
      <c r="O24" s="17" t="n">
        <v>5</v>
      </c>
      <c r="P24" s="17" t="n">
        <v>3</v>
      </c>
      <c r="Q24" s="17" t="n">
        <v>4</v>
      </c>
      <c r="R24" s="17" t="n">
        <v>5</v>
      </c>
      <c r="S24" s="17" t="n">
        <v>4</v>
      </c>
      <c r="T24" s="17" t="n">
        <v>4</v>
      </c>
      <c r="U24" s="17" t="n">
        <v>3</v>
      </c>
      <c r="V24" s="17" t="n">
        <v>3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7</v>
      </c>
      <c r="AC24" s="17" t="n">
        <v>5</v>
      </c>
      <c r="AD24" s="17" t="n">
        <v>3</v>
      </c>
      <c r="AE24" s="17" t="n">
        <v>4</v>
      </c>
      <c r="AF24" s="17" t="n">
        <v>6</v>
      </c>
      <c r="AG24" s="17" t="n">
        <v>6</v>
      </c>
      <c r="AH24" s="17" t="n">
        <v>5</v>
      </c>
      <c r="AI24" s="17" t="n">
        <v>3</v>
      </c>
      <c r="AJ24" s="17" t="n">
        <v>5</v>
      </c>
      <c r="AK24" s="17" t="n">
        <v>5</v>
      </c>
      <c r="AL24" s="17" t="n">
        <v>4</v>
      </c>
      <c r="AM24" s="17" t="n">
        <v>4</v>
      </c>
      <c r="AN24" s="17" t="n">
        <v>4</v>
      </c>
      <c r="AO24" s="17" t="n">
        <v>4</v>
      </c>
      <c r="AP24" s="17" t="n">
        <v>5</v>
      </c>
      <c r="AQ24" s="17" t="n">
        <v>3</v>
      </c>
      <c r="AR24" s="17" t="n">
        <v>4</v>
      </c>
      <c r="AS24" s="17" t="n">
        <v>4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  <row r="25">
      <c r="A25" s="8" t="n">
        <v>13</v>
      </c>
      <c r="B25" t="inlineStr">
        <is>
          <t>Martim Sousa de Morais</t>
        </is>
      </c>
      <c r="C25" s="8" t="inlineStr">
        <is>
          <t>41609</t>
        </is>
      </c>
      <c r="D25" t="inlineStr">
        <is>
          <t>Belas</t>
        </is>
      </c>
      <c r="E25" s="8" t="n">
        <v>5.9</v>
      </c>
      <c r="F25" s="17" t="n">
        <v>5</v>
      </c>
      <c r="G25" s="17" t="n">
        <v>5</v>
      </c>
      <c r="H25" s="17" t="n">
        <v>4</v>
      </c>
      <c r="I25" s="17" t="n">
        <v>4</v>
      </c>
      <c r="J25" s="17" t="n">
        <v>5</v>
      </c>
      <c r="K25" s="17" t="n">
        <v>6</v>
      </c>
      <c r="L25" s="17" t="n">
        <v>4</v>
      </c>
      <c r="M25" s="17" t="n">
        <v>4</v>
      </c>
      <c r="N25" s="17" t="n">
        <v>3</v>
      </c>
      <c r="O25" s="17" t="n">
        <v>4</v>
      </c>
      <c r="P25" s="17" t="n">
        <v>3</v>
      </c>
      <c r="Q25" s="17" t="n">
        <v>4</v>
      </c>
      <c r="R25" s="17" t="n">
        <v>5</v>
      </c>
      <c r="S25" s="17" t="n">
        <v>3</v>
      </c>
      <c r="T25" s="17" t="n">
        <v>5</v>
      </c>
      <c r="U25" s="17" t="n">
        <v>3</v>
      </c>
      <c r="V25" s="17" t="n">
        <v>5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5</v>
      </c>
      <c r="AC25" s="17" t="n">
        <v>5</v>
      </c>
      <c r="AD25" s="17" t="n">
        <v>3</v>
      </c>
      <c r="AE25" s="17" t="n">
        <v>4</v>
      </c>
      <c r="AF25" s="17" t="n">
        <v>6</v>
      </c>
      <c r="AG25" s="17" t="n">
        <v>6</v>
      </c>
      <c r="AH25" s="17" t="n">
        <v>5</v>
      </c>
      <c r="AI25" s="17" t="n">
        <v>3</v>
      </c>
      <c r="AJ25" s="17" t="n">
        <v>6</v>
      </c>
      <c r="AK25" s="17" t="n">
        <v>6</v>
      </c>
      <c r="AL25" s="17" t="n">
        <v>3</v>
      </c>
      <c r="AM25" s="17" t="n">
        <v>5</v>
      </c>
      <c r="AN25" s="17" t="n">
        <v>4</v>
      </c>
      <c r="AO25" s="17" t="n">
        <v>4</v>
      </c>
      <c r="AP25" s="17" t="n">
        <v>6</v>
      </c>
      <c r="AQ25" s="17" t="n">
        <v>5</v>
      </c>
      <c r="AR25" s="17" t="n">
        <v>7</v>
      </c>
      <c r="AS25" s="17" t="n">
        <v>4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8">
        <f>AA25+AW25</f>
        <v/>
      </c>
    </row>
    <row r="26">
      <c r="A26" s="8" t="n">
        <v>14</v>
      </c>
      <c r="B26" t="inlineStr">
        <is>
          <t>Pedro Ferreira</t>
        </is>
      </c>
      <c r="C26" s="8" t="inlineStr">
        <is>
          <t>43810</t>
        </is>
      </c>
      <c r="D26" t="inlineStr">
        <is>
          <t>Oporto</t>
        </is>
      </c>
      <c r="E26" s="8" t="n">
        <v>0.7</v>
      </c>
      <c r="F26" s="17" t="n">
        <v>6</v>
      </c>
      <c r="G26" s="17" t="n">
        <v>5</v>
      </c>
      <c r="H26" s="17" t="n">
        <v>3</v>
      </c>
      <c r="I26" s="17" t="n">
        <v>5</v>
      </c>
      <c r="J26" s="17" t="n">
        <v>5</v>
      </c>
      <c r="K26" s="17" t="n">
        <v>3</v>
      </c>
      <c r="L26" s="17" t="n">
        <v>4</v>
      </c>
      <c r="M26" s="17" t="n">
        <v>4</v>
      </c>
      <c r="N26" s="17" t="n">
        <v>4</v>
      </c>
      <c r="O26" s="17" t="n">
        <v>5</v>
      </c>
      <c r="P26" s="17" t="n">
        <v>4</v>
      </c>
      <c r="Q26" s="17" t="n">
        <v>3</v>
      </c>
      <c r="R26" s="17" t="n">
        <v>5</v>
      </c>
      <c r="S26" s="17" t="n">
        <v>4</v>
      </c>
      <c r="T26" s="17" t="n">
        <v>4</v>
      </c>
      <c r="U26" s="17" t="n">
        <v>3</v>
      </c>
      <c r="V26" s="17" t="n">
        <v>5</v>
      </c>
      <c r="W26" s="17" t="n">
        <v>5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7" t="n">
        <v>5</v>
      </c>
      <c r="AC26" s="17" t="n">
        <v>4</v>
      </c>
      <c r="AD26" s="17" t="n">
        <v>5</v>
      </c>
      <c r="AE26" s="17" t="n">
        <v>6</v>
      </c>
      <c r="AF26" s="17" t="n">
        <v>6</v>
      </c>
      <c r="AG26" s="17" t="n">
        <v>4</v>
      </c>
      <c r="AH26" s="17" t="n">
        <v>4</v>
      </c>
      <c r="AI26" s="17" t="n">
        <v>3</v>
      </c>
      <c r="AJ26" s="17" t="n">
        <v>5</v>
      </c>
      <c r="AK26" s="17" t="n">
        <v>4</v>
      </c>
      <c r="AL26" s="17" t="n">
        <v>3</v>
      </c>
      <c r="AM26" s="17" t="n">
        <v>4</v>
      </c>
      <c r="AN26" s="17" t="n">
        <v>5</v>
      </c>
      <c r="AO26" s="17" t="n">
        <v>4</v>
      </c>
      <c r="AP26" s="17" t="n">
        <v>4</v>
      </c>
      <c r="AQ26" s="17" t="n">
        <v>4</v>
      </c>
      <c r="AR26" s="17" t="n">
        <v>3</v>
      </c>
      <c r="AS26" s="17" t="n">
        <v>5</v>
      </c>
      <c r="AT26" s="8">
        <f>SUM(AB26:AS26)</f>
        <v/>
      </c>
      <c r="AU26" s="8">
        <f>AU11</f>
        <v/>
      </c>
      <c r="AV26" s="8">
        <f>AT26-AU26</f>
        <v/>
      </c>
      <c r="AW26" s="8">
        <f>MAX(0,25-AV26)*1.0</f>
        <v/>
      </c>
      <c r="AX26" s="18">
        <f>AA26+AW26</f>
        <v/>
      </c>
    </row>
    <row r="27">
      <c r="A27" s="8" t="n">
        <v>15</v>
      </c>
      <c r="B27" t="inlineStr">
        <is>
          <t>Gabriel Sardo</t>
        </is>
      </c>
      <c r="C27" s="8" t="inlineStr">
        <is>
          <t>37010</t>
        </is>
      </c>
      <c r="D27" t="inlineStr">
        <is>
          <t>Quinta do Peru</t>
        </is>
      </c>
      <c r="E27" s="8" t="n">
        <v>-1.3</v>
      </c>
      <c r="F27" s="17" t="n">
        <v>6</v>
      </c>
      <c r="G27" s="17" t="n">
        <v>4</v>
      </c>
      <c r="H27" s="17" t="n">
        <v>4</v>
      </c>
      <c r="I27" s="17" t="n">
        <v>3</v>
      </c>
      <c r="J27" s="17" t="n">
        <v>6</v>
      </c>
      <c r="K27" s="17" t="n">
        <v>4</v>
      </c>
      <c r="L27" s="17" t="n">
        <v>5</v>
      </c>
      <c r="M27" s="17" t="n">
        <v>4</v>
      </c>
      <c r="N27" s="17" t="n">
        <v>6</v>
      </c>
      <c r="O27" s="17" t="n">
        <v>5</v>
      </c>
      <c r="P27" s="17" t="n">
        <v>3</v>
      </c>
      <c r="Q27" s="17" t="n">
        <v>5</v>
      </c>
      <c r="R27" s="17" t="n">
        <v>4</v>
      </c>
      <c r="S27" s="17" t="n">
        <v>4</v>
      </c>
      <c r="T27" s="17" t="n">
        <v>4</v>
      </c>
      <c r="U27" s="17" t="n">
        <v>4</v>
      </c>
      <c r="V27" s="17" t="n">
        <v>3</v>
      </c>
      <c r="W27" s="17" t="n">
        <v>4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7" t="n">
        <v>5</v>
      </c>
      <c r="AC27" s="17" t="n">
        <v>4</v>
      </c>
      <c r="AD27" s="17" t="n">
        <v>3</v>
      </c>
      <c r="AE27" s="17" t="n">
        <v>4</v>
      </c>
      <c r="AF27" s="17" t="n">
        <v>5</v>
      </c>
      <c r="AG27" s="17" t="n">
        <v>5</v>
      </c>
      <c r="AH27" s="17" t="n">
        <v>4</v>
      </c>
      <c r="AI27" s="17" t="n">
        <v>4</v>
      </c>
      <c r="AJ27" s="17" t="n">
        <v>4</v>
      </c>
      <c r="AK27" s="17" t="n">
        <v>5</v>
      </c>
      <c r="AL27" s="17" t="n">
        <v>4</v>
      </c>
      <c r="AM27" s="17" t="n">
        <v>3</v>
      </c>
      <c r="AN27" s="17" t="n">
        <v>5</v>
      </c>
      <c r="AO27" s="17" t="n">
        <v>4</v>
      </c>
      <c r="AP27" s="17" t="n">
        <v>4</v>
      </c>
      <c r="AQ27" s="17" t="n">
        <v>3</v>
      </c>
      <c r="AR27" s="17" t="n">
        <v>4</v>
      </c>
      <c r="AS27" s="17" t="n">
        <v>6</v>
      </c>
      <c r="AT27" s="8">
        <f>SUM(AB27:AS27)</f>
        <v/>
      </c>
      <c r="AU27" s="8">
        <f>AU11</f>
        <v/>
      </c>
      <c r="AV27" s="8">
        <f>AT27-AU27</f>
        <v/>
      </c>
      <c r="AW27" s="8">
        <f>MAX(0,25-AV27)*1.0</f>
        <v/>
      </c>
      <c r="AX27" s="18">
        <f>AA27+AW27</f>
        <v/>
      </c>
    </row>
    <row r="28">
      <c r="A28" s="8" t="n">
        <v>16</v>
      </c>
      <c r="B28" t="inlineStr">
        <is>
          <t>João Crasi Alves</t>
        </is>
      </c>
      <c r="C28" s="8" t="inlineStr">
        <is>
          <t>39701</t>
        </is>
      </c>
      <c r="D28" t="inlineStr">
        <is>
          <t>Vilamoura, C. G</t>
        </is>
      </c>
      <c r="E28" s="8" t="n">
        <v>-1</v>
      </c>
      <c r="F28" s="17" t="n">
        <v>6</v>
      </c>
      <c r="G28" s="17" t="n">
        <v>6</v>
      </c>
      <c r="H28" s="17" t="n">
        <v>3</v>
      </c>
      <c r="I28" s="17" t="n">
        <v>4</v>
      </c>
      <c r="J28" s="17" t="n">
        <v>4</v>
      </c>
      <c r="K28" s="17" t="n">
        <v>4</v>
      </c>
      <c r="L28" s="17" t="n">
        <v>5</v>
      </c>
      <c r="M28" s="17" t="n">
        <v>4</v>
      </c>
      <c r="N28" s="17" t="n">
        <v>5</v>
      </c>
      <c r="O28" s="17" t="n">
        <v>5</v>
      </c>
      <c r="P28" s="17" t="n">
        <v>3</v>
      </c>
      <c r="Q28" s="17" t="n">
        <v>4</v>
      </c>
      <c r="R28" s="17" t="n">
        <v>6</v>
      </c>
      <c r="S28" s="17" t="n">
        <v>4</v>
      </c>
      <c r="T28" s="17" t="n">
        <v>4</v>
      </c>
      <c r="U28" s="17" t="n">
        <v>3</v>
      </c>
      <c r="V28" s="17" t="n">
        <v>3</v>
      </c>
      <c r="W28" s="17" t="n">
        <v>5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7" t="n">
        <v>6</v>
      </c>
      <c r="AC28" s="17" t="n">
        <v>4</v>
      </c>
      <c r="AD28" s="17" t="n">
        <v>3</v>
      </c>
      <c r="AE28" s="17" t="n">
        <v>5</v>
      </c>
      <c r="AF28" s="17" t="n">
        <v>6</v>
      </c>
      <c r="AG28" s="17" t="n">
        <v>5</v>
      </c>
      <c r="AH28" s="17" t="n">
        <v>4</v>
      </c>
      <c r="AI28" s="17" t="n">
        <v>4</v>
      </c>
      <c r="AJ28" s="17" t="n">
        <v>5</v>
      </c>
      <c r="AK28" s="17" t="n">
        <v>5</v>
      </c>
      <c r="AL28" s="17" t="n">
        <v>3</v>
      </c>
      <c r="AM28" s="17" t="n">
        <v>4</v>
      </c>
      <c r="AN28" s="17" t="n">
        <v>7</v>
      </c>
      <c r="AO28" s="17" t="n">
        <v>5</v>
      </c>
      <c r="AP28" s="17" t="n">
        <v>4</v>
      </c>
      <c r="AQ28" s="17" t="n">
        <v>3</v>
      </c>
      <c r="AR28" s="17" t="n">
        <v>3</v>
      </c>
      <c r="AS28" s="17" t="n">
        <v>5</v>
      </c>
      <c r="AT28" s="8">
        <f>SUM(AB28:AS28)</f>
        <v/>
      </c>
      <c r="AU28" s="8">
        <f>AU11</f>
        <v/>
      </c>
      <c r="AV28" s="8">
        <f>AT28-AU28</f>
        <v/>
      </c>
      <c r="AW28" s="8">
        <f>MAX(0,25-AV28)*1.0</f>
        <v/>
      </c>
      <c r="AX28" s="18">
        <f>AA28+AW28</f>
        <v/>
      </c>
    </row>
    <row r="29">
      <c r="A29" s="8" t="n">
        <v>17</v>
      </c>
      <c r="B29" t="inlineStr">
        <is>
          <t>André Nunes</t>
        </is>
      </c>
      <c r="C29" s="8" t="inlineStr">
        <is>
          <t>26526</t>
        </is>
      </c>
      <c r="D29" t="inlineStr">
        <is>
          <t>Quinta do Peru</t>
        </is>
      </c>
      <c r="E29" s="8" t="n">
        <v>0.9</v>
      </c>
      <c r="F29" s="17" t="n">
        <v>5</v>
      </c>
      <c r="G29" s="17" t="n">
        <v>4</v>
      </c>
      <c r="H29" s="17" t="n">
        <v>4</v>
      </c>
      <c r="I29" s="17" t="n">
        <v>5</v>
      </c>
      <c r="J29" s="17" t="n">
        <v>6</v>
      </c>
      <c r="K29" s="17" t="n">
        <v>4</v>
      </c>
      <c r="L29" s="17" t="n">
        <v>4</v>
      </c>
      <c r="M29" s="17" t="n">
        <v>4</v>
      </c>
      <c r="N29" s="17" t="n">
        <v>4</v>
      </c>
      <c r="O29" s="17" t="n">
        <v>5</v>
      </c>
      <c r="P29" s="17" t="n">
        <v>4</v>
      </c>
      <c r="Q29" s="17" t="n">
        <v>4</v>
      </c>
      <c r="R29" s="17" t="n">
        <v>6</v>
      </c>
      <c r="S29" s="17" t="n">
        <v>3</v>
      </c>
      <c r="T29" s="17" t="n">
        <v>4</v>
      </c>
      <c r="U29" s="17" t="n">
        <v>3</v>
      </c>
      <c r="V29" s="17" t="n">
        <v>3</v>
      </c>
      <c r="W29" s="17" t="n">
        <v>6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7" t="n">
        <v>5</v>
      </c>
      <c r="AC29" s="17" t="n">
        <v>5</v>
      </c>
      <c r="AD29" s="17" t="n">
        <v>5</v>
      </c>
      <c r="AE29" s="17" t="n">
        <v>4</v>
      </c>
      <c r="AF29" s="17" t="n">
        <v>5</v>
      </c>
      <c r="AG29" s="17" t="n">
        <v>5</v>
      </c>
      <c r="AH29" s="17" t="n">
        <v>5</v>
      </c>
      <c r="AI29" s="17" t="n">
        <v>4</v>
      </c>
      <c r="AJ29" s="17" t="n">
        <v>3</v>
      </c>
      <c r="AK29" s="17" t="n">
        <v>7</v>
      </c>
      <c r="AL29" s="17" t="n">
        <v>4</v>
      </c>
      <c r="AM29" s="17" t="n">
        <v>4</v>
      </c>
      <c r="AN29" s="17" t="n">
        <v>5</v>
      </c>
      <c r="AO29" s="17" t="n">
        <v>4</v>
      </c>
      <c r="AP29" s="17" t="n">
        <v>4</v>
      </c>
      <c r="AQ29" s="17" t="n">
        <v>3</v>
      </c>
      <c r="AR29" s="17" t="n">
        <v>5</v>
      </c>
      <c r="AS29" s="17" t="n">
        <v>5</v>
      </c>
      <c r="AT29" s="8">
        <f>SUM(AB29:AS29)</f>
        <v/>
      </c>
      <c r="AU29" s="8">
        <f>AU11</f>
        <v/>
      </c>
      <c r="AV29" s="8">
        <f>AT29-AU29</f>
        <v/>
      </c>
      <c r="AW29" s="8">
        <f>MAX(0,25-AV29)*1.0</f>
        <v/>
      </c>
      <c r="AX29" s="18">
        <f>AA29+AW29</f>
        <v/>
      </c>
    </row>
    <row r="30">
      <c r="A30" s="8" t="n">
        <v>18</v>
      </c>
      <c r="B30" t="inlineStr">
        <is>
          <t>Nuno Palmares Jr.</t>
        </is>
      </c>
      <c r="C30" s="8" t="inlineStr">
        <is>
          <t>49124</t>
        </is>
      </c>
      <c r="D30" t="inlineStr">
        <is>
          <t>Estoril</t>
        </is>
      </c>
      <c r="E30" s="8" t="n">
        <v>4.2</v>
      </c>
      <c r="F30" s="17" t="n">
        <v>5</v>
      </c>
      <c r="G30" s="17" t="n">
        <v>5</v>
      </c>
      <c r="H30" s="17" t="n">
        <v>3</v>
      </c>
      <c r="I30" s="17" t="n">
        <v>3</v>
      </c>
      <c r="J30" s="17" t="n">
        <v>5</v>
      </c>
      <c r="K30" s="17" t="n">
        <v>5</v>
      </c>
      <c r="L30" s="17" t="n">
        <v>5</v>
      </c>
      <c r="M30" s="17" t="n">
        <v>4</v>
      </c>
      <c r="N30" s="17" t="n">
        <v>5</v>
      </c>
      <c r="O30" s="17" t="n">
        <v>5</v>
      </c>
      <c r="P30" s="17" t="n">
        <v>3</v>
      </c>
      <c r="Q30" s="17" t="n">
        <v>5</v>
      </c>
      <c r="R30" s="17" t="n">
        <v>4</v>
      </c>
      <c r="S30" s="17" t="n">
        <v>4</v>
      </c>
      <c r="T30" s="17" t="n">
        <v>4</v>
      </c>
      <c r="U30" s="17" t="n">
        <v>3</v>
      </c>
      <c r="V30" s="17" t="n">
        <v>5</v>
      </c>
      <c r="W30" s="17" t="n">
        <v>5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7" t="n">
        <v>5</v>
      </c>
      <c r="AC30" s="17" t="n">
        <v>5</v>
      </c>
      <c r="AD30" s="17" t="n">
        <v>4</v>
      </c>
      <c r="AE30" s="17" t="n">
        <v>5</v>
      </c>
      <c r="AF30" s="17" t="n">
        <v>7</v>
      </c>
      <c r="AG30" s="17" t="n">
        <v>4</v>
      </c>
      <c r="AH30" s="17" t="n">
        <v>5</v>
      </c>
      <c r="AI30" s="17" t="n">
        <v>2</v>
      </c>
      <c r="AJ30" s="17" t="n">
        <v>4</v>
      </c>
      <c r="AK30" s="17" t="n">
        <v>6</v>
      </c>
      <c r="AL30" s="17" t="n">
        <v>4</v>
      </c>
      <c r="AM30" s="17" t="n">
        <v>5</v>
      </c>
      <c r="AN30" s="17" t="n">
        <v>6</v>
      </c>
      <c r="AO30" s="17" t="n">
        <v>4</v>
      </c>
      <c r="AP30" s="17" t="n">
        <v>5</v>
      </c>
      <c r="AQ30" s="17" t="n">
        <v>3</v>
      </c>
      <c r="AR30" s="17" t="n">
        <v>5</v>
      </c>
      <c r="AS30" s="17" t="n">
        <v>5</v>
      </c>
      <c r="AT30" s="8">
        <f>SUM(AB30:AS30)</f>
        <v/>
      </c>
      <c r="AU30" s="8">
        <f>AU11</f>
        <v/>
      </c>
      <c r="AV30" s="8">
        <f>AT30-AU30</f>
        <v/>
      </c>
      <c r="AW30" s="8">
        <f>MAX(0,25-AV30)*1.0</f>
        <v/>
      </c>
      <c r="AX30" s="18">
        <f>AA30+AW30</f>
        <v/>
      </c>
    </row>
    <row r="31">
      <c r="A31" s="8" t="n">
        <v>19</v>
      </c>
      <c r="B31" t="inlineStr">
        <is>
          <t>Ruiqi Li</t>
        </is>
      </c>
      <c r="C31" s="8" t="inlineStr">
        <is>
          <t>49076</t>
        </is>
      </c>
      <c r="D31" t="inlineStr">
        <is>
          <t>Estoril</t>
        </is>
      </c>
      <c r="E31" s="8" t="n">
        <v>4.3</v>
      </c>
      <c r="F31" s="17" t="n">
        <v>5</v>
      </c>
      <c r="G31" s="17" t="n">
        <v>4</v>
      </c>
      <c r="H31" s="17" t="n">
        <v>3</v>
      </c>
      <c r="I31" s="17" t="n">
        <v>4</v>
      </c>
      <c r="J31" s="17" t="n">
        <v>5</v>
      </c>
      <c r="K31" s="17" t="n">
        <v>5</v>
      </c>
      <c r="L31" s="17" t="n">
        <v>5</v>
      </c>
      <c r="M31" s="17" t="n">
        <v>4</v>
      </c>
      <c r="N31" s="17" t="n">
        <v>4</v>
      </c>
      <c r="O31" s="17" t="n">
        <v>5</v>
      </c>
      <c r="P31" s="17" t="n">
        <v>3</v>
      </c>
      <c r="Q31" s="17" t="n">
        <v>4</v>
      </c>
      <c r="R31" s="17" t="n">
        <v>6</v>
      </c>
      <c r="S31" s="17" t="n">
        <v>5</v>
      </c>
      <c r="T31" s="17" t="n">
        <v>3</v>
      </c>
      <c r="U31" s="17" t="n">
        <v>3</v>
      </c>
      <c r="V31" s="17" t="n">
        <v>4</v>
      </c>
      <c r="W31" s="17" t="n">
        <v>6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7" t="n">
        <v>6</v>
      </c>
      <c r="AC31" s="17" t="n">
        <v>5</v>
      </c>
      <c r="AD31" s="17" t="n">
        <v>3</v>
      </c>
      <c r="AE31" s="17" t="n">
        <v>6</v>
      </c>
      <c r="AF31" s="17" t="n">
        <v>5</v>
      </c>
      <c r="AG31" s="17" t="n">
        <v>5</v>
      </c>
      <c r="AH31" s="17" t="n">
        <v>4</v>
      </c>
      <c r="AI31" s="17" t="n">
        <v>6</v>
      </c>
      <c r="AJ31" s="17" t="n">
        <v>4</v>
      </c>
      <c r="AK31" s="17" t="n">
        <v>5</v>
      </c>
      <c r="AL31" s="17" t="n">
        <v>5</v>
      </c>
      <c r="AM31" s="17" t="n">
        <v>4</v>
      </c>
      <c r="AN31" s="17" t="n">
        <v>6</v>
      </c>
      <c r="AO31" s="17" t="n">
        <v>4</v>
      </c>
      <c r="AP31" s="17" t="n">
        <v>4</v>
      </c>
      <c r="AQ31" s="17" t="n">
        <v>3</v>
      </c>
      <c r="AR31" s="17" t="n">
        <v>4</v>
      </c>
      <c r="AS31" s="17" t="n">
        <v>5</v>
      </c>
      <c r="AT31" s="8">
        <f>SUM(AB31:AS31)</f>
        <v/>
      </c>
      <c r="AU31" s="8">
        <f>AU11</f>
        <v/>
      </c>
      <c r="AV31" s="8">
        <f>AT31-AU31</f>
        <v/>
      </c>
      <c r="AW31" s="8">
        <f>MAX(0,25-AV31)*1.0</f>
        <v/>
      </c>
      <c r="AX31" s="18">
        <f>AA31+AW31</f>
        <v/>
      </c>
    </row>
    <row r="32">
      <c r="A32" s="8" t="n">
        <v>20</v>
      </c>
      <c r="B32" t="inlineStr">
        <is>
          <t>Luis António Silva</t>
        </is>
      </c>
      <c r="C32" s="8" t="inlineStr">
        <is>
          <t>42845</t>
        </is>
      </c>
      <c r="D32" t="inlineStr">
        <is>
          <t>Oporto</t>
        </is>
      </c>
      <c r="E32" s="8" t="n">
        <v>-3.8</v>
      </c>
      <c r="F32" s="17" t="n">
        <v>6</v>
      </c>
      <c r="G32" s="17" t="n">
        <v>4</v>
      </c>
      <c r="H32" s="17" t="n">
        <v>4</v>
      </c>
      <c r="I32" s="17" t="n">
        <v>3</v>
      </c>
      <c r="J32" s="17" t="n">
        <v>4</v>
      </c>
      <c r="K32" s="17" t="n">
        <v>4</v>
      </c>
      <c r="L32" s="17" t="n">
        <v>4</v>
      </c>
      <c r="M32" s="17" t="n">
        <v>4</v>
      </c>
      <c r="N32" s="17" t="n">
        <v>6</v>
      </c>
      <c r="O32" s="17" t="n">
        <v>4</v>
      </c>
      <c r="P32" s="17" t="n">
        <v>3</v>
      </c>
      <c r="Q32" s="17" t="n">
        <v>4</v>
      </c>
      <c r="R32" s="17" t="n">
        <v>5</v>
      </c>
      <c r="S32" s="17" t="n">
        <v>5</v>
      </c>
      <c r="T32" s="17" t="n">
        <v>5</v>
      </c>
      <c r="U32" s="17" t="n">
        <v>3</v>
      </c>
      <c r="V32" s="17" t="n">
        <v>5</v>
      </c>
      <c r="W32" s="17" t="n">
        <v>5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7" t="n">
        <v>6</v>
      </c>
      <c r="AC32" s="17" t="n">
        <v>5</v>
      </c>
      <c r="AD32" s="17" t="n">
        <v>3</v>
      </c>
      <c r="AE32" s="17" t="n">
        <v>4</v>
      </c>
      <c r="AF32" s="17" t="n">
        <v>4</v>
      </c>
      <c r="AG32" s="17" t="n">
        <v>4</v>
      </c>
      <c r="AH32" s="17" t="n">
        <v>5</v>
      </c>
      <c r="AI32" s="17" t="n">
        <v>3</v>
      </c>
      <c r="AJ32" s="17" t="n">
        <v>4</v>
      </c>
      <c r="AK32" s="17" t="n">
        <v>5</v>
      </c>
      <c r="AL32" s="17" t="n">
        <v>3</v>
      </c>
      <c r="AM32" s="17" t="n">
        <v>4</v>
      </c>
      <c r="AN32" s="17" t="n">
        <v>4</v>
      </c>
      <c r="AO32" s="17" t="n">
        <v>4</v>
      </c>
      <c r="AP32" s="17" t="n">
        <v>5</v>
      </c>
      <c r="AQ32" s="17" t="n">
        <v>3</v>
      </c>
      <c r="AR32" s="17" t="n">
        <v>3</v>
      </c>
      <c r="AS32" s="17" t="n">
        <v>4</v>
      </c>
      <c r="AT32" s="8">
        <f>SUM(AB32:AS32)</f>
        <v/>
      </c>
      <c r="AU32" s="8">
        <f>AU11</f>
        <v/>
      </c>
      <c r="AV32" s="8">
        <f>AT32-AU32</f>
        <v/>
      </c>
      <c r="AW32" s="8">
        <f>MAX(0,25-AV32)*1.0</f>
        <v/>
      </c>
      <c r="AX32" s="18">
        <f>AA32+AW32</f>
        <v/>
      </c>
    </row>
    <row r="33">
      <c r="A33" s="8" t="n">
        <v>21</v>
      </c>
      <c r="B33" t="inlineStr">
        <is>
          <t>Guilherme Grabner Moreira</t>
        </is>
      </c>
      <c r="C33" s="8" t="inlineStr">
        <is>
          <t>42205</t>
        </is>
      </c>
      <c r="D33" t="inlineStr">
        <is>
          <t>Oporto</t>
        </is>
      </c>
      <c r="E33" s="8" t="n">
        <v>1</v>
      </c>
      <c r="F33" s="17" t="n">
        <v>6</v>
      </c>
      <c r="G33" s="17" t="n">
        <v>5</v>
      </c>
      <c r="H33" s="17" t="n">
        <v>3</v>
      </c>
      <c r="I33" s="17" t="n">
        <v>4</v>
      </c>
      <c r="J33" s="17" t="n">
        <v>4</v>
      </c>
      <c r="K33" s="17" t="n">
        <v>4</v>
      </c>
      <c r="L33" s="17" t="n">
        <v>4</v>
      </c>
      <c r="M33" s="17" t="n">
        <v>4</v>
      </c>
      <c r="N33" s="17" t="n">
        <v>5</v>
      </c>
      <c r="O33" s="17" t="n">
        <v>4</v>
      </c>
      <c r="P33" s="17" t="n">
        <v>3</v>
      </c>
      <c r="Q33" s="17" t="n">
        <v>4</v>
      </c>
      <c r="R33" s="17" t="n">
        <v>5</v>
      </c>
      <c r="S33" s="17" t="n">
        <v>4</v>
      </c>
      <c r="T33" s="17" t="n">
        <v>4</v>
      </c>
      <c r="U33" s="17" t="n">
        <v>4</v>
      </c>
      <c r="V33" s="17" t="n">
        <v>6</v>
      </c>
      <c r="W33" s="17" t="n">
        <v>5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7" t="n">
        <v>4</v>
      </c>
      <c r="AC33" s="17" t="n">
        <v>5</v>
      </c>
      <c r="AD33" s="17" t="n">
        <v>4</v>
      </c>
      <c r="AE33" s="17" t="n">
        <v>4</v>
      </c>
      <c r="AF33" s="17" t="n">
        <v>5</v>
      </c>
      <c r="AG33" s="17" t="n">
        <v>4</v>
      </c>
      <c r="AH33" s="17" t="n">
        <v>7</v>
      </c>
      <c r="AI33" s="17" t="n">
        <v>3</v>
      </c>
      <c r="AJ33" s="17" t="n">
        <v>4</v>
      </c>
      <c r="AK33" s="17" t="n">
        <v>5</v>
      </c>
      <c r="AL33" s="17" t="n">
        <v>2</v>
      </c>
      <c r="AM33" s="17" t="n">
        <v>4</v>
      </c>
      <c r="AN33" s="17" t="n">
        <v>4</v>
      </c>
      <c r="AO33" s="17" t="n">
        <v>2</v>
      </c>
      <c r="AP33" s="17" t="n">
        <v>6</v>
      </c>
      <c r="AQ33" s="17" t="n">
        <v>4</v>
      </c>
      <c r="AR33" s="17" t="n">
        <v>5</v>
      </c>
      <c r="AS33" s="17" t="n">
        <v>4</v>
      </c>
      <c r="AT33" s="8">
        <f>SUM(AB33:AS33)</f>
        <v/>
      </c>
      <c r="AU33" s="8">
        <f>AU11</f>
        <v/>
      </c>
      <c r="AV33" s="8">
        <f>AT33-AU33</f>
        <v/>
      </c>
      <c r="AW33" s="8">
        <f>MAX(0,25-AV33)*1.0</f>
        <v/>
      </c>
      <c r="AX33" s="18">
        <f>AA33+AW33</f>
        <v/>
      </c>
    </row>
    <row r="34">
      <c r="A34" s="8" t="n">
        <v>22</v>
      </c>
      <c r="B34" t="inlineStr">
        <is>
          <t>Emil Bundgaard</t>
        </is>
      </c>
      <c r="C34" s="8" t="inlineStr">
        <is>
          <t>50323</t>
        </is>
      </c>
      <c r="D34" t="inlineStr">
        <is>
          <t>Quinta do Peru</t>
        </is>
      </c>
      <c r="E34" s="8" t="n">
        <v>1.6</v>
      </c>
      <c r="F34" s="17" t="n">
        <v>5</v>
      </c>
      <c r="G34" s="17" t="n">
        <v>4</v>
      </c>
      <c r="H34" s="17" t="n">
        <v>3</v>
      </c>
      <c r="I34" s="17" t="n">
        <v>5</v>
      </c>
      <c r="J34" s="17" t="n">
        <v>4</v>
      </c>
      <c r="K34" s="17" t="n">
        <v>4</v>
      </c>
      <c r="L34" s="17" t="n">
        <v>5</v>
      </c>
      <c r="M34" s="17" t="n">
        <v>3</v>
      </c>
      <c r="N34" s="17" t="n">
        <v>5</v>
      </c>
      <c r="O34" s="17" t="n">
        <v>4</v>
      </c>
      <c r="P34" s="17" t="n">
        <v>4</v>
      </c>
      <c r="Q34" s="17" t="n">
        <v>5</v>
      </c>
      <c r="R34" s="17" t="n">
        <v>5</v>
      </c>
      <c r="S34" s="17" t="n">
        <v>4</v>
      </c>
      <c r="T34" s="17" t="n">
        <v>4</v>
      </c>
      <c r="U34" s="17" t="n">
        <v>3</v>
      </c>
      <c r="V34" s="17" t="n">
        <v>6</v>
      </c>
      <c r="W34" s="17" t="n">
        <v>5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7" t="n">
        <v>4</v>
      </c>
      <c r="AC34" s="17" t="n">
        <v>4</v>
      </c>
      <c r="AD34" s="17" t="n">
        <v>3</v>
      </c>
      <c r="AE34" s="17" t="n">
        <v>5</v>
      </c>
      <c r="AF34" s="17" t="n">
        <v>4</v>
      </c>
      <c r="AG34" s="17" t="n">
        <v>5</v>
      </c>
      <c r="AH34" s="17" t="n">
        <v>6</v>
      </c>
      <c r="AI34" s="17" t="n">
        <v>7</v>
      </c>
      <c r="AJ34" s="17" t="n">
        <v>4</v>
      </c>
      <c r="AK34" s="17" t="n">
        <v>4</v>
      </c>
      <c r="AL34" s="17" t="n">
        <v>3</v>
      </c>
      <c r="AM34" s="17" t="n">
        <v>4</v>
      </c>
      <c r="AN34" s="17" t="n">
        <v>6</v>
      </c>
      <c r="AO34" s="17" t="n">
        <v>3</v>
      </c>
      <c r="AP34" s="17" t="n">
        <v>4</v>
      </c>
      <c r="AQ34" s="17" t="n">
        <v>4</v>
      </c>
      <c r="AR34" s="17" t="n">
        <v>4</v>
      </c>
      <c r="AS34" s="17" t="n">
        <v>4</v>
      </c>
      <c r="AT34" s="8">
        <f>SUM(AB34:AS34)</f>
        <v/>
      </c>
      <c r="AU34" s="8">
        <f>AU11</f>
        <v/>
      </c>
      <c r="AV34" s="8">
        <f>AT34-AU34</f>
        <v/>
      </c>
      <c r="AW34" s="8">
        <f>MAX(0,25-AV34)*1.0</f>
        <v/>
      </c>
      <c r="AX34" s="18">
        <f>AA34+AW34</f>
        <v/>
      </c>
    </row>
    <row r="35">
      <c r="A35" s="8" t="n">
        <v>23</v>
      </c>
      <c r="B35" t="inlineStr">
        <is>
          <t>Rodrigo Faria Constantino</t>
        </is>
      </c>
      <c r="C35" s="8" t="inlineStr">
        <is>
          <t>45278</t>
        </is>
      </c>
      <c r="D35" t="inlineStr">
        <is>
          <t>Belas</t>
        </is>
      </c>
      <c r="E35" s="8" t="n">
        <v>1.3</v>
      </c>
      <c r="F35" s="17" t="n">
        <v>5</v>
      </c>
      <c r="G35" s="17" t="n">
        <v>4</v>
      </c>
      <c r="H35" s="17" t="n">
        <v>2</v>
      </c>
      <c r="I35" s="17" t="n">
        <v>4</v>
      </c>
      <c r="J35" s="17" t="n">
        <v>5</v>
      </c>
      <c r="K35" s="17" t="n">
        <v>4</v>
      </c>
      <c r="L35" s="17" t="n">
        <v>6</v>
      </c>
      <c r="M35" s="17" t="n">
        <v>3</v>
      </c>
      <c r="N35" s="17" t="n">
        <v>4</v>
      </c>
      <c r="O35" s="17" t="n">
        <v>5</v>
      </c>
      <c r="P35" s="17" t="n">
        <v>4</v>
      </c>
      <c r="Q35" s="17" t="n">
        <v>5</v>
      </c>
      <c r="R35" s="17" t="n">
        <v>6</v>
      </c>
      <c r="S35" s="17" t="n">
        <v>4</v>
      </c>
      <c r="T35" s="17" t="n">
        <v>4</v>
      </c>
      <c r="U35" s="17" t="n">
        <v>4</v>
      </c>
      <c r="V35" s="17" t="n">
        <v>4</v>
      </c>
      <c r="W35" s="17" t="n">
        <v>5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7" t="n">
        <v>5</v>
      </c>
      <c r="AC35" s="17" t="n">
        <v>5</v>
      </c>
      <c r="AD35" s="17" t="n">
        <v>4</v>
      </c>
      <c r="AE35" s="17" t="n">
        <v>5</v>
      </c>
      <c r="AF35" s="17" t="n">
        <v>5</v>
      </c>
      <c r="AG35" s="17" t="n">
        <v>4</v>
      </c>
      <c r="AH35" s="17" t="n">
        <v>5</v>
      </c>
      <c r="AI35" s="17" t="n">
        <v>3</v>
      </c>
      <c r="AJ35" s="17" t="n">
        <v>4</v>
      </c>
      <c r="AK35" s="17" t="n">
        <v>5</v>
      </c>
      <c r="AL35" s="17" t="n">
        <v>4</v>
      </c>
      <c r="AM35" s="17" t="n">
        <v>4</v>
      </c>
      <c r="AN35" s="17" t="n">
        <v>6</v>
      </c>
      <c r="AO35" s="17" t="n">
        <v>4</v>
      </c>
      <c r="AP35" s="17" t="n">
        <v>5</v>
      </c>
      <c r="AQ35" s="17" t="n">
        <v>3</v>
      </c>
      <c r="AR35" s="17" t="n">
        <v>5</v>
      </c>
      <c r="AS35" s="17" t="n">
        <v>5</v>
      </c>
      <c r="AT35" s="8">
        <f>SUM(AB35:AS35)</f>
        <v/>
      </c>
      <c r="AU35" s="8">
        <f>AU11</f>
        <v/>
      </c>
      <c r="AV35" s="8">
        <f>AT35-AU35</f>
        <v/>
      </c>
      <c r="AW35" s="8">
        <f>MAX(0,25-AV35)*1.0</f>
        <v/>
      </c>
      <c r="AX35" s="18">
        <f>AA35+AW35</f>
        <v/>
      </c>
    </row>
    <row r="36">
      <c r="A36" s="8" t="n">
        <v>24</v>
      </c>
      <c r="B36" t="inlineStr">
        <is>
          <t>Tiago Abrantes</t>
        </is>
      </c>
      <c r="C36" s="8" t="inlineStr">
        <is>
          <t>38315</t>
        </is>
      </c>
      <c r="D36" t="inlineStr">
        <is>
          <t>Vilamoura, C. G</t>
        </is>
      </c>
      <c r="E36" s="8" t="n">
        <v>4.4</v>
      </c>
      <c r="F36" s="17" t="n">
        <v>7</v>
      </c>
      <c r="G36" s="17" t="n">
        <v>5</v>
      </c>
      <c r="H36" s="17" t="n">
        <v>3</v>
      </c>
      <c r="I36" s="17" t="n">
        <v>5</v>
      </c>
      <c r="J36" s="17" t="n">
        <v>4</v>
      </c>
      <c r="K36" s="17" t="n">
        <v>4</v>
      </c>
      <c r="L36" s="17" t="n">
        <v>6</v>
      </c>
      <c r="M36" s="17" t="n">
        <v>4</v>
      </c>
      <c r="N36" s="17" t="n">
        <v>5</v>
      </c>
      <c r="O36" s="17" t="n">
        <v>5</v>
      </c>
      <c r="P36" s="17" t="n">
        <v>4</v>
      </c>
      <c r="Q36" s="17" t="n">
        <v>4</v>
      </c>
      <c r="R36" s="17" t="n">
        <v>5</v>
      </c>
      <c r="S36" s="17" t="n">
        <v>4</v>
      </c>
      <c r="T36" s="17" t="n">
        <v>3</v>
      </c>
      <c r="U36" s="17" t="n">
        <v>3</v>
      </c>
      <c r="V36" s="17" t="n">
        <v>3</v>
      </c>
      <c r="W36" s="17" t="n">
        <v>5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7" t="n">
        <v>6</v>
      </c>
      <c r="AC36" s="17" t="n">
        <v>6</v>
      </c>
      <c r="AD36" s="17" t="n">
        <v>4</v>
      </c>
      <c r="AE36" s="17" t="n">
        <v>4</v>
      </c>
      <c r="AF36" s="17" t="n">
        <v>5</v>
      </c>
      <c r="AG36" s="17" t="n">
        <v>5</v>
      </c>
      <c r="AH36" s="17" t="n">
        <v>4</v>
      </c>
      <c r="AI36" s="17" t="n">
        <v>4</v>
      </c>
      <c r="AJ36" s="17" t="n">
        <v>5</v>
      </c>
      <c r="AK36" s="17" t="n">
        <v>4</v>
      </c>
      <c r="AL36" s="17" t="n">
        <v>4</v>
      </c>
      <c r="AM36" s="17" t="n">
        <v>4</v>
      </c>
      <c r="AN36" s="17" t="n">
        <v>5</v>
      </c>
      <c r="AO36" s="17" t="n">
        <v>5</v>
      </c>
      <c r="AP36" s="17" t="n">
        <v>4</v>
      </c>
      <c r="AQ36" s="17" t="n">
        <v>4</v>
      </c>
      <c r="AR36" s="17" t="n">
        <v>3</v>
      </c>
      <c r="AS36" s="17" t="n">
        <v>5</v>
      </c>
      <c r="AT36" s="8">
        <f>SUM(AB36:AS36)</f>
        <v/>
      </c>
      <c r="AU36" s="8">
        <f>AU11</f>
        <v/>
      </c>
      <c r="AV36" s="8">
        <f>AT36-AU36</f>
        <v/>
      </c>
      <c r="AW36" s="8">
        <f>MAX(0,25-AV36)*1.0</f>
        <v/>
      </c>
      <c r="AX36" s="18">
        <f>AA36+AW36</f>
        <v/>
      </c>
    </row>
    <row r="37">
      <c r="A37" s="8" t="n">
        <v>25</v>
      </c>
      <c r="B37" t="inlineStr">
        <is>
          <t>Bernardo Costa Pinheiro</t>
        </is>
      </c>
      <c r="C37" s="8" t="inlineStr">
        <is>
          <t>40682</t>
        </is>
      </c>
      <c r="D37" t="inlineStr">
        <is>
          <t>Oporto</t>
        </is>
      </c>
      <c r="E37" s="8" t="n">
        <v>-2.6</v>
      </c>
      <c r="F37" s="17" t="n">
        <v>7</v>
      </c>
      <c r="G37" s="17" t="n">
        <v>6</v>
      </c>
      <c r="H37" s="17" t="n">
        <v>3</v>
      </c>
      <c r="I37" s="17" t="n">
        <v>5</v>
      </c>
      <c r="J37" s="17" t="n">
        <v>5</v>
      </c>
      <c r="K37" s="17" t="n">
        <v>4</v>
      </c>
      <c r="L37" s="17" t="n">
        <v>3</v>
      </c>
      <c r="M37" s="17" t="n">
        <v>5</v>
      </c>
      <c r="N37" s="17" t="n">
        <v>3</v>
      </c>
      <c r="O37" s="17" t="n">
        <v>4</v>
      </c>
      <c r="P37" s="17" t="n">
        <v>3</v>
      </c>
      <c r="Q37" s="17" t="n">
        <v>3</v>
      </c>
      <c r="R37" s="17" t="n">
        <v>5</v>
      </c>
      <c r="S37" s="17" t="n">
        <v>5</v>
      </c>
      <c r="T37" s="17" t="n">
        <v>5</v>
      </c>
      <c r="U37" s="17" t="n">
        <v>3</v>
      </c>
      <c r="V37" s="17" t="n">
        <v>7</v>
      </c>
      <c r="W37" s="17" t="n">
        <v>3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7" t="n">
        <v>6</v>
      </c>
      <c r="AC37" s="17" t="n">
        <v>4</v>
      </c>
      <c r="AD37" s="17" t="n">
        <v>3</v>
      </c>
      <c r="AE37" s="17" t="n">
        <v>4</v>
      </c>
      <c r="AF37" s="17" t="n">
        <v>4</v>
      </c>
      <c r="AG37" s="17" t="n">
        <v>4</v>
      </c>
      <c r="AH37" s="17" t="n">
        <v>3</v>
      </c>
      <c r="AI37" s="17" t="n">
        <v>3</v>
      </c>
      <c r="AJ37" s="17" t="n">
        <v>4</v>
      </c>
      <c r="AK37" s="17" t="n">
        <v>5</v>
      </c>
      <c r="AL37" s="17" t="n">
        <v>4</v>
      </c>
      <c r="AM37" s="17" t="n">
        <v>4</v>
      </c>
      <c r="AN37" s="17" t="n">
        <v>4</v>
      </c>
      <c r="AO37" s="17" t="n">
        <v>4</v>
      </c>
      <c r="AP37" s="17" t="n">
        <v>4</v>
      </c>
      <c r="AQ37" s="17" t="n">
        <v>5</v>
      </c>
      <c r="AR37" s="17" t="n">
        <v>4</v>
      </c>
      <c r="AS37" s="17" t="n">
        <v>5</v>
      </c>
      <c r="AT37" s="8">
        <f>SUM(AB37:AS37)</f>
        <v/>
      </c>
      <c r="AU37" s="8">
        <f>AU11</f>
        <v/>
      </c>
      <c r="AV37" s="8">
        <f>AT37-AU37</f>
        <v/>
      </c>
      <c r="AW37" s="8">
        <f>MAX(0,25-AV37)*1.0</f>
        <v/>
      </c>
      <c r="AX37" s="18">
        <f>AA37+AW37</f>
        <v/>
      </c>
    </row>
    <row r="38">
      <c r="A38" s="8" t="n">
        <v>26</v>
      </c>
      <c r="B38" t="inlineStr">
        <is>
          <t>Francisco Maria Ataíde</t>
        </is>
      </c>
      <c r="C38" s="8" t="inlineStr">
        <is>
          <t>19988</t>
        </is>
      </c>
      <c r="D38" t="inlineStr">
        <is>
          <t>Quinta do Peru</t>
        </is>
      </c>
      <c r="E38" s="8" t="n">
        <v>2.1</v>
      </c>
      <c r="F38" s="17" t="n">
        <v>5</v>
      </c>
      <c r="G38" s="17" t="n">
        <v>5</v>
      </c>
      <c r="H38" s="17" t="n">
        <v>2</v>
      </c>
      <c r="I38" s="17" t="n">
        <v>4</v>
      </c>
      <c r="J38" s="17" t="n">
        <v>5</v>
      </c>
      <c r="K38" s="17" t="n">
        <v>3</v>
      </c>
      <c r="L38" s="17" t="n">
        <v>5</v>
      </c>
      <c r="M38" s="17" t="n">
        <v>2</v>
      </c>
      <c r="N38" s="17" t="n">
        <v>6</v>
      </c>
      <c r="O38" s="17" t="n">
        <v>7</v>
      </c>
      <c r="P38" s="17" t="n">
        <v>3</v>
      </c>
      <c r="Q38" s="17" t="n">
        <v>5</v>
      </c>
      <c r="R38" s="17" t="n">
        <v>5</v>
      </c>
      <c r="S38" s="17" t="n">
        <v>4</v>
      </c>
      <c r="T38" s="17" t="n">
        <v>4</v>
      </c>
      <c r="U38" s="17" t="n">
        <v>3</v>
      </c>
      <c r="V38" s="17" t="n">
        <v>5</v>
      </c>
      <c r="W38" s="17" t="n">
        <v>6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7" t="n">
        <v>5</v>
      </c>
      <c r="AC38" s="17" t="n">
        <v>4</v>
      </c>
      <c r="AD38" s="17" t="n">
        <v>4</v>
      </c>
      <c r="AE38" s="17" t="n">
        <v>5</v>
      </c>
      <c r="AF38" s="17" t="n">
        <v>5</v>
      </c>
      <c r="AG38" s="17" t="n">
        <v>4</v>
      </c>
      <c r="AH38" s="17" t="n">
        <v>4</v>
      </c>
      <c r="AI38" s="17" t="n">
        <v>3</v>
      </c>
      <c r="AJ38" s="17" t="n">
        <v>4</v>
      </c>
      <c r="AK38" s="17" t="n">
        <v>4</v>
      </c>
      <c r="AL38" s="17" t="n">
        <v>3</v>
      </c>
      <c r="AM38" s="17" t="n">
        <v>5</v>
      </c>
      <c r="AN38" s="17" t="n">
        <v>4</v>
      </c>
      <c r="AO38" s="17" t="n">
        <v>4</v>
      </c>
      <c r="AP38" s="17" t="n">
        <v>5</v>
      </c>
      <c r="AQ38" s="17" t="n">
        <v>4</v>
      </c>
      <c r="AR38" s="17" t="n">
        <v>4</v>
      </c>
      <c r="AS38" s="17" t="n">
        <v>5</v>
      </c>
      <c r="AT38" s="8">
        <f>SUM(AB38:AS38)</f>
        <v/>
      </c>
      <c r="AU38" s="8">
        <f>AU11</f>
        <v/>
      </c>
      <c r="AV38" s="8">
        <f>AT38-AU38</f>
        <v/>
      </c>
      <c r="AW38" s="8">
        <f>MAX(0,25-AV38)*1.0</f>
        <v/>
      </c>
      <c r="AX38" s="18">
        <f>AA38+AW38</f>
        <v/>
      </c>
    </row>
    <row r="39">
      <c r="A39" s="8" t="n">
        <v>27</v>
      </c>
      <c r="B39" t="inlineStr">
        <is>
          <t>Francisco Reis</t>
        </is>
      </c>
      <c r="C39" s="8" t="inlineStr">
        <is>
          <t>40534</t>
        </is>
      </c>
      <c r="D39" t="inlineStr">
        <is>
          <t>Vilamoura, C. G</t>
        </is>
      </c>
      <c r="E39" s="8" t="n">
        <v>0.3</v>
      </c>
      <c r="F39" s="17" t="n">
        <v>4</v>
      </c>
      <c r="G39" s="17" t="n">
        <v>5</v>
      </c>
      <c r="H39" s="17" t="n">
        <v>4</v>
      </c>
      <c r="I39" s="17" t="n">
        <v>5</v>
      </c>
      <c r="J39" s="17" t="n">
        <v>9</v>
      </c>
      <c r="K39" s="17" t="n">
        <v>7</v>
      </c>
      <c r="L39" s="17" t="n">
        <v>4</v>
      </c>
      <c r="M39" s="17" t="n">
        <v>3</v>
      </c>
      <c r="N39" s="17" t="n">
        <v>4</v>
      </c>
      <c r="O39" s="17" t="n">
        <v>4</v>
      </c>
      <c r="P39" s="17" t="n">
        <v>3</v>
      </c>
      <c r="Q39" s="17" t="n">
        <v>4</v>
      </c>
      <c r="R39" s="17" t="n">
        <v>6</v>
      </c>
      <c r="S39" s="17" t="n">
        <v>3</v>
      </c>
      <c r="T39" s="17" t="n">
        <v>4</v>
      </c>
      <c r="U39" s="17" t="n">
        <v>3</v>
      </c>
      <c r="V39" s="17" t="n">
        <v>4</v>
      </c>
      <c r="W39" s="17" t="n">
        <v>4</v>
      </c>
      <c r="X39" s="8">
        <f>SUM(F39:W39)</f>
        <v/>
      </c>
      <c r="Y39" s="8">
        <f>Y11</f>
        <v/>
      </c>
      <c r="Z39" s="8">
        <f>X39-Y39</f>
        <v/>
      </c>
      <c r="AA39" s="8">
        <f>MAX(0,25-Z39)*1.0</f>
        <v/>
      </c>
      <c r="AB39" s="17" t="n">
        <v>5</v>
      </c>
      <c r="AC39" s="17" t="n">
        <v>6</v>
      </c>
      <c r="AD39" s="17" t="n">
        <v>4</v>
      </c>
      <c r="AE39" s="17" t="n">
        <v>4</v>
      </c>
      <c r="AF39" s="17" t="n">
        <v>7</v>
      </c>
      <c r="AG39" s="17" t="n">
        <v>4</v>
      </c>
      <c r="AH39" s="17" t="n">
        <v>4</v>
      </c>
      <c r="AI39" s="17" t="n">
        <v>4</v>
      </c>
      <c r="AJ39" s="17" t="n">
        <v>4</v>
      </c>
      <c r="AK39" s="17" t="n">
        <v>7</v>
      </c>
      <c r="AL39" s="17" t="n">
        <v>3</v>
      </c>
      <c r="AM39" s="17" t="n">
        <v>4</v>
      </c>
      <c r="AN39" s="17" t="n">
        <v>4</v>
      </c>
      <c r="AO39" s="17" t="n">
        <v>4</v>
      </c>
      <c r="AP39" s="17" t="n">
        <v>4</v>
      </c>
      <c r="AQ39" s="17" t="n">
        <v>4</v>
      </c>
      <c r="AR39" s="17" t="n">
        <v>5</v>
      </c>
      <c r="AS39" s="17" t="n">
        <v>5</v>
      </c>
      <c r="AT39" s="8">
        <f>SUM(AB39:AS39)</f>
        <v/>
      </c>
      <c r="AU39" s="8">
        <f>AU11</f>
        <v/>
      </c>
      <c r="AV39" s="8">
        <f>AT39-AU39</f>
        <v/>
      </c>
      <c r="AW39" s="8">
        <f>MAX(0,25-AV39)*1.0</f>
        <v/>
      </c>
      <c r="AX39" s="18">
        <f>AA39+AW39</f>
        <v/>
      </c>
    </row>
    <row r="40">
      <c r="A40" s="8" t="n">
        <v>28</v>
      </c>
      <c r="B40" t="inlineStr">
        <is>
          <t>Ashton Everest</t>
        </is>
      </c>
      <c r="C40" s="8" t="inlineStr">
        <is>
          <t>47869</t>
        </is>
      </c>
      <c r="D40" t="inlineStr">
        <is>
          <t>Vilamoura, C. G</t>
        </is>
      </c>
      <c r="E40" s="8" t="n">
        <v>3.9</v>
      </c>
      <c r="F40" s="17" t="n">
        <v>5</v>
      </c>
      <c r="G40" s="17" t="n">
        <v>5</v>
      </c>
      <c r="H40" s="17" t="n">
        <v>4</v>
      </c>
      <c r="I40" s="17" t="n">
        <v>4</v>
      </c>
      <c r="J40" s="17" t="n">
        <v>8</v>
      </c>
      <c r="K40" s="17" t="n">
        <v>5</v>
      </c>
      <c r="L40" s="17" t="n">
        <v>4</v>
      </c>
      <c r="M40" s="17" t="n">
        <v>4</v>
      </c>
      <c r="N40" s="17" t="n">
        <v>4</v>
      </c>
      <c r="O40" s="17" t="n">
        <v>5</v>
      </c>
      <c r="P40" s="17" t="n">
        <v>3</v>
      </c>
      <c r="Q40" s="17" t="n">
        <v>4</v>
      </c>
      <c r="R40" s="17" t="n">
        <v>4</v>
      </c>
      <c r="S40" s="17" t="n">
        <v>5</v>
      </c>
      <c r="T40" s="17" t="n">
        <v>4</v>
      </c>
      <c r="U40" s="17" t="n">
        <v>4</v>
      </c>
      <c r="V40" s="17" t="n">
        <v>3</v>
      </c>
      <c r="W40" s="17" t="n">
        <v>5</v>
      </c>
      <c r="X40" s="8">
        <f>SUM(F40:W40)</f>
        <v/>
      </c>
      <c r="Y40" s="8">
        <f>Y11</f>
        <v/>
      </c>
      <c r="Z40" s="8">
        <f>X40-Y40</f>
        <v/>
      </c>
      <c r="AA40" s="8">
        <f>MAX(0,25-Z40)*1.0</f>
        <v/>
      </c>
      <c r="AB40" s="17" t="n">
        <v>6</v>
      </c>
      <c r="AC40" s="17" t="n">
        <v>3</v>
      </c>
      <c r="AD40" s="17" t="n">
        <v>3</v>
      </c>
      <c r="AE40" s="17" t="n">
        <v>8</v>
      </c>
      <c r="AF40" s="17" t="n">
        <v>6</v>
      </c>
      <c r="AG40" s="17" t="n">
        <v>4</v>
      </c>
      <c r="AH40" s="17" t="n">
        <v>5</v>
      </c>
      <c r="AI40" s="17" t="n">
        <v>3</v>
      </c>
      <c r="AJ40" s="17" t="n">
        <v>5</v>
      </c>
      <c r="AK40" s="17" t="n">
        <v>4</v>
      </c>
      <c r="AL40" s="17" t="n">
        <v>3</v>
      </c>
      <c r="AM40" s="17" t="n">
        <v>5</v>
      </c>
      <c r="AN40" s="17" t="n">
        <v>5</v>
      </c>
      <c r="AO40" s="17" t="n">
        <v>5</v>
      </c>
      <c r="AP40" s="17" t="n">
        <v>4</v>
      </c>
      <c r="AQ40" s="17" t="n">
        <v>3</v>
      </c>
      <c r="AR40" s="17" t="n">
        <v>4</v>
      </c>
      <c r="AS40" s="17" t="n">
        <v>6</v>
      </c>
      <c r="AT40" s="8">
        <f>SUM(AB40:AS40)</f>
        <v/>
      </c>
      <c r="AU40" s="8">
        <f>AU11</f>
        <v/>
      </c>
      <c r="AV40" s="8">
        <f>AT40-AU40</f>
        <v/>
      </c>
      <c r="AW40" s="8">
        <f>MAX(0,25-AV40)*1.0</f>
        <v/>
      </c>
      <c r="AX40" s="18">
        <f>AA40+AW40</f>
        <v/>
      </c>
    </row>
    <row r="41">
      <c r="A41" s="8" t="n">
        <v>29</v>
      </c>
      <c r="B41" t="inlineStr">
        <is>
          <t>Martim Pinto Johansen</t>
        </is>
      </c>
      <c r="C41" s="8" t="inlineStr">
        <is>
          <t>40115</t>
        </is>
      </c>
      <c r="D41" t="inlineStr">
        <is>
          <t>Vilamoura, C. G</t>
        </is>
      </c>
      <c r="E41" s="8" t="n">
        <v>-0.8</v>
      </c>
      <c r="F41" s="17" t="n">
        <v>5</v>
      </c>
      <c r="G41" s="17" t="n">
        <v>4</v>
      </c>
      <c r="H41" s="17" t="n">
        <v>5</v>
      </c>
      <c r="I41" s="17" t="n">
        <v>4</v>
      </c>
      <c r="J41" s="17" t="n">
        <v>5</v>
      </c>
      <c r="K41" s="17" t="n">
        <v>5</v>
      </c>
      <c r="L41" s="17" t="n">
        <v>4</v>
      </c>
      <c r="M41" s="17" t="n">
        <v>4</v>
      </c>
      <c r="N41" s="17" t="n">
        <v>5</v>
      </c>
      <c r="O41" s="17" t="n">
        <v>5</v>
      </c>
      <c r="P41" s="17" t="n">
        <v>3</v>
      </c>
      <c r="Q41" s="17" t="n">
        <v>4</v>
      </c>
      <c r="R41" s="17" t="n">
        <v>6</v>
      </c>
      <c r="S41" s="17" t="n">
        <v>5</v>
      </c>
      <c r="T41" s="17" t="n">
        <v>4</v>
      </c>
      <c r="U41" s="17" t="n">
        <v>3</v>
      </c>
      <c r="V41" s="17" t="n">
        <v>5</v>
      </c>
      <c r="W41" s="17" t="n">
        <v>4</v>
      </c>
      <c r="X41" s="8">
        <f>SUM(F41:W41)</f>
        <v/>
      </c>
      <c r="Y41" s="8">
        <f>Y11</f>
        <v/>
      </c>
      <c r="Z41" s="8">
        <f>X41-Y41</f>
        <v/>
      </c>
      <c r="AA41" s="8">
        <f>MAX(0,25-Z41)*1.0</f>
        <v/>
      </c>
      <c r="AB41" s="17" t="n">
        <v>5</v>
      </c>
      <c r="AC41" s="17" t="n">
        <v>4</v>
      </c>
      <c r="AD41" s="17" t="n">
        <v>3</v>
      </c>
      <c r="AE41" s="17" t="n">
        <v>4</v>
      </c>
      <c r="AF41" s="17" t="n">
        <v>6</v>
      </c>
      <c r="AG41" s="17" t="n">
        <v>3</v>
      </c>
      <c r="AH41" s="17" t="n">
        <v>5</v>
      </c>
      <c r="AI41" s="17" t="n">
        <v>2</v>
      </c>
      <c r="AJ41" s="17" t="n">
        <v>4</v>
      </c>
      <c r="AK41" s="17" t="n">
        <v>4</v>
      </c>
      <c r="AL41" s="17" t="n">
        <v>3</v>
      </c>
      <c r="AM41" s="17" t="n">
        <v>4</v>
      </c>
      <c r="AN41" s="17" t="n">
        <v>5</v>
      </c>
      <c r="AO41" s="17" t="n">
        <v>6</v>
      </c>
      <c r="AP41" s="17" t="n">
        <v>4</v>
      </c>
      <c r="AQ41" s="17" t="n">
        <v>3</v>
      </c>
      <c r="AR41" s="17" t="n">
        <v>4</v>
      </c>
      <c r="AS41" s="17" t="n">
        <v>5</v>
      </c>
      <c r="AT41" s="8">
        <f>SUM(AB41:AS41)</f>
        <v/>
      </c>
      <c r="AU41" s="8">
        <f>AU11</f>
        <v/>
      </c>
      <c r="AV41" s="8">
        <f>AT41-AU41</f>
        <v/>
      </c>
      <c r="AW41" s="8">
        <f>MAX(0,25-AV41)*1.0</f>
        <v/>
      </c>
      <c r="AX41" s="18">
        <f>AA41+AW41</f>
        <v/>
      </c>
    </row>
    <row r="42">
      <c r="A42" s="8" t="n">
        <v>30</v>
      </c>
      <c r="B42" t="inlineStr">
        <is>
          <t>Filipe Pinheiro</t>
        </is>
      </c>
      <c r="C42" s="8" t="inlineStr">
        <is>
          <t>46591</t>
        </is>
      </c>
      <c r="D42" t="inlineStr">
        <is>
          <t>Belas</t>
        </is>
      </c>
      <c r="E42" s="8" t="n">
        <v>3.2</v>
      </c>
      <c r="F42" s="17" t="n">
        <v>6</v>
      </c>
      <c r="G42" s="17" t="n">
        <v>5</v>
      </c>
      <c r="H42" s="17" t="n">
        <v>3</v>
      </c>
      <c r="I42" s="17" t="n">
        <v>4</v>
      </c>
      <c r="J42" s="17" t="n">
        <v>5</v>
      </c>
      <c r="K42" s="17" t="n">
        <v>4</v>
      </c>
      <c r="L42" s="17" t="n">
        <v>5</v>
      </c>
      <c r="M42" s="17" t="n">
        <v>3</v>
      </c>
      <c r="N42" s="17" t="n">
        <v>5</v>
      </c>
      <c r="O42" s="17" t="n">
        <v>5</v>
      </c>
      <c r="P42" s="17" t="n">
        <v>4</v>
      </c>
      <c r="Q42" s="17" t="n">
        <v>5</v>
      </c>
      <c r="R42" s="17" t="n">
        <v>4</v>
      </c>
      <c r="S42" s="17" t="n">
        <v>4</v>
      </c>
      <c r="T42" s="17" t="n">
        <v>4</v>
      </c>
      <c r="U42" s="17" t="n">
        <v>4</v>
      </c>
      <c r="V42" s="17" t="n">
        <v>4</v>
      </c>
      <c r="W42" s="17" t="n">
        <v>6</v>
      </c>
      <c r="X42" s="8">
        <f>SUM(F42:W42)</f>
        <v/>
      </c>
      <c r="Y42" s="8">
        <f>Y11</f>
        <v/>
      </c>
      <c r="Z42" s="8">
        <f>X42-Y42</f>
        <v/>
      </c>
      <c r="AA42" s="8">
        <f>MAX(0,25-Z42)*1.0</f>
        <v/>
      </c>
      <c r="AB42" s="17" t="n">
        <v>6</v>
      </c>
      <c r="AC42" s="17" t="n">
        <v>4</v>
      </c>
      <c r="AD42" s="17" t="n">
        <v>3</v>
      </c>
      <c r="AE42" s="17" t="n">
        <v>4</v>
      </c>
      <c r="AF42" s="17" t="n">
        <v>5</v>
      </c>
      <c r="AG42" s="17" t="n">
        <v>4</v>
      </c>
      <c r="AH42" s="17" t="n">
        <v>4</v>
      </c>
      <c r="AI42" s="17" t="n">
        <v>3</v>
      </c>
      <c r="AJ42" s="17" t="n">
        <v>4</v>
      </c>
      <c r="AK42" s="17" t="n">
        <v>5</v>
      </c>
      <c r="AL42" s="17" t="n">
        <v>3</v>
      </c>
      <c r="AM42" s="17" t="n">
        <v>4</v>
      </c>
      <c r="AN42" s="17" t="n">
        <v>6</v>
      </c>
      <c r="AO42" s="17" t="n">
        <v>5</v>
      </c>
      <c r="AP42" s="17" t="n">
        <v>5</v>
      </c>
      <c r="AQ42" s="17" t="n">
        <v>4</v>
      </c>
      <c r="AR42" s="17" t="n">
        <v>5</v>
      </c>
      <c r="AS42" s="17" t="n">
        <v>4</v>
      </c>
      <c r="AT42" s="8">
        <f>SUM(AB42:AS42)</f>
        <v/>
      </c>
      <c r="AU42" s="8">
        <f>AU11</f>
        <v/>
      </c>
      <c r="AV42" s="8">
        <f>AT42-AU42</f>
        <v/>
      </c>
      <c r="AW42" s="8">
        <f>MAX(0,25-AV42)*1.0</f>
        <v/>
      </c>
      <c r="AX42" s="18">
        <f>AA42+AW42</f>
        <v/>
      </c>
    </row>
    <row r="43">
      <c r="A43" s="8" t="n">
        <v>31</v>
      </c>
      <c r="B43" t="inlineStr">
        <is>
          <t>Eva Silva</t>
        </is>
      </c>
      <c r="C43" s="8" t="inlineStr">
        <is>
          <t>46437</t>
        </is>
      </c>
      <c r="D43" t="inlineStr">
        <is>
          <t>Oporto</t>
        </is>
      </c>
      <c r="E43" s="8" t="n">
        <v>1.4</v>
      </c>
      <c r="F43" s="17" t="n">
        <v>5</v>
      </c>
      <c r="G43" s="17" t="n">
        <v>4</v>
      </c>
      <c r="H43" s="17" t="n">
        <v>3</v>
      </c>
      <c r="I43" s="17" t="n">
        <v>4</v>
      </c>
      <c r="J43" s="17" t="n">
        <v>4</v>
      </c>
      <c r="K43" s="17" t="n">
        <v>5</v>
      </c>
      <c r="L43" s="17" t="n">
        <v>5</v>
      </c>
      <c r="M43" s="17" t="n">
        <v>3</v>
      </c>
      <c r="N43" s="17" t="n">
        <v>5</v>
      </c>
      <c r="O43" s="17" t="n">
        <v>4</v>
      </c>
      <c r="P43" s="17" t="n">
        <v>2</v>
      </c>
      <c r="Q43" s="17" t="n">
        <v>6</v>
      </c>
      <c r="R43" s="17" t="n">
        <v>6</v>
      </c>
      <c r="S43" s="17" t="n">
        <v>5</v>
      </c>
      <c r="T43" s="17" t="n">
        <v>5</v>
      </c>
      <c r="U43" s="17" t="n">
        <v>3</v>
      </c>
      <c r="V43" s="17" t="n">
        <v>5</v>
      </c>
      <c r="W43" s="17" t="n">
        <v>6</v>
      </c>
      <c r="X43" s="8">
        <f>SUM(F43:W43)</f>
        <v/>
      </c>
      <c r="Y43" s="8">
        <f>Y11</f>
        <v/>
      </c>
      <c r="Z43" s="8">
        <f>X43-Y43</f>
        <v/>
      </c>
      <c r="AA43" s="8">
        <f>MAX(0,25-Z43)*1.0</f>
        <v/>
      </c>
      <c r="AB43" s="17" t="n">
        <v>5</v>
      </c>
      <c r="AC43" s="17" t="n">
        <v>5</v>
      </c>
      <c r="AD43" s="17" t="n">
        <v>4</v>
      </c>
      <c r="AE43" s="17" t="n">
        <v>4</v>
      </c>
      <c r="AF43" s="17" t="n">
        <v>6</v>
      </c>
      <c r="AG43" s="17" t="n">
        <v>4</v>
      </c>
      <c r="AH43" s="17" t="n">
        <v>4</v>
      </c>
      <c r="AI43" s="17" t="n">
        <v>5</v>
      </c>
      <c r="AJ43" s="17" t="n">
        <v>6</v>
      </c>
      <c r="AK43" s="17" t="n">
        <v>7</v>
      </c>
      <c r="AL43" s="17" t="n">
        <v>4</v>
      </c>
      <c r="AM43" s="17" t="n">
        <v>4</v>
      </c>
      <c r="AN43" s="17" t="n">
        <v>6</v>
      </c>
      <c r="AO43" s="17" t="n">
        <v>5</v>
      </c>
      <c r="AP43" s="17" t="n">
        <v>5</v>
      </c>
      <c r="AQ43" s="17" t="n">
        <v>4</v>
      </c>
      <c r="AR43" s="17" t="n">
        <v>4</v>
      </c>
      <c r="AS43" s="17" t="n">
        <v>4</v>
      </c>
      <c r="AT43" s="8">
        <f>SUM(AB43:AS43)</f>
        <v/>
      </c>
      <c r="AU43" s="8">
        <f>AU11</f>
        <v/>
      </c>
      <c r="AV43" s="8">
        <f>AT43-AU43</f>
        <v/>
      </c>
      <c r="AW43" s="8">
        <f>MAX(0,25-AV43)*1.0</f>
        <v/>
      </c>
      <c r="AX43" s="18">
        <f>AA43+AW43</f>
        <v/>
      </c>
    </row>
    <row r="44">
      <c r="A44" s="8" t="n">
        <v>32</v>
      </c>
      <c r="B44" t="inlineStr">
        <is>
          <t>Maria Francisca Santos</t>
        </is>
      </c>
      <c r="C44" s="8" t="inlineStr">
        <is>
          <t>46853</t>
        </is>
      </c>
      <c r="D44" t="inlineStr">
        <is>
          <t>Oporto</t>
        </is>
      </c>
      <c r="E44" s="8" t="n">
        <v>4.4</v>
      </c>
      <c r="F44" s="17" t="n">
        <v>6</v>
      </c>
      <c r="G44" s="17" t="n">
        <v>4</v>
      </c>
      <c r="H44" s="17" t="n">
        <v>3</v>
      </c>
      <c r="I44" s="17" t="n">
        <v>4</v>
      </c>
      <c r="J44" s="17" t="n">
        <v>5</v>
      </c>
      <c r="K44" s="17" t="n">
        <v>6</v>
      </c>
      <c r="L44" s="17" t="n">
        <v>5</v>
      </c>
      <c r="M44" s="17" t="n">
        <v>7</v>
      </c>
      <c r="N44" s="17" t="n">
        <v>5</v>
      </c>
      <c r="O44" s="17" t="n">
        <v>4</v>
      </c>
      <c r="P44" s="17" t="n">
        <v>3</v>
      </c>
      <c r="Q44" s="17" t="n">
        <v>5</v>
      </c>
      <c r="R44" s="17" t="n">
        <v>5</v>
      </c>
      <c r="S44" s="17" t="n">
        <v>3</v>
      </c>
      <c r="T44" s="17" t="n">
        <v>4</v>
      </c>
      <c r="U44" s="17" t="n">
        <v>3</v>
      </c>
      <c r="V44" s="17" t="n">
        <v>4</v>
      </c>
      <c r="W44" s="17" t="n">
        <v>5</v>
      </c>
      <c r="X44" s="8">
        <f>SUM(F44:W44)</f>
        <v/>
      </c>
      <c r="Y44" s="8">
        <f>Y11</f>
        <v/>
      </c>
      <c r="Z44" s="8">
        <f>X44-Y44</f>
        <v/>
      </c>
      <c r="AA44" s="8">
        <f>MAX(0,25-Z44)*1.0</f>
        <v/>
      </c>
      <c r="AB44" s="17" t="n">
        <v>6</v>
      </c>
      <c r="AC44" s="17" t="n">
        <v>5</v>
      </c>
      <c r="AD44" s="17" t="n">
        <v>4</v>
      </c>
      <c r="AE44" s="17" t="n">
        <v>6</v>
      </c>
      <c r="AF44" s="17" t="n">
        <v>5</v>
      </c>
      <c r="AG44" s="17" t="n">
        <v>5</v>
      </c>
      <c r="AH44" s="17" t="n">
        <v>5</v>
      </c>
      <c r="AI44" s="17" t="n">
        <v>3</v>
      </c>
      <c r="AJ44" s="17" t="n">
        <v>5</v>
      </c>
      <c r="AK44" s="17" t="n">
        <v>6</v>
      </c>
      <c r="AL44" s="17" t="n">
        <v>3</v>
      </c>
      <c r="AM44" s="17" t="n">
        <v>3</v>
      </c>
      <c r="AN44" s="17" t="n">
        <v>7</v>
      </c>
      <c r="AO44" s="17" t="n">
        <v>4</v>
      </c>
      <c r="AP44" s="17" t="n">
        <v>4</v>
      </c>
      <c r="AQ44" s="17" t="n">
        <v>4</v>
      </c>
      <c r="AR44" s="17" t="n">
        <v>5</v>
      </c>
      <c r="AS44" s="17" t="n">
        <v>5</v>
      </c>
      <c r="AT44" s="8">
        <f>SUM(AB44:AS44)</f>
        <v/>
      </c>
      <c r="AU44" s="8">
        <f>AU11</f>
        <v/>
      </c>
      <c r="AV44" s="8">
        <f>AT44-AU44</f>
        <v/>
      </c>
      <c r="AW44" s="8">
        <f>MAX(0,25-AV44)*1.0</f>
        <v/>
      </c>
      <c r="AX44" s="18">
        <f>AA44+AW44</f>
        <v/>
      </c>
    </row>
    <row r="45">
      <c r="A45" s="8" t="n">
        <v>33</v>
      </c>
      <c r="B45" t="inlineStr">
        <is>
          <t>Matteo Balzer</t>
        </is>
      </c>
      <c r="C45" s="8" t="inlineStr">
        <is>
          <t>44406</t>
        </is>
      </c>
      <c r="D45" t="inlineStr">
        <is>
          <t>Amendoeira</t>
        </is>
      </c>
      <c r="E45" s="8" t="n">
        <v>3.3</v>
      </c>
      <c r="F45" s="17" t="n">
        <v>5</v>
      </c>
      <c r="G45" s="17" t="n">
        <v>4</v>
      </c>
      <c r="H45" s="17" t="n">
        <v>4</v>
      </c>
      <c r="I45" s="17" t="n">
        <v>5</v>
      </c>
      <c r="J45" s="17" t="n">
        <v>7</v>
      </c>
      <c r="K45" s="17" t="n">
        <v>5</v>
      </c>
      <c r="L45" s="17" t="n">
        <v>5</v>
      </c>
      <c r="M45" s="17" t="n">
        <v>4</v>
      </c>
      <c r="N45" s="17" t="n">
        <v>5</v>
      </c>
      <c r="O45" s="17" t="n">
        <v>4</v>
      </c>
      <c r="P45" s="17" t="n">
        <v>3</v>
      </c>
      <c r="Q45" s="17" t="n">
        <v>4</v>
      </c>
      <c r="R45" s="17" t="n">
        <v>4</v>
      </c>
      <c r="S45" s="17" t="n">
        <v>4</v>
      </c>
      <c r="T45" s="17" t="n">
        <v>4</v>
      </c>
      <c r="U45" s="17" t="n">
        <v>3</v>
      </c>
      <c r="V45" s="17" t="n">
        <v>6</v>
      </c>
      <c r="W45" s="17" t="n">
        <v>5</v>
      </c>
      <c r="X45" s="8">
        <f>SUM(F45:W45)</f>
        <v/>
      </c>
      <c r="Y45" s="8">
        <f>Y11</f>
        <v/>
      </c>
      <c r="Z45" s="8">
        <f>X45-Y45</f>
        <v/>
      </c>
      <c r="AA45" s="8">
        <f>MAX(0,25-Z45)*1.0</f>
        <v/>
      </c>
      <c r="AB45" s="17" t="n">
        <v>6</v>
      </c>
      <c r="AC45" s="17" t="n">
        <v>4</v>
      </c>
      <c r="AD45" s="17" t="n">
        <v>4</v>
      </c>
      <c r="AE45" s="17" t="n">
        <v>4</v>
      </c>
      <c r="AF45" s="17" t="n">
        <v>6</v>
      </c>
      <c r="AG45" s="17" t="n">
        <v>6</v>
      </c>
      <c r="AH45" s="17" t="n">
        <v>5</v>
      </c>
      <c r="AI45" s="17" t="n">
        <v>4</v>
      </c>
      <c r="AJ45" s="17" t="n">
        <v>6</v>
      </c>
      <c r="AK45" s="17" t="n">
        <v>6</v>
      </c>
      <c r="AL45" s="17" t="n">
        <v>4</v>
      </c>
      <c r="AM45" s="17" t="n">
        <v>4</v>
      </c>
      <c r="AN45" s="17" t="n">
        <v>5</v>
      </c>
      <c r="AO45" s="17" t="n">
        <v>4</v>
      </c>
      <c r="AP45" s="17" t="n">
        <v>4</v>
      </c>
      <c r="AQ45" s="17" t="n">
        <v>4</v>
      </c>
      <c r="AR45" s="17" t="n">
        <v>5</v>
      </c>
      <c r="AS45" s="17" t="n">
        <v>6</v>
      </c>
      <c r="AT45" s="8">
        <f>SUM(AB45:AS45)</f>
        <v/>
      </c>
      <c r="AU45" s="8">
        <f>AU11</f>
        <v/>
      </c>
      <c r="AV45" s="8">
        <f>AT45-AU45</f>
        <v/>
      </c>
      <c r="AW45" s="8">
        <f>MAX(0,25-AV45)*1.0</f>
        <v/>
      </c>
      <c r="AX45" s="18">
        <f>AA45+AW45</f>
        <v/>
      </c>
    </row>
    <row r="46">
      <c r="A46" s="8" t="n">
        <v>34</v>
      </c>
      <c r="B46" t="inlineStr">
        <is>
          <t>Rodrigo Marques Santos</t>
        </is>
      </c>
      <c r="C46" s="8" t="inlineStr">
        <is>
          <t>37152</t>
        </is>
      </c>
      <c r="D46" t="inlineStr">
        <is>
          <t>Vilamoura, C. G</t>
        </is>
      </c>
      <c r="E46" s="8" t="n">
        <v>-1.6</v>
      </c>
      <c r="F46" s="17" t="n">
        <v>5</v>
      </c>
      <c r="G46" s="17" t="n">
        <v>4</v>
      </c>
      <c r="H46" s="17" t="n">
        <v>3</v>
      </c>
      <c r="I46" s="17" t="n">
        <v>4</v>
      </c>
      <c r="J46" s="17" t="n">
        <v>7</v>
      </c>
      <c r="K46" s="17" t="n">
        <v>5</v>
      </c>
      <c r="L46" s="17" t="n">
        <v>5</v>
      </c>
      <c r="M46" s="17" t="n">
        <v>5</v>
      </c>
      <c r="N46" s="17" t="n">
        <v>4</v>
      </c>
      <c r="O46" s="17" t="n">
        <v>5</v>
      </c>
      <c r="P46" s="17" t="n">
        <v>4</v>
      </c>
      <c r="Q46" s="17" t="n">
        <v>5</v>
      </c>
      <c r="R46" s="17" t="n">
        <v>5</v>
      </c>
      <c r="S46" s="17" t="n">
        <v>4</v>
      </c>
      <c r="T46" s="17" t="n">
        <v>4</v>
      </c>
      <c r="U46" s="17" t="n">
        <v>4</v>
      </c>
      <c r="V46" s="17" t="n">
        <v>3</v>
      </c>
      <c r="W46" s="17" t="n">
        <v>5</v>
      </c>
      <c r="X46" s="8">
        <f>SUM(F46:W46)</f>
        <v/>
      </c>
      <c r="Y46" s="8">
        <f>Y11</f>
        <v/>
      </c>
      <c r="Z46" s="8">
        <f>X46-Y46</f>
        <v/>
      </c>
      <c r="AA46" s="8">
        <f>MAX(0,25-Z46)*1.0</f>
        <v/>
      </c>
      <c r="AB46" s="17" t="n">
        <v>5</v>
      </c>
      <c r="AC46" s="17" t="n">
        <v>4</v>
      </c>
      <c r="AD46" s="17" t="n">
        <v>4</v>
      </c>
      <c r="AE46" s="17" t="n">
        <v>6</v>
      </c>
      <c r="AF46" s="17" t="n">
        <v>5</v>
      </c>
      <c r="AG46" s="17" t="n">
        <v>4</v>
      </c>
      <c r="AH46" s="17" t="n">
        <v>5</v>
      </c>
      <c r="AI46" s="17" t="n">
        <v>4</v>
      </c>
      <c r="AJ46" s="17" t="n">
        <v>4</v>
      </c>
      <c r="AK46" s="17" t="n">
        <v>5</v>
      </c>
      <c r="AL46" s="17" t="n">
        <v>4</v>
      </c>
      <c r="AM46" s="17" t="n">
        <v>3</v>
      </c>
      <c r="AN46" s="17" t="n">
        <v>5</v>
      </c>
      <c r="AO46" s="17" t="n">
        <v>4</v>
      </c>
      <c r="AP46" s="17" t="n">
        <v>5</v>
      </c>
      <c r="AQ46" s="17" t="n">
        <v>3</v>
      </c>
      <c r="AR46" s="17" t="n">
        <v>4</v>
      </c>
      <c r="AS46" s="17" t="n">
        <v>5</v>
      </c>
      <c r="AT46" s="8">
        <f>SUM(AB46:AS46)</f>
        <v/>
      </c>
      <c r="AU46" s="8">
        <f>AU11</f>
        <v/>
      </c>
      <c r="AV46" s="8">
        <f>AT46-AU46</f>
        <v/>
      </c>
      <c r="AW46" s="8">
        <f>MAX(0,25-AV46)*1.0</f>
        <v/>
      </c>
      <c r="AX46" s="18">
        <f>AA46+AW46</f>
        <v/>
      </c>
    </row>
    <row r="47">
      <c r="A47" s="8" t="n">
        <v>35</v>
      </c>
      <c r="B47" t="inlineStr">
        <is>
          <t>Laura Santos</t>
        </is>
      </c>
      <c r="C47" s="8" t="inlineStr">
        <is>
          <t>45393</t>
        </is>
      </c>
      <c r="D47" t="inlineStr">
        <is>
          <t>PXO Clube</t>
        </is>
      </c>
      <c r="E47" s="8" t="n">
        <v>2.5</v>
      </c>
      <c r="F47" s="17" t="n">
        <v>5</v>
      </c>
      <c r="G47" s="17" t="n">
        <v>4</v>
      </c>
      <c r="H47" s="17" t="n">
        <v>6</v>
      </c>
      <c r="I47" s="17" t="n">
        <v>5</v>
      </c>
      <c r="J47" s="17" t="n">
        <v>5</v>
      </c>
      <c r="K47" s="17" t="n">
        <v>5</v>
      </c>
      <c r="L47" s="17" t="n">
        <v>3</v>
      </c>
      <c r="M47" s="17" t="n">
        <v>3</v>
      </c>
      <c r="N47" s="17" t="n">
        <v>5</v>
      </c>
      <c r="O47" s="17" t="n">
        <v>5</v>
      </c>
      <c r="P47" s="17" t="n">
        <v>4</v>
      </c>
      <c r="Q47" s="17" t="n">
        <v>4</v>
      </c>
      <c r="R47" s="17" t="n">
        <v>5</v>
      </c>
      <c r="S47" s="17" t="n">
        <v>4</v>
      </c>
      <c r="T47" s="17" t="n">
        <v>4</v>
      </c>
      <c r="U47" s="17" t="n">
        <v>3</v>
      </c>
      <c r="V47" s="17" t="n">
        <v>5</v>
      </c>
      <c r="W47" s="17" t="n">
        <v>6</v>
      </c>
      <c r="X47" s="8">
        <f>SUM(F47:W47)</f>
        <v/>
      </c>
      <c r="Y47" s="8">
        <f>Y11</f>
        <v/>
      </c>
      <c r="Z47" s="8">
        <f>X47-Y47</f>
        <v/>
      </c>
      <c r="AA47" s="8">
        <f>MAX(0,25-Z47)*1.0</f>
        <v/>
      </c>
      <c r="AB47" s="17" t="n">
        <v>4</v>
      </c>
      <c r="AC47" s="17" t="n">
        <v>4</v>
      </c>
      <c r="AD47" s="17" t="n">
        <v>4</v>
      </c>
      <c r="AE47" s="17" t="n">
        <v>4</v>
      </c>
      <c r="AF47" s="17" t="n">
        <v>5</v>
      </c>
      <c r="AG47" s="17" t="n">
        <v>5</v>
      </c>
      <c r="AH47" s="17" t="n">
        <v>4</v>
      </c>
      <c r="AI47" s="17" t="n">
        <v>6</v>
      </c>
      <c r="AJ47" s="17" t="n">
        <v>5</v>
      </c>
      <c r="AK47" s="17" t="n">
        <v>5</v>
      </c>
      <c r="AL47" s="17" t="n">
        <v>3</v>
      </c>
      <c r="AM47" s="17" t="n">
        <v>5</v>
      </c>
      <c r="AN47" s="17" t="n">
        <v>5</v>
      </c>
      <c r="AO47" s="17" t="n">
        <v>4</v>
      </c>
      <c r="AP47" s="17" t="n">
        <v>5</v>
      </c>
      <c r="AQ47" s="17" t="n">
        <v>4</v>
      </c>
      <c r="AR47" s="17" t="n">
        <v>6</v>
      </c>
      <c r="AS47" s="17" t="n">
        <v>5</v>
      </c>
      <c r="AT47" s="8">
        <f>SUM(AB47:AS47)</f>
        <v/>
      </c>
      <c r="AU47" s="8">
        <f>AU11</f>
        <v/>
      </c>
      <c r="AV47" s="8">
        <f>AT47-AU47</f>
        <v/>
      </c>
      <c r="AW47" s="8">
        <f>MAX(0,25-AV47)*1.0</f>
        <v/>
      </c>
      <c r="AX47" s="18">
        <f>AA47+AW47</f>
        <v/>
      </c>
    </row>
    <row r="48">
      <c r="A48" s="8" t="n">
        <v>36</v>
      </c>
      <c r="B48" t="inlineStr">
        <is>
          <t>Pedro Costa Alemão</t>
        </is>
      </c>
      <c r="C48" s="8" t="inlineStr">
        <is>
          <t>46706</t>
        </is>
      </c>
      <c r="D48" t="inlineStr">
        <is>
          <t>Estoril</t>
        </is>
      </c>
      <c r="E48" s="8" t="n">
        <v>4</v>
      </c>
      <c r="F48" s="17" t="n">
        <v>5</v>
      </c>
      <c r="G48" s="17" t="n">
        <v>4</v>
      </c>
      <c r="H48" s="17" t="n">
        <v>2</v>
      </c>
      <c r="I48" s="17" t="n">
        <v>4</v>
      </c>
      <c r="J48" s="17" t="n">
        <v>6</v>
      </c>
      <c r="K48" s="17" t="n">
        <v>6</v>
      </c>
      <c r="L48" s="17" t="n">
        <v>5</v>
      </c>
      <c r="M48" s="17" t="n">
        <v>4</v>
      </c>
      <c r="N48" s="17" t="n">
        <v>4</v>
      </c>
      <c r="O48" s="17" t="n">
        <v>5</v>
      </c>
      <c r="P48" s="17" t="n">
        <v>3</v>
      </c>
      <c r="Q48" s="17" t="n">
        <v>5</v>
      </c>
      <c r="R48" s="17" t="n">
        <v>6</v>
      </c>
      <c r="S48" s="17" t="n">
        <v>4</v>
      </c>
      <c r="T48" s="17" t="n">
        <v>4</v>
      </c>
      <c r="U48" s="17" t="n">
        <v>3</v>
      </c>
      <c r="V48" s="17" t="n">
        <v>4</v>
      </c>
      <c r="W48" s="17" t="n">
        <v>7</v>
      </c>
      <c r="X48" s="8">
        <f>SUM(F48:W48)</f>
        <v/>
      </c>
      <c r="Y48" s="8">
        <f>Y11</f>
        <v/>
      </c>
      <c r="Z48" s="8">
        <f>X48-Y48</f>
        <v/>
      </c>
      <c r="AA48" s="8">
        <f>MAX(0,25-Z48)*1.0</f>
        <v/>
      </c>
      <c r="AB48" s="17" t="n">
        <v>5</v>
      </c>
      <c r="AC48" s="17" t="n">
        <v>4</v>
      </c>
      <c r="AD48" s="17" t="n">
        <v>3</v>
      </c>
      <c r="AE48" s="17" t="n">
        <v>6</v>
      </c>
      <c r="AF48" s="17" t="n">
        <v>5</v>
      </c>
      <c r="AG48" s="17" t="n">
        <v>4</v>
      </c>
      <c r="AH48" s="17" t="n">
        <v>6</v>
      </c>
      <c r="AI48" s="17" t="n">
        <v>5</v>
      </c>
      <c r="AJ48" s="17" t="n">
        <v>4</v>
      </c>
      <c r="AK48" s="17" t="n">
        <v>5</v>
      </c>
      <c r="AL48" s="17" t="n">
        <v>4</v>
      </c>
      <c r="AM48" s="17" t="n">
        <v>4</v>
      </c>
      <c r="AN48" s="17" t="n">
        <v>4</v>
      </c>
      <c r="AO48" s="17" t="n">
        <v>5</v>
      </c>
      <c r="AP48" s="17" t="n">
        <v>4</v>
      </c>
      <c r="AQ48" s="17" t="n">
        <v>4</v>
      </c>
      <c r="AR48" s="17" t="n">
        <v>5</v>
      </c>
      <c r="AS48" s="17" t="n">
        <v>5</v>
      </c>
      <c r="AT48" s="8">
        <f>SUM(AB48:AS48)</f>
        <v/>
      </c>
      <c r="AU48" s="8">
        <f>AU11</f>
        <v/>
      </c>
      <c r="AV48" s="8">
        <f>AT48-AU48</f>
        <v/>
      </c>
      <c r="AW48" s="8">
        <f>MAX(0,25-AV48)*1.0</f>
        <v/>
      </c>
      <c r="AX48" s="18">
        <f>AA48+AW48</f>
        <v/>
      </c>
    </row>
    <row r="49">
      <c r="A49" s="8" t="n">
        <v>37</v>
      </c>
      <c r="B49" t="inlineStr">
        <is>
          <t>Duarte Soares Franco</t>
        </is>
      </c>
      <c r="C49" s="8" t="inlineStr">
        <is>
          <t>48531</t>
        </is>
      </c>
      <c r="D49" t="inlineStr">
        <is>
          <t>Estoril</t>
        </is>
      </c>
      <c r="E49" s="8" t="n">
        <v>8.300000000000001</v>
      </c>
      <c r="F49" s="17" t="n">
        <v>5</v>
      </c>
      <c r="G49" s="17" t="n">
        <v>4</v>
      </c>
      <c r="H49" s="17" t="n">
        <v>4</v>
      </c>
      <c r="I49" s="17" t="n">
        <v>6</v>
      </c>
      <c r="J49" s="17" t="n">
        <v>6</v>
      </c>
      <c r="K49" s="17" t="n">
        <v>5</v>
      </c>
      <c r="L49" s="17" t="n">
        <v>6</v>
      </c>
      <c r="M49" s="17" t="n">
        <v>5</v>
      </c>
      <c r="N49" s="17" t="n">
        <v>4</v>
      </c>
      <c r="O49" s="17" t="n">
        <v>5</v>
      </c>
      <c r="P49" s="17" t="n">
        <v>3</v>
      </c>
      <c r="Q49" s="17" t="n">
        <v>3</v>
      </c>
      <c r="R49" s="17" t="n">
        <v>6</v>
      </c>
      <c r="S49" s="17" t="n">
        <v>4</v>
      </c>
      <c r="T49" s="17" t="n">
        <v>4</v>
      </c>
      <c r="U49" s="17" t="n">
        <v>4</v>
      </c>
      <c r="V49" s="17" t="n">
        <v>3</v>
      </c>
      <c r="W49" s="17" t="n">
        <v>5</v>
      </c>
      <c r="X49" s="8">
        <f>SUM(F49:W49)</f>
        <v/>
      </c>
      <c r="Y49" s="8">
        <f>Y11</f>
        <v/>
      </c>
      <c r="Z49" s="8">
        <f>X49-Y49</f>
        <v/>
      </c>
      <c r="AA49" s="8">
        <f>MAX(0,25-Z49)*1.0</f>
        <v/>
      </c>
      <c r="AB49" s="17" t="n">
        <v>6</v>
      </c>
      <c r="AC49" s="17" t="n">
        <v>4</v>
      </c>
      <c r="AD49" s="17" t="n">
        <v>4</v>
      </c>
      <c r="AE49" s="17" t="n">
        <v>5</v>
      </c>
      <c r="AF49" s="17" t="n">
        <v>5</v>
      </c>
      <c r="AG49" s="17" t="n">
        <v>4</v>
      </c>
      <c r="AH49" s="17" t="n">
        <v>6</v>
      </c>
      <c r="AI49" s="17" t="n">
        <v>4</v>
      </c>
      <c r="AJ49" s="17" t="n">
        <v>5</v>
      </c>
      <c r="AK49" s="17" t="n">
        <v>5</v>
      </c>
      <c r="AL49" s="17" t="n">
        <v>4</v>
      </c>
      <c r="AM49" s="17" t="n">
        <v>5</v>
      </c>
      <c r="AN49" s="17" t="n">
        <v>6</v>
      </c>
      <c r="AO49" s="17" t="n">
        <v>5</v>
      </c>
      <c r="AP49" s="17" t="n">
        <v>4</v>
      </c>
      <c r="AQ49" s="17" t="n">
        <v>4</v>
      </c>
      <c r="AR49" s="17" t="n">
        <v>5</v>
      </c>
      <c r="AS49" s="17" t="n">
        <v>7</v>
      </c>
      <c r="AT49" s="8">
        <f>SUM(AB49:AS49)</f>
        <v/>
      </c>
      <c r="AU49" s="8">
        <f>AU11</f>
        <v/>
      </c>
      <c r="AV49" s="8">
        <f>AT49-AU49</f>
        <v/>
      </c>
      <c r="AW49" s="8">
        <f>MAX(0,25-AV49)*1.0</f>
        <v/>
      </c>
      <c r="AX49" s="18">
        <f>AA49+AW49</f>
        <v/>
      </c>
    </row>
    <row r="50">
      <c r="A50" s="8" t="n">
        <v>38</v>
      </c>
      <c r="B50" t="inlineStr">
        <is>
          <t>Matilde Leal Gouveia</t>
        </is>
      </c>
      <c r="C50" s="8" t="inlineStr">
        <is>
          <t>41131</t>
        </is>
      </c>
      <c r="D50" t="inlineStr">
        <is>
          <t>Santo da Serra</t>
        </is>
      </c>
      <c r="E50" s="8" t="n">
        <v>3.5</v>
      </c>
      <c r="F50" s="17" t="n">
        <v>6</v>
      </c>
      <c r="G50" s="17" t="n">
        <v>4</v>
      </c>
      <c r="H50" s="17" t="n">
        <v>4</v>
      </c>
      <c r="I50" s="17" t="n">
        <v>4</v>
      </c>
      <c r="J50" s="17" t="n">
        <v>6</v>
      </c>
      <c r="K50" s="17" t="n">
        <v>6</v>
      </c>
      <c r="L50" s="17" t="n">
        <v>5</v>
      </c>
      <c r="M50" s="17" t="n">
        <v>3</v>
      </c>
      <c r="N50" s="17" t="n">
        <v>4</v>
      </c>
      <c r="O50" s="17" t="n">
        <v>6</v>
      </c>
      <c r="P50" s="17" t="n">
        <v>3</v>
      </c>
      <c r="Q50" s="17" t="n">
        <v>4</v>
      </c>
      <c r="R50" s="17" t="n">
        <v>6</v>
      </c>
      <c r="S50" s="17" t="n">
        <v>4</v>
      </c>
      <c r="T50" s="17" t="n">
        <v>4</v>
      </c>
      <c r="U50" s="17" t="n">
        <v>4</v>
      </c>
      <c r="V50" s="17" t="n">
        <v>4</v>
      </c>
      <c r="W50" s="17" t="n">
        <v>5</v>
      </c>
      <c r="X50" s="8">
        <f>SUM(F50:W50)</f>
        <v/>
      </c>
      <c r="Y50" s="8">
        <f>Y11</f>
        <v/>
      </c>
      <c r="Z50" s="8">
        <f>X50-Y50</f>
        <v/>
      </c>
      <c r="AA50" s="8">
        <f>MAX(0,25-Z50)*1.0</f>
        <v/>
      </c>
      <c r="AB50" s="17" t="n">
        <v>6</v>
      </c>
      <c r="AC50" s="17" t="n">
        <v>5</v>
      </c>
      <c r="AD50" s="17" t="n">
        <v>4</v>
      </c>
      <c r="AE50" s="17" t="n">
        <v>4</v>
      </c>
      <c r="AF50" s="17" t="n">
        <v>5</v>
      </c>
      <c r="AG50" s="17" t="n">
        <v>6</v>
      </c>
      <c r="AH50" s="17" t="n">
        <v>3</v>
      </c>
      <c r="AI50" s="17" t="n">
        <v>4</v>
      </c>
      <c r="AJ50" s="17" t="n">
        <v>6</v>
      </c>
      <c r="AK50" s="17" t="n">
        <v>5</v>
      </c>
      <c r="AL50" s="17" t="n">
        <v>3</v>
      </c>
      <c r="AM50" s="17" t="n">
        <v>4</v>
      </c>
      <c r="AN50" s="17" t="n">
        <v>8</v>
      </c>
      <c r="AO50" s="17" t="n">
        <v>5</v>
      </c>
      <c r="AP50" s="17" t="n">
        <v>5</v>
      </c>
      <c r="AQ50" s="17" t="n">
        <v>3</v>
      </c>
      <c r="AR50" s="17" t="n">
        <v>4</v>
      </c>
      <c r="AS50" s="17" t="n">
        <v>4</v>
      </c>
      <c r="AT50" s="8">
        <f>SUM(AB50:AS50)</f>
        <v/>
      </c>
      <c r="AU50" s="8">
        <f>AU11</f>
        <v/>
      </c>
      <c r="AV50" s="8">
        <f>AT50-AU50</f>
        <v/>
      </c>
      <c r="AW50" s="8">
        <f>MAX(0,25-AV50)*1.0</f>
        <v/>
      </c>
      <c r="AX50" s="18">
        <f>AA50+AW50</f>
        <v/>
      </c>
    </row>
    <row r="51">
      <c r="A51" s="8" t="n">
        <v>39</v>
      </c>
      <c r="B51" t="inlineStr">
        <is>
          <t>Rodrigo Sousa Correia</t>
        </is>
      </c>
      <c r="C51" s="8" t="inlineStr">
        <is>
          <t>44934</t>
        </is>
      </c>
      <c r="D51" t="inlineStr">
        <is>
          <t>Vilamoura, C. G</t>
        </is>
      </c>
      <c r="E51" s="8" t="n">
        <v>3.3</v>
      </c>
      <c r="F51" s="17" t="n">
        <v>5</v>
      </c>
      <c r="G51" s="17" t="n">
        <v>5</v>
      </c>
      <c r="H51" s="17" t="n">
        <v>5</v>
      </c>
      <c r="I51" s="17" t="n">
        <v>5</v>
      </c>
      <c r="J51" s="17" t="n">
        <v>4</v>
      </c>
      <c r="K51" s="17" t="n">
        <v>5</v>
      </c>
      <c r="L51" s="17" t="n">
        <v>4</v>
      </c>
      <c r="M51" s="17" t="n">
        <v>4</v>
      </c>
      <c r="N51" s="17" t="n">
        <v>5</v>
      </c>
      <c r="O51" s="17" t="n">
        <v>5</v>
      </c>
      <c r="P51" s="17" t="n">
        <v>4</v>
      </c>
      <c r="Q51" s="17" t="n">
        <v>4</v>
      </c>
      <c r="R51" s="17" t="n">
        <v>5</v>
      </c>
      <c r="S51" s="17" t="n">
        <v>4</v>
      </c>
      <c r="T51" s="17" t="n">
        <v>4</v>
      </c>
      <c r="U51" s="17" t="n">
        <v>5</v>
      </c>
      <c r="V51" s="17" t="n">
        <v>4</v>
      </c>
      <c r="W51" s="17" t="n">
        <v>5</v>
      </c>
      <c r="X51" s="8">
        <f>SUM(F51:W51)</f>
        <v/>
      </c>
      <c r="Y51" s="8">
        <f>Y11</f>
        <v/>
      </c>
      <c r="Z51" s="8">
        <f>X51-Y51</f>
        <v/>
      </c>
      <c r="AA51" s="8">
        <f>MAX(0,25-Z51)*1.0</f>
        <v/>
      </c>
      <c r="AB51" s="17" t="n">
        <v>6</v>
      </c>
      <c r="AC51" s="17" t="n">
        <v>4</v>
      </c>
      <c r="AD51" s="17" t="n">
        <v>3</v>
      </c>
      <c r="AE51" s="17" t="n">
        <v>5</v>
      </c>
      <c r="AF51" s="17" t="n">
        <v>6</v>
      </c>
      <c r="AG51" s="17" t="n">
        <v>5</v>
      </c>
      <c r="AH51" s="17" t="n">
        <v>7</v>
      </c>
      <c r="AI51" s="17" t="n">
        <v>3</v>
      </c>
      <c r="AJ51" s="17" t="n">
        <v>6</v>
      </c>
      <c r="AK51" s="17" t="n">
        <v>5</v>
      </c>
      <c r="AL51" s="17" t="n">
        <v>3</v>
      </c>
      <c r="AM51" s="17" t="n">
        <v>5</v>
      </c>
      <c r="AN51" s="17" t="n">
        <v>5</v>
      </c>
      <c r="AO51" s="17" t="n">
        <v>4</v>
      </c>
      <c r="AP51" s="17" t="n">
        <v>5</v>
      </c>
      <c r="AQ51" s="17" t="n">
        <v>4</v>
      </c>
      <c r="AR51" s="17" t="n">
        <v>5</v>
      </c>
      <c r="AS51" s="17" t="n">
        <v>5</v>
      </c>
      <c r="AT51" s="8">
        <f>SUM(AB51:AS51)</f>
        <v/>
      </c>
      <c r="AU51" s="8">
        <f>AU11</f>
        <v/>
      </c>
      <c r="AV51" s="8">
        <f>AT51-AU51</f>
        <v/>
      </c>
      <c r="AW51" s="8">
        <f>MAX(0,25-AV51)*1.0</f>
        <v/>
      </c>
      <c r="AX51" s="18">
        <f>AA51+AW51</f>
        <v/>
      </c>
    </row>
    <row r="52">
      <c r="A52" s="8" t="n">
        <v>40</v>
      </c>
      <c r="B52" t="inlineStr">
        <is>
          <t>Luciana Reis</t>
        </is>
      </c>
      <c r="C52" s="8" t="inlineStr">
        <is>
          <t>40196</t>
        </is>
      </c>
      <c r="D52" t="inlineStr">
        <is>
          <t>Arquitectos</t>
        </is>
      </c>
      <c r="E52" s="8" t="n">
        <v>-2</v>
      </c>
      <c r="F52" s="17" t="n">
        <v>6</v>
      </c>
      <c r="G52" s="17" t="n">
        <v>4</v>
      </c>
      <c r="H52" s="17" t="n">
        <v>5</v>
      </c>
      <c r="I52" s="17" t="n">
        <v>5</v>
      </c>
      <c r="J52" s="17" t="n">
        <v>5</v>
      </c>
      <c r="K52" s="17" t="n">
        <v>5</v>
      </c>
      <c r="L52" s="17" t="n">
        <v>4</v>
      </c>
      <c r="M52" s="17" t="n">
        <v>4</v>
      </c>
      <c r="N52" s="17" t="n">
        <v>6</v>
      </c>
      <c r="O52" s="17" t="n">
        <v>6</v>
      </c>
      <c r="P52" s="17" t="n">
        <v>2</v>
      </c>
      <c r="Q52" s="17" t="n">
        <v>3</v>
      </c>
      <c r="R52" s="17" t="n">
        <v>7</v>
      </c>
      <c r="S52" s="17" t="n">
        <v>4</v>
      </c>
      <c r="T52" s="17" t="n">
        <v>4</v>
      </c>
      <c r="U52" s="17" t="n">
        <v>4</v>
      </c>
      <c r="V52" s="17" t="n">
        <v>5</v>
      </c>
      <c r="W52" s="17" t="n">
        <v>4</v>
      </c>
      <c r="X52" s="8">
        <f>SUM(F52:W52)</f>
        <v/>
      </c>
      <c r="Y52" s="8">
        <f>Y11</f>
        <v/>
      </c>
      <c r="Z52" s="8">
        <f>X52-Y52</f>
        <v/>
      </c>
      <c r="AA52" s="8">
        <f>MAX(0,25-Z52)*1.0</f>
        <v/>
      </c>
      <c r="AB52" s="17" t="n">
        <v>4</v>
      </c>
      <c r="AC52" s="17" t="n">
        <v>4</v>
      </c>
      <c r="AD52" s="17" t="n">
        <v>3</v>
      </c>
      <c r="AE52" s="17" t="n">
        <v>4</v>
      </c>
      <c r="AF52" s="17" t="n">
        <v>5</v>
      </c>
      <c r="AG52" s="17" t="n">
        <v>4</v>
      </c>
      <c r="AH52" s="17" t="n">
        <v>5</v>
      </c>
      <c r="AI52" s="17" t="n">
        <v>3</v>
      </c>
      <c r="AJ52" s="17" t="n">
        <v>4</v>
      </c>
      <c r="AK52" s="17" t="n">
        <v>6</v>
      </c>
      <c r="AL52" s="17" t="n">
        <v>4</v>
      </c>
      <c r="AM52" s="17" t="n">
        <v>4</v>
      </c>
      <c r="AN52" s="17" t="n">
        <v>5</v>
      </c>
      <c r="AO52" s="17" t="n">
        <v>4</v>
      </c>
      <c r="AP52" s="17" t="n">
        <v>4</v>
      </c>
      <c r="AQ52" s="17" t="n">
        <v>3</v>
      </c>
      <c r="AR52" s="17" t="n">
        <v>4</v>
      </c>
      <c r="AS52" s="17" t="n">
        <v>4</v>
      </c>
      <c r="AT52" s="8">
        <f>SUM(AB52:AS52)</f>
        <v/>
      </c>
      <c r="AU52" s="8">
        <f>AU11</f>
        <v/>
      </c>
      <c r="AV52" s="8">
        <f>AT52-AU52</f>
        <v/>
      </c>
      <c r="AW52" s="8">
        <f>MAX(0,25-AV52)*1.0</f>
        <v/>
      </c>
      <c r="AX52" s="18">
        <f>AA52+AW52</f>
        <v/>
      </c>
    </row>
    <row r="53">
      <c r="A53" s="8" t="n">
        <v>41</v>
      </c>
      <c r="B53" t="inlineStr">
        <is>
          <t>Maria Cunha</t>
        </is>
      </c>
      <c r="C53" s="8" t="inlineStr">
        <is>
          <t>46482</t>
        </is>
      </c>
      <c r="D53" t="inlineStr">
        <is>
          <t>Palheiro</t>
        </is>
      </c>
      <c r="E53" s="8" t="n">
        <v>4.6</v>
      </c>
      <c r="F53" s="17" t="n">
        <v>5</v>
      </c>
      <c r="G53" s="17" t="n">
        <v>4</v>
      </c>
      <c r="H53" s="17" t="n">
        <v>4</v>
      </c>
      <c r="I53" s="17" t="n">
        <v>5</v>
      </c>
      <c r="J53" s="17" t="n">
        <v>6</v>
      </c>
      <c r="K53" s="17" t="n">
        <v>6</v>
      </c>
      <c r="L53" s="17" t="n">
        <v>4</v>
      </c>
      <c r="M53" s="17" t="n">
        <v>3</v>
      </c>
      <c r="N53" s="17" t="n">
        <v>6</v>
      </c>
      <c r="O53" s="17" t="n">
        <v>7</v>
      </c>
      <c r="P53" s="17" t="n">
        <v>3</v>
      </c>
      <c r="Q53" s="17" t="n">
        <v>4</v>
      </c>
      <c r="R53" s="17" t="n">
        <v>7</v>
      </c>
      <c r="S53" s="17" t="n">
        <v>3</v>
      </c>
      <c r="T53" s="17" t="n">
        <v>5</v>
      </c>
      <c r="U53" s="17" t="n">
        <v>3</v>
      </c>
      <c r="V53" s="17" t="n">
        <v>3</v>
      </c>
      <c r="W53" s="17" t="n">
        <v>5</v>
      </c>
      <c r="X53" s="8">
        <f>SUM(F53:W53)</f>
        <v/>
      </c>
      <c r="Y53" s="8">
        <f>Y11</f>
        <v/>
      </c>
      <c r="Z53" s="8">
        <f>X53-Y53</f>
        <v/>
      </c>
      <c r="AA53" s="8">
        <f>MAX(0,25-Z53)*1.0</f>
        <v/>
      </c>
      <c r="AB53" s="17" t="n">
        <v>7</v>
      </c>
      <c r="AC53" s="17" t="n">
        <v>5</v>
      </c>
      <c r="AD53" s="17" t="n">
        <v>4</v>
      </c>
      <c r="AE53" s="17" t="n">
        <v>4</v>
      </c>
      <c r="AF53" s="17" t="n">
        <v>6</v>
      </c>
      <c r="AG53" s="17" t="n">
        <v>4</v>
      </c>
      <c r="AH53" s="17" t="n">
        <v>4</v>
      </c>
      <c r="AI53" s="17" t="n">
        <v>4</v>
      </c>
      <c r="AJ53" s="17" t="n">
        <v>7</v>
      </c>
      <c r="AK53" s="17" t="n">
        <v>6</v>
      </c>
      <c r="AL53" s="17" t="n">
        <v>3</v>
      </c>
      <c r="AM53" s="17" t="n">
        <v>4</v>
      </c>
      <c r="AN53" s="17" t="n">
        <v>7</v>
      </c>
      <c r="AO53" s="17" t="n">
        <v>5</v>
      </c>
      <c r="AP53" s="17" t="n">
        <v>4</v>
      </c>
      <c r="AQ53" s="17" t="n">
        <v>3</v>
      </c>
      <c r="AR53" s="17" t="n">
        <v>5</v>
      </c>
      <c r="AS53" s="17" t="n">
        <v>5</v>
      </c>
      <c r="AT53" s="8">
        <f>SUM(AB53:AS53)</f>
        <v/>
      </c>
      <c r="AU53" s="8">
        <f>AU11</f>
        <v/>
      </c>
      <c r="AV53" s="8">
        <f>AT53-AU53</f>
        <v/>
      </c>
      <c r="AW53" s="8">
        <f>MAX(0,25-AV53)*1.0</f>
        <v/>
      </c>
      <c r="AX53" s="18">
        <f>AA53+AW53</f>
        <v/>
      </c>
    </row>
    <row r="54">
      <c r="A54" s="8" t="n">
        <v>42</v>
      </c>
      <c r="B54" t="inlineStr">
        <is>
          <t>Angelina Gao</t>
        </is>
      </c>
      <c r="C54" s="8" t="inlineStr">
        <is>
          <t>51523</t>
        </is>
      </c>
      <c r="D54" t="inlineStr">
        <is>
          <t>Quinta do Peru</t>
        </is>
      </c>
      <c r="E54" s="8" t="n">
        <v>3.9</v>
      </c>
      <c r="F54" s="17" t="n">
        <v>5</v>
      </c>
      <c r="G54" s="17" t="n">
        <v>4</v>
      </c>
      <c r="H54" s="17" t="n">
        <v>4</v>
      </c>
      <c r="I54" s="17" t="n">
        <v>6</v>
      </c>
      <c r="J54" s="17" t="n">
        <v>5</v>
      </c>
      <c r="K54" s="17" t="n">
        <v>5</v>
      </c>
      <c r="L54" s="17" t="n">
        <v>5</v>
      </c>
      <c r="M54" s="17" t="n">
        <v>3</v>
      </c>
      <c r="N54" s="17" t="n">
        <v>6</v>
      </c>
      <c r="O54" s="17" t="n">
        <v>5</v>
      </c>
      <c r="P54" s="17" t="n">
        <v>4</v>
      </c>
      <c r="Q54" s="17" t="n">
        <v>5</v>
      </c>
      <c r="R54" s="17" t="n">
        <v>5</v>
      </c>
      <c r="S54" s="17" t="n">
        <v>5</v>
      </c>
      <c r="T54" s="17" t="n">
        <v>3</v>
      </c>
      <c r="U54" s="17" t="n">
        <v>4</v>
      </c>
      <c r="V54" s="17" t="n">
        <v>4</v>
      </c>
      <c r="W54" s="17" t="n">
        <v>5</v>
      </c>
      <c r="X54" s="8">
        <f>SUM(F54:W54)</f>
        <v/>
      </c>
      <c r="Y54" s="8">
        <f>Y11</f>
        <v/>
      </c>
      <c r="Z54" s="8">
        <f>X54-Y54</f>
        <v/>
      </c>
      <c r="AA54" s="8">
        <f>MAX(0,25-Z54)*1.0</f>
        <v/>
      </c>
      <c r="AB54" s="17" t="n">
        <v>5</v>
      </c>
      <c r="AC54" s="17" t="n">
        <v>4</v>
      </c>
      <c r="AD54" s="17" t="n">
        <v>3</v>
      </c>
      <c r="AE54" s="17" t="n">
        <v>5</v>
      </c>
      <c r="AF54" s="17" t="n">
        <v>7</v>
      </c>
      <c r="AG54" s="17" t="n">
        <v>5</v>
      </c>
      <c r="AH54" s="17" t="n">
        <v>4</v>
      </c>
      <c r="AI54" s="17" t="n">
        <v>6</v>
      </c>
      <c r="AJ54" s="17" t="n">
        <v>6</v>
      </c>
      <c r="AK54" s="17" t="n">
        <v>6</v>
      </c>
      <c r="AL54" s="17" t="n">
        <v>3</v>
      </c>
      <c r="AM54" s="17" t="n">
        <v>5</v>
      </c>
      <c r="AN54" s="17" t="n">
        <v>6</v>
      </c>
      <c r="AO54" s="17" t="n">
        <v>5</v>
      </c>
      <c r="AP54" s="17" t="n">
        <v>5</v>
      </c>
      <c r="AQ54" s="17" t="n">
        <v>4</v>
      </c>
      <c r="AR54" s="17" t="n">
        <v>5</v>
      </c>
      <c r="AS54" s="17" t="n">
        <v>5</v>
      </c>
      <c r="AT54" s="8">
        <f>SUM(AB54:AS54)</f>
        <v/>
      </c>
      <c r="AU54" s="8">
        <f>AU11</f>
        <v/>
      </c>
      <c r="AV54" s="8">
        <f>AT54-AU54</f>
        <v/>
      </c>
      <c r="AW54" s="8">
        <f>MAX(0,25-AV54)*1.0</f>
        <v/>
      </c>
      <c r="AX54" s="18">
        <f>AA54+AW54</f>
        <v/>
      </c>
    </row>
    <row r="55">
      <c r="A55" s="8" t="n">
        <v>43</v>
      </c>
      <c r="B55" t="inlineStr">
        <is>
          <t>José Pedro Miranda</t>
        </is>
      </c>
      <c r="C55" s="8" t="inlineStr">
        <is>
          <t>38976</t>
        </is>
      </c>
      <c r="D55" t="inlineStr">
        <is>
          <t>Palheiro</t>
        </is>
      </c>
      <c r="E55" s="8" t="n">
        <v>7.1</v>
      </c>
      <c r="F55" s="17" t="n">
        <v>6</v>
      </c>
      <c r="G55" s="17" t="n">
        <v>5</v>
      </c>
      <c r="H55" s="17" t="n">
        <v>3</v>
      </c>
      <c r="I55" s="17" t="n">
        <v>3</v>
      </c>
      <c r="J55" s="17" t="n">
        <v>5</v>
      </c>
      <c r="K55" s="17" t="n">
        <v>4</v>
      </c>
      <c r="L55" s="17" t="n">
        <v>7</v>
      </c>
      <c r="M55" s="17" t="n">
        <v>5</v>
      </c>
      <c r="N55" s="17" t="n">
        <v>5</v>
      </c>
      <c r="O55" s="17" t="n">
        <v>5</v>
      </c>
      <c r="P55" s="17" t="n">
        <v>5</v>
      </c>
      <c r="Q55" s="17" t="n">
        <v>3</v>
      </c>
      <c r="R55" s="17" t="n">
        <v>6</v>
      </c>
      <c r="S55" s="17" t="n">
        <v>3</v>
      </c>
      <c r="T55" s="17" t="n">
        <v>5</v>
      </c>
      <c r="U55" s="17" t="n">
        <v>4</v>
      </c>
      <c r="V55" s="17" t="n">
        <v>4</v>
      </c>
      <c r="W55" s="17" t="n">
        <v>5</v>
      </c>
      <c r="X55" s="8">
        <f>SUM(F55:W55)</f>
        <v/>
      </c>
      <c r="Y55" s="8">
        <f>Y11</f>
        <v/>
      </c>
      <c r="Z55" s="8">
        <f>X55-Y55</f>
        <v/>
      </c>
      <c r="AA55" s="8">
        <f>MAX(0,25-Z55)*1.0</f>
        <v/>
      </c>
      <c r="AB55" s="17" t="n">
        <v>6</v>
      </c>
      <c r="AC55" s="17" t="n">
        <v>5</v>
      </c>
      <c r="AD55" s="17" t="n">
        <v>4</v>
      </c>
      <c r="AE55" s="17" t="n">
        <v>7</v>
      </c>
      <c r="AF55" s="17" t="n">
        <v>7</v>
      </c>
      <c r="AG55" s="17" t="n">
        <v>6</v>
      </c>
      <c r="AH55" s="17" t="n">
        <v>5</v>
      </c>
      <c r="AI55" s="17" t="n">
        <v>3</v>
      </c>
      <c r="AJ55" s="17" t="n">
        <v>6</v>
      </c>
      <c r="AK55" s="17" t="n">
        <v>5</v>
      </c>
      <c r="AL55" s="17" t="n">
        <v>4</v>
      </c>
      <c r="AM55" s="17" t="n">
        <v>3</v>
      </c>
      <c r="AN55" s="17" t="n">
        <v>5</v>
      </c>
      <c r="AO55" s="17" t="n">
        <v>4</v>
      </c>
      <c r="AP55" s="17" t="n">
        <v>8</v>
      </c>
      <c r="AQ55" s="17" t="n">
        <v>3</v>
      </c>
      <c r="AR55" s="17" t="n">
        <v>6</v>
      </c>
      <c r="AS55" s="17" t="n">
        <v>4</v>
      </c>
      <c r="AT55" s="8">
        <f>SUM(AB55:AS55)</f>
        <v/>
      </c>
      <c r="AU55" s="8">
        <f>AU11</f>
        <v/>
      </c>
      <c r="AV55" s="8">
        <f>AT55-AU55</f>
        <v/>
      </c>
      <c r="AW55" s="8">
        <f>MAX(0,25-AV55)*1.0</f>
        <v/>
      </c>
      <c r="AX55" s="18">
        <f>AA55+AW55</f>
        <v/>
      </c>
    </row>
    <row r="56">
      <c r="A56" s="8" t="n">
        <v>44</v>
      </c>
      <c r="B56" t="inlineStr">
        <is>
          <t>Patricia Brito e Cunha</t>
        </is>
      </c>
      <c r="C56" s="8" t="inlineStr">
        <is>
          <t>34601</t>
        </is>
      </c>
      <c r="D56" t="inlineStr">
        <is>
          <t>Arquitectos</t>
        </is>
      </c>
      <c r="E56" s="8" t="n">
        <v>4.6</v>
      </c>
      <c r="F56" s="17" t="n">
        <v>6</v>
      </c>
      <c r="G56" s="17" t="n">
        <v>4</v>
      </c>
      <c r="H56" s="17" t="n">
        <v>3</v>
      </c>
      <c r="I56" s="17" t="n">
        <v>5</v>
      </c>
      <c r="J56" s="17" t="n">
        <v>5</v>
      </c>
      <c r="K56" s="17" t="n">
        <v>5</v>
      </c>
      <c r="L56" s="17" t="n">
        <v>6</v>
      </c>
      <c r="M56" s="17" t="n">
        <v>2</v>
      </c>
      <c r="N56" s="17" t="n">
        <v>5</v>
      </c>
      <c r="O56" s="17" t="n">
        <v>6</v>
      </c>
      <c r="P56" s="17" t="n">
        <v>3</v>
      </c>
      <c r="Q56" s="17" t="n">
        <v>4</v>
      </c>
      <c r="R56" s="17" t="n">
        <v>6</v>
      </c>
      <c r="S56" s="17" t="n">
        <v>4</v>
      </c>
      <c r="T56" s="17" t="n">
        <v>4</v>
      </c>
      <c r="U56" s="17" t="n">
        <v>4</v>
      </c>
      <c r="V56" s="17" t="n">
        <v>5</v>
      </c>
      <c r="W56" s="17" t="n">
        <v>6</v>
      </c>
      <c r="X56" s="8">
        <f>SUM(F56:W56)</f>
        <v/>
      </c>
      <c r="Y56" s="8">
        <f>Y11</f>
        <v/>
      </c>
      <c r="Z56" s="8">
        <f>X56-Y56</f>
        <v/>
      </c>
      <c r="AA56" s="8">
        <f>MAX(0,25-Z56)*1.0</f>
        <v/>
      </c>
      <c r="AB56" s="17" t="n">
        <v>5</v>
      </c>
      <c r="AC56" s="17" t="n">
        <v>4</v>
      </c>
      <c r="AD56" s="17" t="n">
        <v>3</v>
      </c>
      <c r="AE56" s="17" t="n">
        <v>4</v>
      </c>
      <c r="AF56" s="17" t="n">
        <v>8</v>
      </c>
      <c r="AG56" s="17" t="n">
        <v>4</v>
      </c>
      <c r="AH56" s="17" t="n">
        <v>5</v>
      </c>
      <c r="AI56" s="17" t="n">
        <v>10</v>
      </c>
      <c r="AJ56" s="17" t="n">
        <v>6</v>
      </c>
      <c r="AK56" s="17" t="n">
        <v>6</v>
      </c>
      <c r="AL56" s="17" t="n">
        <v>4</v>
      </c>
      <c r="AM56" s="17" t="n">
        <v>4</v>
      </c>
      <c r="AN56" s="17" t="n">
        <v>7</v>
      </c>
      <c r="AO56" s="17" t="n">
        <v>5</v>
      </c>
      <c r="AP56" s="17" t="n">
        <v>6</v>
      </c>
      <c r="AQ56" s="17" t="n">
        <v>4</v>
      </c>
      <c r="AR56" s="17" t="n">
        <v>6</v>
      </c>
      <c r="AS56" s="17" t="n">
        <v>4</v>
      </c>
      <c r="AT56" s="8">
        <f>SUM(AB56:AS56)</f>
        <v/>
      </c>
      <c r="AU56" s="8">
        <f>AU11</f>
        <v/>
      </c>
      <c r="AV56" s="8">
        <f>AT56-AU56</f>
        <v/>
      </c>
      <c r="AW56" s="8">
        <f>MAX(0,25-AV56)*1.0</f>
        <v/>
      </c>
      <c r="AX56" s="18">
        <f>AA56+AW56</f>
        <v/>
      </c>
    </row>
    <row r="57">
      <c r="A57" s="8" t="n">
        <v>45</v>
      </c>
      <c r="B57" t="inlineStr">
        <is>
          <t>Sabrina Ribeiro Crisóstomo</t>
        </is>
      </c>
      <c r="C57" s="8" t="inlineStr">
        <is>
          <t>48971</t>
        </is>
      </c>
      <c r="D57" t="inlineStr">
        <is>
          <t>Vilamoura, C. G</t>
        </is>
      </c>
      <c r="E57" s="8" t="n">
        <v>7.8</v>
      </c>
      <c r="F57" s="17" t="n">
        <v>7</v>
      </c>
      <c r="G57" s="17" t="n">
        <v>5</v>
      </c>
      <c r="H57" s="17" t="n">
        <v>4</v>
      </c>
      <c r="I57" s="17" t="n">
        <v>5</v>
      </c>
      <c r="J57" s="17" t="n">
        <v>4</v>
      </c>
      <c r="K57" s="17" t="n">
        <v>4</v>
      </c>
      <c r="L57" s="17" t="n">
        <v>5</v>
      </c>
      <c r="M57" s="17" t="n">
        <v>4</v>
      </c>
      <c r="N57" s="17" t="n">
        <v>5</v>
      </c>
      <c r="O57" s="17" t="n">
        <v>5</v>
      </c>
      <c r="P57" s="17" t="n">
        <v>3</v>
      </c>
      <c r="Q57" s="17" t="n">
        <v>4</v>
      </c>
      <c r="R57" s="17" t="n">
        <v>6</v>
      </c>
      <c r="S57" s="17" t="n">
        <v>5</v>
      </c>
      <c r="T57" s="17" t="n">
        <v>4</v>
      </c>
      <c r="U57" s="17" t="n">
        <v>5</v>
      </c>
      <c r="V57" s="17" t="n">
        <v>4</v>
      </c>
      <c r="W57" s="17" t="n">
        <v>5</v>
      </c>
      <c r="X57" s="8">
        <f>SUM(F57:W57)</f>
        <v/>
      </c>
      <c r="Y57" s="8">
        <f>Y11</f>
        <v/>
      </c>
      <c r="Z57" s="8">
        <f>X57-Y57</f>
        <v/>
      </c>
      <c r="AA57" s="8">
        <f>MAX(0,25-Z57)*1.0</f>
        <v/>
      </c>
      <c r="AB57" s="17" t="n">
        <v>6</v>
      </c>
      <c r="AC57" s="17" t="n">
        <v>5</v>
      </c>
      <c r="AD57" s="17" t="n">
        <v>5</v>
      </c>
      <c r="AE57" s="17" t="n">
        <v>5</v>
      </c>
      <c r="AF57" s="17" t="n">
        <v>5</v>
      </c>
      <c r="AG57" s="17" t="n">
        <v>5</v>
      </c>
      <c r="AH57" s="17" t="n">
        <v>4</v>
      </c>
      <c r="AI57" s="17" t="n">
        <v>5</v>
      </c>
      <c r="AJ57" s="17" t="n">
        <v>5</v>
      </c>
      <c r="AK57" s="17" t="n">
        <v>6</v>
      </c>
      <c r="AL57" s="17" t="n">
        <v>4</v>
      </c>
      <c r="AM57" s="17" t="n">
        <v>5</v>
      </c>
      <c r="AN57" s="17" t="n">
        <v>5</v>
      </c>
      <c r="AO57" s="17" t="n">
        <v>5</v>
      </c>
      <c r="AP57" s="17" t="n">
        <v>5</v>
      </c>
      <c r="AQ57" s="17" t="n">
        <v>5</v>
      </c>
      <c r="AR57" s="17" t="n">
        <v>5</v>
      </c>
      <c r="AS57" s="17" t="n">
        <v>5</v>
      </c>
      <c r="AT57" s="8">
        <f>SUM(AB57:AS57)</f>
        <v/>
      </c>
      <c r="AU57" s="8">
        <f>AU11</f>
        <v/>
      </c>
      <c r="AV57" s="8">
        <f>AT57-AU57</f>
        <v/>
      </c>
      <c r="AW57" s="8">
        <f>MAX(0,25-AV57)*1.0</f>
        <v/>
      </c>
      <c r="AX57" s="18">
        <f>AA57+AW57</f>
        <v/>
      </c>
    </row>
    <row r="58">
      <c r="A58" s="8" t="n">
        <v>46</v>
      </c>
      <c r="B58" t="inlineStr">
        <is>
          <t>Jack Murtagh</t>
        </is>
      </c>
      <c r="C58" s="8" t="inlineStr">
        <is>
          <t>41593</t>
        </is>
      </c>
      <c r="D58" t="inlineStr">
        <is>
          <t>Vilamoura, C. G</t>
        </is>
      </c>
      <c r="E58" s="8" t="n">
        <v>8.699999999999999</v>
      </c>
      <c r="F58" s="17" t="n">
        <v>5</v>
      </c>
      <c r="G58" s="17" t="n">
        <v>5</v>
      </c>
      <c r="H58" s="17" t="n">
        <v>4</v>
      </c>
      <c r="I58" s="17" t="n">
        <v>4</v>
      </c>
      <c r="J58" s="17" t="n">
        <v>5</v>
      </c>
      <c r="K58" s="17" t="n">
        <v>5</v>
      </c>
      <c r="L58" s="17" t="n">
        <v>3</v>
      </c>
      <c r="M58" s="17" t="n">
        <v>5</v>
      </c>
      <c r="N58" s="17" t="n">
        <v>6</v>
      </c>
      <c r="O58" s="17" t="n">
        <v>5</v>
      </c>
      <c r="P58" s="17" t="n">
        <v>3</v>
      </c>
      <c r="Q58" s="17" t="n">
        <v>4</v>
      </c>
      <c r="R58" s="17" t="n">
        <v>5</v>
      </c>
      <c r="S58" s="17" t="n">
        <v>4</v>
      </c>
      <c r="T58" s="17" t="n">
        <v>6</v>
      </c>
      <c r="U58" s="17" t="n">
        <v>4</v>
      </c>
      <c r="V58" s="17" t="n">
        <v>5</v>
      </c>
      <c r="W58" s="17" t="n">
        <v>6</v>
      </c>
      <c r="X58" s="8">
        <f>SUM(F58:W58)</f>
        <v/>
      </c>
      <c r="Y58" s="8">
        <f>Y11</f>
        <v/>
      </c>
      <c r="Z58" s="8">
        <f>X58-Y58</f>
        <v/>
      </c>
      <c r="AA58" s="8">
        <f>MAX(0,25-Z58)*1.0</f>
        <v/>
      </c>
      <c r="AB58" s="17" t="n">
        <v>6</v>
      </c>
      <c r="AC58" s="17" t="n">
        <v>5</v>
      </c>
      <c r="AD58" s="17" t="n">
        <v>3</v>
      </c>
      <c r="AE58" s="17" t="n">
        <v>4</v>
      </c>
      <c r="AF58" s="17" t="n">
        <v>7</v>
      </c>
      <c r="AG58" s="17" t="n">
        <v>4</v>
      </c>
      <c r="AH58" s="17" t="n">
        <v>9</v>
      </c>
      <c r="AI58" s="17" t="n">
        <v>4</v>
      </c>
      <c r="AJ58" s="17" t="n">
        <v>4</v>
      </c>
      <c r="AK58" s="17" t="n">
        <v>5</v>
      </c>
      <c r="AL58" s="17" t="n">
        <v>3</v>
      </c>
      <c r="AM58" s="17" t="n">
        <v>5</v>
      </c>
      <c r="AN58" s="17" t="n">
        <v>4</v>
      </c>
      <c r="AO58" s="17" t="n">
        <v>4</v>
      </c>
      <c r="AP58" s="17" t="n">
        <v>7</v>
      </c>
      <c r="AQ58" s="17" t="n">
        <v>6</v>
      </c>
      <c r="AR58" s="17" t="n">
        <v>5</v>
      </c>
      <c r="AS58" s="17" t="n">
        <v>5</v>
      </c>
      <c r="AT58" s="8">
        <f>SUM(AB58:AS58)</f>
        <v/>
      </c>
      <c r="AU58" s="8">
        <f>AU11</f>
        <v/>
      </c>
      <c r="AV58" s="8">
        <f>AT58-AU58</f>
        <v/>
      </c>
      <c r="AW58" s="8">
        <f>MAX(0,25-AV58)*1.0</f>
        <v/>
      </c>
      <c r="AX58" s="18">
        <f>AA58+AW58</f>
        <v/>
      </c>
    </row>
    <row r="59">
      <c r="A59" s="8" t="n">
        <v>47</v>
      </c>
      <c r="B59" t="inlineStr">
        <is>
          <t>Francisco Costa Mendes</t>
        </is>
      </c>
      <c r="C59" s="8" t="inlineStr">
        <is>
          <t>40318</t>
        </is>
      </c>
      <c r="D59" t="inlineStr">
        <is>
          <t>Citynorte</t>
        </is>
      </c>
      <c r="E59" s="8" t="n">
        <v>5.7</v>
      </c>
      <c r="F59" s="17" t="n">
        <v>6</v>
      </c>
      <c r="G59" s="17" t="n">
        <v>5</v>
      </c>
      <c r="H59" s="17" t="n">
        <v>3</v>
      </c>
      <c r="I59" s="17" t="n">
        <v>4</v>
      </c>
      <c r="J59" s="17" t="n">
        <v>5</v>
      </c>
      <c r="K59" s="17" t="n">
        <v>5</v>
      </c>
      <c r="L59" s="17" t="n">
        <v>5</v>
      </c>
      <c r="M59" s="17" t="n">
        <v>5</v>
      </c>
      <c r="N59" s="17" t="n">
        <v>4</v>
      </c>
      <c r="O59" s="17" t="n">
        <v>4</v>
      </c>
      <c r="P59" s="17" t="n">
        <v>3</v>
      </c>
      <c r="Q59" s="17" t="n">
        <v>5</v>
      </c>
      <c r="R59" s="17" t="n">
        <v>4</v>
      </c>
      <c r="S59" s="17" t="n">
        <v>4</v>
      </c>
      <c r="T59" s="17" t="n">
        <v>5</v>
      </c>
      <c r="U59" s="17" t="n">
        <v>6</v>
      </c>
      <c r="V59" s="17" t="n">
        <v>5</v>
      </c>
      <c r="W59" s="17" t="n">
        <v>6</v>
      </c>
      <c r="X59" s="8">
        <f>SUM(F59:W59)</f>
        <v/>
      </c>
      <c r="Y59" s="8">
        <f>Y11</f>
        <v/>
      </c>
      <c r="Z59" s="8">
        <f>X59-Y59</f>
        <v/>
      </c>
      <c r="AA59" s="8">
        <f>MAX(0,25-Z59)*1.0</f>
        <v/>
      </c>
      <c r="AB59" s="17" t="n">
        <v>5</v>
      </c>
      <c r="AC59" s="17" t="n">
        <v>5</v>
      </c>
      <c r="AD59" s="17" t="n">
        <v>4</v>
      </c>
      <c r="AE59" s="17" t="n">
        <v>5</v>
      </c>
      <c r="AF59" s="17" t="n">
        <v>6</v>
      </c>
      <c r="AG59" s="17" t="n">
        <v>6</v>
      </c>
      <c r="AH59" s="17" t="n">
        <v>5</v>
      </c>
      <c r="AI59" s="17" t="n">
        <v>3</v>
      </c>
      <c r="AJ59" s="17" t="n">
        <v>5</v>
      </c>
      <c r="AK59" s="17" t="n">
        <v>6</v>
      </c>
      <c r="AL59" s="17" t="n">
        <v>4</v>
      </c>
      <c r="AM59" s="17" t="n">
        <v>4</v>
      </c>
      <c r="AN59" s="17" t="n">
        <v>5</v>
      </c>
      <c r="AO59" s="17" t="n">
        <v>5</v>
      </c>
      <c r="AP59" s="17" t="n">
        <v>4</v>
      </c>
      <c r="AQ59" s="17" t="n">
        <v>2</v>
      </c>
      <c r="AR59" s="17" t="n">
        <v>4</v>
      </c>
      <c r="AS59" s="17" t="n">
        <v>4</v>
      </c>
      <c r="AT59" s="8">
        <f>SUM(AB59:AS59)</f>
        <v/>
      </c>
      <c r="AU59" s="8">
        <f>AU11</f>
        <v/>
      </c>
      <c r="AV59" s="8">
        <f>AT59-AU59</f>
        <v/>
      </c>
      <c r="AW59" s="8">
        <f>MAX(0,25-AV59)*1.0</f>
        <v/>
      </c>
      <c r="AX59" s="18">
        <f>AA59+AW59</f>
        <v/>
      </c>
    </row>
    <row r="60">
      <c r="A60" s="8" t="n">
        <v>48</v>
      </c>
      <c r="B60" t="inlineStr">
        <is>
          <t>André Gonçalves</t>
        </is>
      </c>
      <c r="C60" s="8" t="inlineStr">
        <is>
          <t>41121</t>
        </is>
      </c>
      <c r="D60" t="inlineStr">
        <is>
          <t>Palheiro</t>
        </is>
      </c>
      <c r="E60" s="8" t="n">
        <v>6.8</v>
      </c>
      <c r="F60" s="17" t="n">
        <v>5</v>
      </c>
      <c r="G60" s="17" t="n">
        <v>4</v>
      </c>
      <c r="H60" s="17" t="n">
        <v>4</v>
      </c>
      <c r="I60" s="17" t="n">
        <v>6</v>
      </c>
      <c r="J60" s="17" t="n">
        <v>5</v>
      </c>
      <c r="K60" s="17" t="n">
        <v>4</v>
      </c>
      <c r="L60" s="17" t="n">
        <v>5</v>
      </c>
      <c r="M60" s="17" t="n">
        <v>4</v>
      </c>
      <c r="N60" s="17" t="n">
        <v>4</v>
      </c>
      <c r="O60" s="17" t="n">
        <v>5</v>
      </c>
      <c r="P60" s="17" t="n">
        <v>3</v>
      </c>
      <c r="Q60" s="17" t="n">
        <v>5</v>
      </c>
      <c r="R60" s="17" t="n">
        <v>6</v>
      </c>
      <c r="S60" s="17" t="n">
        <v>5</v>
      </c>
      <c r="T60" s="17" t="n">
        <v>4</v>
      </c>
      <c r="U60" s="17" t="n">
        <v>5</v>
      </c>
      <c r="V60" s="17" t="n">
        <v>4</v>
      </c>
      <c r="W60" s="17" t="n">
        <v>6</v>
      </c>
      <c r="X60" s="8">
        <f>SUM(F60:W60)</f>
        <v/>
      </c>
      <c r="Y60" s="8">
        <f>Y11</f>
        <v/>
      </c>
      <c r="Z60" s="8">
        <f>X60-Y60</f>
        <v/>
      </c>
      <c r="AA60" s="8">
        <f>MAX(0,25-Z60)*1.0</f>
        <v/>
      </c>
      <c r="AB60" s="17" t="n">
        <v>5</v>
      </c>
      <c r="AC60" s="17" t="n">
        <v>7</v>
      </c>
      <c r="AD60" s="17" t="n">
        <v>4</v>
      </c>
      <c r="AE60" s="17" t="n">
        <v>3</v>
      </c>
      <c r="AF60" s="17" t="n">
        <v>5</v>
      </c>
      <c r="AG60" s="17" t="n">
        <v>7</v>
      </c>
      <c r="AH60" s="17" t="n">
        <v>5</v>
      </c>
      <c r="AI60" s="17" t="n">
        <v>6</v>
      </c>
      <c r="AJ60" s="17" t="n">
        <v>3</v>
      </c>
      <c r="AK60" s="17" t="n">
        <v>6</v>
      </c>
      <c r="AL60" s="17" t="n">
        <v>4</v>
      </c>
      <c r="AM60" s="17" t="n">
        <v>3</v>
      </c>
      <c r="AN60" s="17" t="n">
        <v>5</v>
      </c>
      <c r="AO60" s="17" t="n">
        <v>4</v>
      </c>
      <c r="AP60" s="17" t="n">
        <v>6</v>
      </c>
      <c r="AQ60" s="17" t="n">
        <v>4</v>
      </c>
      <c r="AR60" s="17" t="n">
        <v>4</v>
      </c>
      <c r="AS60" s="17" t="n">
        <v>4</v>
      </c>
      <c r="AT60" s="8">
        <f>SUM(AB60:AS60)</f>
        <v/>
      </c>
      <c r="AU60" s="8">
        <f>AU11</f>
        <v/>
      </c>
      <c r="AV60" s="8">
        <f>AT60-AU60</f>
        <v/>
      </c>
      <c r="AW60" s="8">
        <f>MAX(0,25-AV60)*1.0</f>
        <v/>
      </c>
      <c r="AX60" s="18">
        <f>AA60+AW60</f>
        <v/>
      </c>
    </row>
    <row r="61">
      <c r="A61" s="8" t="n">
        <v>49</v>
      </c>
      <c r="B61" t="inlineStr">
        <is>
          <t>Finn Gordon</t>
        </is>
      </c>
      <c r="C61" s="8" t="inlineStr">
        <is>
          <t>55269</t>
        </is>
      </c>
      <c r="D61" t="inlineStr">
        <is>
          <t>Vilamoura, C. G</t>
        </is>
      </c>
      <c r="E61" s="8" t="n">
        <v>6.7</v>
      </c>
      <c r="F61" s="17" t="n">
        <v>6</v>
      </c>
      <c r="G61" s="17" t="n">
        <v>5</v>
      </c>
      <c r="H61" s="17" t="n">
        <v>3</v>
      </c>
      <c r="I61" s="17" t="n">
        <v>6</v>
      </c>
      <c r="J61" s="17" t="n">
        <v>7</v>
      </c>
      <c r="K61" s="17" t="n">
        <v>5</v>
      </c>
      <c r="L61" s="17" t="n">
        <v>7</v>
      </c>
      <c r="M61" s="17" t="n">
        <v>3</v>
      </c>
      <c r="N61" s="17" t="n">
        <v>4</v>
      </c>
      <c r="O61" s="17" t="n">
        <v>6</v>
      </c>
      <c r="P61" s="17" t="n">
        <v>3</v>
      </c>
      <c r="Q61" s="17" t="n">
        <v>4</v>
      </c>
      <c r="R61" s="17" t="n">
        <v>4</v>
      </c>
      <c r="S61" s="17" t="n">
        <v>5</v>
      </c>
      <c r="T61" s="17" t="n">
        <v>4</v>
      </c>
      <c r="U61" s="17" t="n">
        <v>4</v>
      </c>
      <c r="V61" s="17" t="n">
        <v>4</v>
      </c>
      <c r="W61" s="17" t="n">
        <v>5</v>
      </c>
      <c r="X61" s="8">
        <f>SUM(F61:W61)</f>
        <v/>
      </c>
      <c r="Y61" s="8">
        <f>Y11</f>
        <v/>
      </c>
      <c r="Z61" s="8">
        <f>X61-Y61</f>
        <v/>
      </c>
      <c r="AA61" s="8">
        <f>MAX(0,25-Z61)*1.0</f>
        <v/>
      </c>
      <c r="AB61" s="17" t="n">
        <v>5</v>
      </c>
      <c r="AC61" s="17" t="n">
        <v>5</v>
      </c>
      <c r="AD61" s="17" t="n">
        <v>4</v>
      </c>
      <c r="AE61" s="17" t="n">
        <v>5</v>
      </c>
      <c r="AF61" s="17" t="n">
        <v>7</v>
      </c>
      <c r="AG61" s="17" t="n">
        <v>4</v>
      </c>
      <c r="AH61" s="17" t="n">
        <v>5</v>
      </c>
      <c r="AI61" s="17" t="n">
        <v>4</v>
      </c>
      <c r="AJ61" s="17" t="n">
        <v>3</v>
      </c>
      <c r="AK61" s="17" t="n">
        <v>5</v>
      </c>
      <c r="AL61" s="17" t="n">
        <v>3</v>
      </c>
      <c r="AM61" s="17" t="n">
        <v>4</v>
      </c>
      <c r="AN61" s="17" t="n">
        <v>5</v>
      </c>
      <c r="AO61" s="17" t="n">
        <v>4</v>
      </c>
      <c r="AP61" s="17" t="n">
        <v>5</v>
      </c>
      <c r="AQ61" s="17" t="n">
        <v>2</v>
      </c>
      <c r="AR61" s="17" t="n">
        <v>4</v>
      </c>
      <c r="AS61" s="17" t="n">
        <v>5</v>
      </c>
      <c r="AT61" s="8">
        <f>SUM(AB61:AS61)</f>
        <v/>
      </c>
      <c r="AU61" s="8">
        <f>AU11</f>
        <v/>
      </c>
      <c r="AV61" s="8">
        <f>AT61-AU61</f>
        <v/>
      </c>
      <c r="AW61" s="8">
        <f>MAX(0,25-AV61)*1.0</f>
        <v/>
      </c>
      <c r="AX61" s="18">
        <f>AA61+AW61</f>
        <v/>
      </c>
    </row>
    <row r="62">
      <c r="A62" s="8" t="n">
        <v>50</v>
      </c>
      <c r="B62" t="inlineStr">
        <is>
          <t>Henrique Montenegro</t>
        </is>
      </c>
      <c r="C62" s="8" t="inlineStr">
        <is>
          <t>39552</t>
        </is>
      </c>
      <c r="D62" t="inlineStr">
        <is>
          <t>Oporto</t>
        </is>
      </c>
      <c r="E62" s="8" t="n">
        <v>1.8</v>
      </c>
      <c r="F62" s="17" t="n">
        <v>7</v>
      </c>
      <c r="G62" s="17" t="n">
        <v>5</v>
      </c>
      <c r="H62" s="17" t="n">
        <v>3</v>
      </c>
      <c r="I62" s="17" t="n">
        <v>9</v>
      </c>
      <c r="J62" s="17" t="n">
        <v>5</v>
      </c>
      <c r="K62" s="17" t="n">
        <v>4</v>
      </c>
      <c r="L62" s="17" t="n">
        <v>4</v>
      </c>
      <c r="M62" s="17" t="n">
        <v>3</v>
      </c>
      <c r="N62" s="17" t="n">
        <v>6</v>
      </c>
      <c r="O62" s="17" t="n">
        <v>5</v>
      </c>
      <c r="P62" s="17" t="n">
        <v>4</v>
      </c>
      <c r="Q62" s="17" t="n">
        <v>4</v>
      </c>
      <c r="R62" s="17" t="n">
        <v>4</v>
      </c>
      <c r="S62" s="17" t="n">
        <v>3</v>
      </c>
      <c r="T62" s="17" t="n">
        <v>3</v>
      </c>
      <c r="U62" s="17" t="n">
        <v>5</v>
      </c>
      <c r="V62" s="17" t="n">
        <v>7</v>
      </c>
      <c r="W62" s="17" t="n">
        <v>4</v>
      </c>
      <c r="X62" s="8">
        <f>SUM(F62:W62)</f>
        <v/>
      </c>
      <c r="Y62" s="8">
        <f>Y11</f>
        <v/>
      </c>
      <c r="Z62" s="8">
        <f>X62-Y62</f>
        <v/>
      </c>
      <c r="AA62" s="8">
        <f>MAX(0,25-Z62)*1.0</f>
        <v/>
      </c>
      <c r="AB62" s="17" t="n">
        <v>5</v>
      </c>
      <c r="AC62" s="17" t="n">
        <v>4</v>
      </c>
      <c r="AD62" s="17" t="n">
        <v>3</v>
      </c>
      <c r="AE62" s="17" t="n">
        <v>6</v>
      </c>
      <c r="AF62" s="17" t="n">
        <v>5</v>
      </c>
      <c r="AG62" s="17" t="n">
        <v>4</v>
      </c>
      <c r="AH62" s="17" t="n">
        <v>4</v>
      </c>
      <c r="AI62" s="17" t="n">
        <v>4</v>
      </c>
      <c r="AJ62" s="17" t="n">
        <v>9</v>
      </c>
      <c r="AK62" s="17" t="n">
        <v>4</v>
      </c>
      <c r="AL62" s="17" t="n">
        <v>3</v>
      </c>
      <c r="AM62" s="17" t="n">
        <v>4</v>
      </c>
      <c r="AN62" s="17" t="n">
        <v>5</v>
      </c>
      <c r="AO62" s="17" t="n">
        <v>4</v>
      </c>
      <c r="AP62" s="17" t="n">
        <v>5</v>
      </c>
      <c r="AQ62" s="17" t="n">
        <v>3</v>
      </c>
      <c r="AR62" s="17" t="n">
        <v>5</v>
      </c>
      <c r="AS62" s="17" t="n">
        <v>5</v>
      </c>
      <c r="AT62" s="8">
        <f>SUM(AB62:AS62)</f>
        <v/>
      </c>
      <c r="AU62" s="8">
        <f>AU11</f>
        <v/>
      </c>
      <c r="AV62" s="8">
        <f>AT62-AU62</f>
        <v/>
      </c>
      <c r="AW62" s="8">
        <f>MAX(0,25-AV62)*1.0</f>
        <v/>
      </c>
      <c r="AX62" s="18">
        <f>AA62+AW62</f>
        <v/>
      </c>
    </row>
    <row r="63">
      <c r="A63" s="8" t="n">
        <v>51</v>
      </c>
      <c r="B63" t="inlineStr">
        <is>
          <t>André Neto Lopes</t>
        </is>
      </c>
      <c r="C63" s="8" t="inlineStr">
        <is>
          <t>41173</t>
        </is>
      </c>
      <c r="D63" t="inlineStr">
        <is>
          <t>Oporto</t>
        </is>
      </c>
      <c r="E63" s="8" t="n">
        <v>0</v>
      </c>
      <c r="F63" s="17" t="n">
        <v>7</v>
      </c>
      <c r="G63" s="17" t="n">
        <v>5</v>
      </c>
      <c r="H63" s="17" t="n">
        <v>3</v>
      </c>
      <c r="I63" s="17" t="n">
        <v>4</v>
      </c>
      <c r="J63" s="17" t="n">
        <v>6</v>
      </c>
      <c r="K63" s="17" t="n">
        <v>5</v>
      </c>
      <c r="L63" s="17" t="n">
        <v>4</v>
      </c>
      <c r="M63" s="17" t="n">
        <v>7</v>
      </c>
      <c r="N63" s="17" t="n">
        <v>5</v>
      </c>
      <c r="O63" s="17" t="n">
        <v>5</v>
      </c>
      <c r="P63" s="17" t="n">
        <v>2</v>
      </c>
      <c r="Q63" s="17" t="n">
        <v>5</v>
      </c>
      <c r="R63" s="17" t="n">
        <v>5</v>
      </c>
      <c r="S63" s="17" t="n">
        <v>4</v>
      </c>
      <c r="T63" s="17" t="n">
        <v>4</v>
      </c>
      <c r="U63" s="17" t="n">
        <v>4</v>
      </c>
      <c r="V63" s="17" t="n">
        <v>5</v>
      </c>
      <c r="W63" s="17" t="n">
        <v>5</v>
      </c>
      <c r="X63" s="8">
        <f>SUM(F63:W63)</f>
        <v/>
      </c>
      <c r="Y63" s="8">
        <f>Y11</f>
        <v/>
      </c>
      <c r="Z63" s="8">
        <f>X63-Y63</f>
        <v/>
      </c>
      <c r="AA63" s="8">
        <f>MAX(0,25-Z63)*1.0</f>
        <v/>
      </c>
      <c r="AB63" s="17" t="n">
        <v>4</v>
      </c>
      <c r="AC63" s="17" t="n">
        <v>5</v>
      </c>
      <c r="AD63" s="17" t="n">
        <v>4</v>
      </c>
      <c r="AE63" s="17" t="n">
        <v>4</v>
      </c>
      <c r="AF63" s="17" t="n">
        <v>5</v>
      </c>
      <c r="AG63" s="17" t="n">
        <v>6</v>
      </c>
      <c r="AH63" s="17" t="n">
        <v>5</v>
      </c>
      <c r="AI63" s="17" t="n">
        <v>3</v>
      </c>
      <c r="AJ63" s="17" t="n">
        <v>4</v>
      </c>
      <c r="AK63" s="17" t="n">
        <v>5</v>
      </c>
      <c r="AL63" s="17" t="n">
        <v>4</v>
      </c>
      <c r="AM63" s="17" t="n">
        <v>4</v>
      </c>
      <c r="AN63" s="17" t="n">
        <v>5</v>
      </c>
      <c r="AO63" s="17" t="n">
        <v>4</v>
      </c>
      <c r="AP63" s="17" t="n">
        <v>5</v>
      </c>
      <c r="AQ63" s="17" t="n">
        <v>4</v>
      </c>
      <c r="AR63" s="17" t="n">
        <v>4</v>
      </c>
      <c r="AS63" s="17" t="n">
        <v>5</v>
      </c>
      <c r="AT63" s="8">
        <f>SUM(AB63:AS63)</f>
        <v/>
      </c>
      <c r="AU63" s="8">
        <f>AU11</f>
        <v/>
      </c>
      <c r="AV63" s="8">
        <f>AT63-AU63</f>
        <v/>
      </c>
      <c r="AW63" s="8">
        <f>MAX(0,25-AV63)*1.0</f>
        <v/>
      </c>
      <c r="AX63" s="18">
        <f>AA63+AW63</f>
        <v/>
      </c>
    </row>
    <row r="64">
      <c r="A64" s="8" t="n">
        <v>52</v>
      </c>
      <c r="B64" t="inlineStr">
        <is>
          <t>Francisco Nunes (jr)</t>
        </is>
      </c>
      <c r="C64" s="8" t="inlineStr">
        <is>
          <t>46299</t>
        </is>
      </c>
      <c r="D64" t="inlineStr">
        <is>
          <t>Miramar</t>
        </is>
      </c>
      <c r="E64" s="8" t="n">
        <v>5.5</v>
      </c>
      <c r="F64" s="17" t="n">
        <v>5</v>
      </c>
      <c r="G64" s="17" t="n">
        <v>5</v>
      </c>
      <c r="H64" s="17" t="n">
        <v>4</v>
      </c>
      <c r="I64" s="17" t="n">
        <v>6</v>
      </c>
      <c r="J64" s="17" t="n">
        <v>5</v>
      </c>
      <c r="K64" s="17" t="n">
        <v>6</v>
      </c>
      <c r="L64" s="17" t="n">
        <v>5</v>
      </c>
      <c r="M64" s="17" t="n">
        <v>3</v>
      </c>
      <c r="N64" s="17" t="n">
        <v>5</v>
      </c>
      <c r="O64" s="17" t="n">
        <v>7</v>
      </c>
      <c r="P64" s="17" t="n">
        <v>3</v>
      </c>
      <c r="Q64" s="17" t="n">
        <v>4</v>
      </c>
      <c r="R64" s="17" t="n">
        <v>5</v>
      </c>
      <c r="S64" s="17" t="n">
        <v>4</v>
      </c>
      <c r="T64" s="17" t="n">
        <v>4</v>
      </c>
      <c r="U64" s="17" t="n">
        <v>3</v>
      </c>
      <c r="V64" s="17" t="n">
        <v>6</v>
      </c>
      <c r="W64" s="17" t="n">
        <v>5</v>
      </c>
      <c r="X64" s="8">
        <f>SUM(F64:W64)</f>
        <v/>
      </c>
      <c r="Y64" s="8">
        <f>Y11</f>
        <v/>
      </c>
      <c r="Z64" s="8">
        <f>X64-Y64</f>
        <v/>
      </c>
      <c r="AA64" s="8">
        <f>MAX(0,25-Z64)*1.0</f>
        <v/>
      </c>
      <c r="AB64" s="17" t="n">
        <v>5</v>
      </c>
      <c r="AC64" s="17" t="n">
        <v>5</v>
      </c>
      <c r="AD64" s="17" t="n">
        <v>4</v>
      </c>
      <c r="AE64" s="17" t="n">
        <v>4</v>
      </c>
      <c r="AF64" s="17" t="n">
        <v>5</v>
      </c>
      <c r="AG64" s="17" t="n">
        <v>4</v>
      </c>
      <c r="AH64" s="17" t="n">
        <v>4</v>
      </c>
      <c r="AI64" s="17" t="n">
        <v>4</v>
      </c>
      <c r="AJ64" s="17" t="n">
        <v>5</v>
      </c>
      <c r="AK64" s="17" t="n">
        <v>6</v>
      </c>
      <c r="AL64" s="17" t="n">
        <v>3</v>
      </c>
      <c r="AM64" s="17" t="n">
        <v>3</v>
      </c>
      <c r="AN64" s="17" t="n">
        <v>5</v>
      </c>
      <c r="AO64" s="17" t="n">
        <v>5</v>
      </c>
      <c r="AP64" s="17" t="n">
        <v>4</v>
      </c>
      <c r="AQ64" s="17" t="n">
        <v>3</v>
      </c>
      <c r="AR64" s="17" t="n">
        <v>4</v>
      </c>
      <c r="AS64" s="17" t="n">
        <v>5</v>
      </c>
      <c r="AT64" s="8">
        <f>SUM(AB64:AS64)</f>
        <v/>
      </c>
      <c r="AU64" s="8">
        <f>AU11</f>
        <v/>
      </c>
      <c r="AV64" s="8">
        <f>AT64-AU64</f>
        <v/>
      </c>
      <c r="AW64" s="8">
        <f>MAX(0,25-AV64)*1.0</f>
        <v/>
      </c>
      <c r="AX64" s="18">
        <f>AA64+AW64</f>
        <v/>
      </c>
    </row>
    <row r="65">
      <c r="A65" s="8" t="n">
        <v>53</v>
      </c>
      <c r="B65" t="inlineStr">
        <is>
          <t>Gabriel Marques Guerreiro</t>
        </is>
      </c>
      <c r="C65" s="8" t="inlineStr">
        <is>
          <t>43053</t>
        </is>
      </c>
      <c r="D65" t="inlineStr">
        <is>
          <t>Estela</t>
        </is>
      </c>
      <c r="E65" s="8" t="n">
        <v>4.4</v>
      </c>
      <c r="F65" s="17" t="n">
        <v>4</v>
      </c>
      <c r="G65" s="17" t="n">
        <v>5</v>
      </c>
      <c r="H65" s="17" t="n">
        <v>3</v>
      </c>
      <c r="I65" s="17" t="n">
        <v>4</v>
      </c>
      <c r="J65" s="17" t="n">
        <v>6</v>
      </c>
      <c r="K65" s="17" t="n">
        <v>5</v>
      </c>
      <c r="L65" s="17" t="n">
        <v>5</v>
      </c>
      <c r="M65" s="17" t="n">
        <v>5</v>
      </c>
      <c r="N65" s="17" t="n">
        <v>5</v>
      </c>
      <c r="O65" s="17" t="n">
        <v>6</v>
      </c>
      <c r="P65" s="17" t="n">
        <v>4</v>
      </c>
      <c r="Q65" s="17" t="n">
        <v>5</v>
      </c>
      <c r="R65" s="17" t="n">
        <v>5</v>
      </c>
      <c r="S65" s="17" t="n">
        <v>4</v>
      </c>
      <c r="T65" s="17" t="n">
        <v>6</v>
      </c>
      <c r="U65" s="17" t="n">
        <v>4</v>
      </c>
      <c r="V65" s="17" t="n">
        <v>4</v>
      </c>
      <c r="W65" s="17" t="n">
        <v>5</v>
      </c>
      <c r="X65" s="8">
        <f>SUM(F65:W65)</f>
        <v/>
      </c>
      <c r="Y65" s="8">
        <f>Y11</f>
        <v/>
      </c>
      <c r="Z65" s="8">
        <f>X65-Y65</f>
        <v/>
      </c>
      <c r="AA65" s="8">
        <f>MAX(0,25-Z65)*1.0</f>
        <v/>
      </c>
      <c r="AB65" s="17" t="n">
        <v>4</v>
      </c>
      <c r="AC65" s="17" t="n">
        <v>4</v>
      </c>
      <c r="AD65" s="17" t="n">
        <v>4</v>
      </c>
      <c r="AE65" s="17" t="n">
        <v>6</v>
      </c>
      <c r="AF65" s="17" t="n">
        <v>5</v>
      </c>
      <c r="AG65" s="17" t="n">
        <v>6</v>
      </c>
      <c r="AH65" s="17" t="n">
        <v>6</v>
      </c>
      <c r="AI65" s="17" t="n">
        <v>3</v>
      </c>
      <c r="AJ65" s="17" t="n">
        <v>5</v>
      </c>
      <c r="AK65" s="17" t="n">
        <v>5</v>
      </c>
      <c r="AL65" s="17" t="n">
        <v>3</v>
      </c>
      <c r="AM65" s="17" t="n">
        <v>4</v>
      </c>
      <c r="AN65" s="17" t="n">
        <v>5</v>
      </c>
      <c r="AO65" s="17" t="n">
        <v>5</v>
      </c>
      <c r="AP65" s="17" t="n">
        <v>5</v>
      </c>
      <c r="AQ65" s="17" t="n">
        <v>3</v>
      </c>
      <c r="AR65" s="17" t="n">
        <v>4</v>
      </c>
      <c r="AS65" s="17" t="n">
        <v>5</v>
      </c>
      <c r="AT65" s="8">
        <f>SUM(AB65:AS65)</f>
        <v/>
      </c>
      <c r="AU65" s="8">
        <f>AU11</f>
        <v/>
      </c>
      <c r="AV65" s="8">
        <f>AT65-AU65</f>
        <v/>
      </c>
      <c r="AW65" s="8">
        <f>MAX(0,25-AV65)*1.0</f>
        <v/>
      </c>
      <c r="AX65" s="18">
        <f>AA65+AW65</f>
        <v/>
      </c>
    </row>
    <row r="66">
      <c r="A66" s="8" t="n">
        <v>54</v>
      </c>
      <c r="B66" t="inlineStr">
        <is>
          <t>João Araújo</t>
        </is>
      </c>
      <c r="C66" s="8" t="inlineStr">
        <is>
          <t>49012</t>
        </is>
      </c>
      <c r="D66" t="inlineStr">
        <is>
          <t>Citynorte</t>
        </is>
      </c>
      <c r="E66" s="8" t="n">
        <v>6.6</v>
      </c>
      <c r="F66" s="17" t="n">
        <v>6</v>
      </c>
      <c r="G66" s="17" t="n">
        <v>4</v>
      </c>
      <c r="H66" s="17" t="n">
        <v>3</v>
      </c>
      <c r="I66" s="17" t="n">
        <v>5</v>
      </c>
      <c r="J66" s="17" t="n">
        <v>6</v>
      </c>
      <c r="K66" s="17" t="n">
        <v>5</v>
      </c>
      <c r="L66" s="17" t="n">
        <v>4</v>
      </c>
      <c r="M66" s="17" t="n">
        <v>6</v>
      </c>
      <c r="N66" s="17" t="n">
        <v>3</v>
      </c>
      <c r="O66" s="17" t="n">
        <v>6</v>
      </c>
      <c r="P66" s="17" t="n">
        <v>4</v>
      </c>
      <c r="Q66" s="17" t="n">
        <v>5</v>
      </c>
      <c r="R66" s="17" t="n">
        <v>5</v>
      </c>
      <c r="S66" s="17" t="n">
        <v>5</v>
      </c>
      <c r="T66" s="17" t="n">
        <v>4</v>
      </c>
      <c r="U66" s="17" t="n">
        <v>5</v>
      </c>
      <c r="V66" s="17" t="n">
        <v>4</v>
      </c>
      <c r="W66" s="17" t="n">
        <v>5</v>
      </c>
      <c r="X66" s="8">
        <f>SUM(F66:W66)</f>
        <v/>
      </c>
      <c r="Y66" s="8">
        <f>Y11</f>
        <v/>
      </c>
      <c r="Z66" s="8">
        <f>X66-Y66</f>
        <v/>
      </c>
      <c r="AA66" s="8">
        <f>MAX(0,25-Z66)*1.0</f>
        <v/>
      </c>
      <c r="AB66" s="17" t="n">
        <v>6</v>
      </c>
      <c r="AC66" s="17" t="n">
        <v>5</v>
      </c>
      <c r="AD66" s="17" t="n">
        <v>5</v>
      </c>
      <c r="AE66" s="17" t="n">
        <v>6</v>
      </c>
      <c r="AF66" s="17" t="n">
        <v>5</v>
      </c>
      <c r="AG66" s="17" t="n">
        <v>5</v>
      </c>
      <c r="AH66" s="17" t="n">
        <v>5</v>
      </c>
      <c r="AI66" s="17" t="n">
        <v>5</v>
      </c>
      <c r="AJ66" s="17" t="n">
        <v>6</v>
      </c>
      <c r="AK66" s="17" t="n">
        <v>5</v>
      </c>
      <c r="AL66" s="17" t="n">
        <v>3</v>
      </c>
      <c r="AM66" s="17" t="n">
        <v>4</v>
      </c>
      <c r="AN66" s="17" t="n">
        <v>6</v>
      </c>
      <c r="AO66" s="17" t="n">
        <v>4</v>
      </c>
      <c r="AP66" s="17" t="n">
        <v>6</v>
      </c>
      <c r="AQ66" s="17" t="n">
        <v>4</v>
      </c>
      <c r="AR66" s="17" t="n">
        <v>4</v>
      </c>
      <c r="AS66" s="17" t="n">
        <v>4</v>
      </c>
      <c r="AT66" s="8">
        <f>SUM(AB66:AS66)</f>
        <v/>
      </c>
      <c r="AU66" s="8">
        <f>AU11</f>
        <v/>
      </c>
      <c r="AV66" s="8">
        <f>AT66-AU66</f>
        <v/>
      </c>
      <c r="AW66" s="8">
        <f>MAX(0,25-AV66)*1.0</f>
        <v/>
      </c>
      <c r="AX66" s="18">
        <f>AA66+AW66</f>
        <v/>
      </c>
    </row>
    <row r="67">
      <c r="A67" s="8" t="n">
        <v>55</v>
      </c>
      <c r="B67" t="inlineStr">
        <is>
          <t>Salvador Ivo de Carvalho</t>
        </is>
      </c>
      <c r="C67" s="8" t="inlineStr">
        <is>
          <t>43968</t>
        </is>
      </c>
      <c r="D67" t="inlineStr">
        <is>
          <t>Estoril</t>
        </is>
      </c>
      <c r="E67" s="8" t="n">
        <v>7.9</v>
      </c>
      <c r="F67" s="17" t="n">
        <v>7</v>
      </c>
      <c r="G67" s="17" t="n">
        <v>5</v>
      </c>
      <c r="H67" s="17" t="n">
        <v>5</v>
      </c>
      <c r="I67" s="17" t="n">
        <v>5</v>
      </c>
      <c r="J67" s="17" t="n">
        <v>5</v>
      </c>
      <c r="K67" s="17" t="n">
        <v>4</v>
      </c>
      <c r="L67" s="17" t="n">
        <v>5</v>
      </c>
      <c r="M67" s="17" t="n">
        <v>6</v>
      </c>
      <c r="N67" s="17" t="n">
        <v>6</v>
      </c>
      <c r="O67" s="17" t="n">
        <v>5</v>
      </c>
      <c r="P67" s="17" t="n">
        <v>3</v>
      </c>
      <c r="Q67" s="17" t="n">
        <v>4</v>
      </c>
      <c r="R67" s="17" t="n">
        <v>5</v>
      </c>
      <c r="S67" s="17" t="n">
        <v>4</v>
      </c>
      <c r="T67" s="17" t="n">
        <v>4</v>
      </c>
      <c r="U67" s="17" t="n">
        <v>4</v>
      </c>
      <c r="V67" s="17" t="n">
        <v>5</v>
      </c>
      <c r="W67" s="17" t="n">
        <v>4</v>
      </c>
      <c r="X67" s="8">
        <f>SUM(F67:W67)</f>
        <v/>
      </c>
      <c r="Y67" s="8">
        <f>Y11</f>
        <v/>
      </c>
      <c r="Z67" s="8">
        <f>X67-Y67</f>
        <v/>
      </c>
      <c r="AA67" s="8">
        <f>MAX(0,25-Z67)*1.0</f>
        <v/>
      </c>
      <c r="AB67" s="17" t="n">
        <v>6</v>
      </c>
      <c r="AC67" s="17" t="n">
        <v>6</v>
      </c>
      <c r="AD67" s="17" t="n">
        <v>4</v>
      </c>
      <c r="AE67" s="17" t="n">
        <v>6</v>
      </c>
      <c r="AF67" s="17" t="n">
        <v>5</v>
      </c>
      <c r="AG67" s="17" t="n">
        <v>4</v>
      </c>
      <c r="AH67" s="17" t="n">
        <v>5</v>
      </c>
      <c r="AI67" s="17" t="n">
        <v>3</v>
      </c>
      <c r="AJ67" s="17" t="n">
        <v>5</v>
      </c>
      <c r="AK67" s="17" t="n">
        <v>5</v>
      </c>
      <c r="AL67" s="17" t="n">
        <v>6</v>
      </c>
      <c r="AM67" s="17" t="n">
        <v>4</v>
      </c>
      <c r="AN67" s="17" t="n">
        <v>5</v>
      </c>
      <c r="AO67" s="17" t="n">
        <v>4</v>
      </c>
      <c r="AP67" s="17" t="n">
        <v>6</v>
      </c>
      <c r="AQ67" s="17" t="n">
        <v>4</v>
      </c>
      <c r="AR67" s="17" t="n">
        <v>5</v>
      </c>
      <c r="AS67" s="17" t="n">
        <v>5</v>
      </c>
      <c r="AT67" s="8">
        <f>SUM(AB67:AS67)</f>
        <v/>
      </c>
      <c r="AU67" s="8">
        <f>AU11</f>
        <v/>
      </c>
      <c r="AV67" s="8">
        <f>AT67-AU67</f>
        <v/>
      </c>
      <c r="AW67" s="8">
        <f>MAX(0,25-AV67)*1.0</f>
        <v/>
      </c>
      <c r="AX67" s="18">
        <f>AA67+AW67</f>
        <v/>
      </c>
    </row>
    <row r="68">
      <c r="A68" s="8" t="n">
        <v>56</v>
      </c>
      <c r="B68" t="inlineStr">
        <is>
          <t>Filipe Salazar L.t. Sousa</t>
        </is>
      </c>
      <c r="C68" s="8" t="inlineStr">
        <is>
          <t>33550</t>
        </is>
      </c>
      <c r="D68" t="inlineStr">
        <is>
          <t>Quinta do Peru</t>
        </is>
      </c>
      <c r="E68" s="8" t="n">
        <v>1.1</v>
      </c>
      <c r="F68" s="17" t="n">
        <v>9</v>
      </c>
      <c r="G68" s="17" t="n">
        <v>6</v>
      </c>
      <c r="H68" s="17" t="n">
        <v>3</v>
      </c>
      <c r="I68" s="17" t="n">
        <v>4</v>
      </c>
      <c r="J68" s="17" t="n">
        <v>5</v>
      </c>
      <c r="K68" s="17" t="n">
        <v>4</v>
      </c>
      <c r="L68" s="17" t="n">
        <v>6</v>
      </c>
      <c r="M68" s="17" t="n">
        <v>5</v>
      </c>
      <c r="N68" s="17" t="n">
        <v>4</v>
      </c>
      <c r="O68" s="17" t="n">
        <v>5</v>
      </c>
      <c r="P68" s="17" t="n">
        <v>2</v>
      </c>
      <c r="Q68" s="17" t="n">
        <v>3</v>
      </c>
      <c r="R68" s="17" t="n">
        <v>5</v>
      </c>
      <c r="S68" s="17" t="n">
        <v>6</v>
      </c>
      <c r="T68" s="17" t="n">
        <v>4</v>
      </c>
      <c r="U68" s="17" t="n">
        <v>4</v>
      </c>
      <c r="V68" s="17" t="n">
        <v>5</v>
      </c>
      <c r="W68" s="17" t="n">
        <v>6</v>
      </c>
      <c r="X68" s="8">
        <f>SUM(F68:W68)</f>
        <v/>
      </c>
      <c r="Y68" s="8">
        <f>Y11</f>
        <v/>
      </c>
      <c r="Z68" s="8">
        <f>X68-Y68</f>
        <v/>
      </c>
      <c r="AA68" s="8">
        <f>MAX(0,25-Z68)*1.0</f>
        <v/>
      </c>
      <c r="AB68" s="17" t="n">
        <v>6</v>
      </c>
      <c r="AC68" s="17" t="n">
        <v>7</v>
      </c>
      <c r="AD68" s="17" t="n">
        <v>7</v>
      </c>
      <c r="AE68" s="17" t="n">
        <v>5</v>
      </c>
      <c r="AF68" s="17" t="n">
        <v>6</v>
      </c>
      <c r="AG68" s="17" t="n">
        <v>4</v>
      </c>
      <c r="AH68" s="17" t="n">
        <v>4</v>
      </c>
      <c r="AI68" s="17" t="n">
        <v>3</v>
      </c>
      <c r="AJ68" s="17" t="n">
        <v>5</v>
      </c>
      <c r="AK68" s="17" t="n">
        <v>5</v>
      </c>
      <c r="AL68" s="17" t="n">
        <v>4</v>
      </c>
      <c r="AM68" s="17" t="n">
        <v>4</v>
      </c>
      <c r="AN68" s="17" t="n">
        <v>4</v>
      </c>
      <c r="AO68" s="17" t="n">
        <v>4</v>
      </c>
      <c r="AP68" s="17" t="n">
        <v>5</v>
      </c>
      <c r="AQ68" s="17" t="n">
        <v>3</v>
      </c>
      <c r="AR68" s="17" t="n">
        <v>4</v>
      </c>
      <c r="AS68" s="17" t="n">
        <v>4</v>
      </c>
      <c r="AT68" s="8">
        <f>SUM(AB68:AS68)</f>
        <v/>
      </c>
      <c r="AU68" s="8">
        <f>AU11</f>
        <v/>
      </c>
      <c r="AV68" s="8">
        <f>AT68-AU68</f>
        <v/>
      </c>
      <c r="AW68" s="8">
        <f>MAX(0,25-AV68)*1.0</f>
        <v/>
      </c>
      <c r="AX68" s="18">
        <f>AA68+AW68</f>
        <v/>
      </c>
    </row>
    <row r="69">
      <c r="A69" s="8" t="n">
        <v>57</v>
      </c>
      <c r="B69" t="inlineStr">
        <is>
          <t>Dinis Silva</t>
        </is>
      </c>
      <c r="C69" s="8" t="inlineStr">
        <is>
          <t>40910</t>
        </is>
      </c>
      <c r="D69" t="inlineStr">
        <is>
          <t>Oporto</t>
        </is>
      </c>
      <c r="E69" s="8" t="n">
        <v>3.5</v>
      </c>
      <c r="F69" s="17" t="n">
        <v>5</v>
      </c>
      <c r="G69" s="17" t="n">
        <v>5</v>
      </c>
      <c r="H69" s="17" t="n">
        <v>4</v>
      </c>
      <c r="I69" s="17" t="n">
        <v>4</v>
      </c>
      <c r="J69" s="17" t="n">
        <v>6</v>
      </c>
      <c r="K69" s="17" t="n">
        <v>6</v>
      </c>
      <c r="L69" s="17" t="n">
        <v>5</v>
      </c>
      <c r="M69" s="17" t="n">
        <v>3</v>
      </c>
      <c r="N69" s="17" t="n">
        <v>5</v>
      </c>
      <c r="O69" s="17" t="n">
        <v>6</v>
      </c>
      <c r="P69" s="17" t="n">
        <v>3</v>
      </c>
      <c r="Q69" s="17" t="n">
        <v>5</v>
      </c>
      <c r="R69" s="17" t="n">
        <v>6</v>
      </c>
      <c r="S69" s="17" t="n">
        <v>6</v>
      </c>
      <c r="T69" s="17" t="n">
        <v>4</v>
      </c>
      <c r="U69" s="17" t="n">
        <v>4</v>
      </c>
      <c r="V69" s="17" t="n">
        <v>4</v>
      </c>
      <c r="W69" s="17" t="n">
        <v>5</v>
      </c>
      <c r="X69" s="8">
        <f>SUM(F69:W69)</f>
        <v/>
      </c>
      <c r="Y69" s="8">
        <f>Y11</f>
        <v/>
      </c>
      <c r="Z69" s="8">
        <f>X69-Y69</f>
        <v/>
      </c>
      <c r="AA69" s="8">
        <f>MAX(0,25-Z69)*1.0</f>
        <v/>
      </c>
      <c r="AB69" s="17" t="n">
        <v>7</v>
      </c>
      <c r="AC69" s="17" t="n">
        <v>3</v>
      </c>
      <c r="AD69" s="17" t="n">
        <v>4</v>
      </c>
      <c r="AE69" s="17" t="n">
        <v>4</v>
      </c>
      <c r="AF69" s="17" t="n">
        <v>5</v>
      </c>
      <c r="AG69" s="17" t="n">
        <v>4</v>
      </c>
      <c r="AH69" s="17" t="n">
        <v>5</v>
      </c>
      <c r="AI69" s="17" t="n">
        <v>3</v>
      </c>
      <c r="AJ69" s="17" t="n">
        <v>4</v>
      </c>
      <c r="AK69" s="17" t="n">
        <v>5</v>
      </c>
      <c r="AL69" s="17" t="n">
        <v>4</v>
      </c>
      <c r="AM69" s="17" t="n">
        <v>4</v>
      </c>
      <c r="AN69" s="17" t="n">
        <v>5</v>
      </c>
      <c r="AO69" s="17" t="n">
        <v>6</v>
      </c>
      <c r="AP69" s="17" t="n">
        <v>5</v>
      </c>
      <c r="AQ69" s="17" t="n">
        <v>4</v>
      </c>
      <c r="AR69" s="17" t="n">
        <v>5</v>
      </c>
      <c r="AS69" s="17" t="n">
        <v>5</v>
      </c>
      <c r="AT69" s="8">
        <f>SUM(AB69:AS69)</f>
        <v/>
      </c>
      <c r="AU69" s="8">
        <f>AU11</f>
        <v/>
      </c>
      <c r="AV69" s="8">
        <f>AT69-AU69</f>
        <v/>
      </c>
      <c r="AW69" s="8">
        <f>MAX(0,25-AV69)*1.0</f>
        <v/>
      </c>
      <c r="AX69" s="18">
        <f>AA69+AW69</f>
        <v/>
      </c>
    </row>
    <row r="70">
      <c r="A70" s="8" t="n">
        <v>58</v>
      </c>
      <c r="B70" t="inlineStr">
        <is>
          <t>Henrique Almeida da Silva</t>
        </is>
      </c>
      <c r="C70" s="8" t="inlineStr">
        <is>
          <t>41612</t>
        </is>
      </c>
      <c r="D70" t="inlineStr">
        <is>
          <t>Belas</t>
        </is>
      </c>
      <c r="E70" s="8" t="n">
        <v>6.4</v>
      </c>
      <c r="F70" s="17" t="n">
        <v>6</v>
      </c>
      <c r="G70" s="17" t="n">
        <v>6</v>
      </c>
      <c r="H70" s="17" t="n">
        <v>4</v>
      </c>
      <c r="I70" s="17" t="n">
        <v>5</v>
      </c>
      <c r="J70" s="17" t="n">
        <v>4</v>
      </c>
      <c r="K70" s="17" t="n">
        <v>4</v>
      </c>
      <c r="L70" s="17" t="n">
        <v>6</v>
      </c>
      <c r="M70" s="17" t="n">
        <v>4</v>
      </c>
      <c r="N70" s="17" t="n">
        <v>4</v>
      </c>
      <c r="O70" s="17" t="n">
        <v>5</v>
      </c>
      <c r="P70" s="17" t="n">
        <v>4</v>
      </c>
      <c r="Q70" s="17" t="n">
        <v>4</v>
      </c>
      <c r="R70" s="17" t="n">
        <v>7</v>
      </c>
      <c r="S70" s="17" t="n">
        <v>4</v>
      </c>
      <c r="T70" s="17" t="n">
        <v>6</v>
      </c>
      <c r="U70" s="17" t="n">
        <v>3</v>
      </c>
      <c r="V70" s="17" t="n">
        <v>5</v>
      </c>
      <c r="W70" s="17" t="n">
        <v>5</v>
      </c>
      <c r="X70" s="8">
        <f>SUM(F70:W70)</f>
        <v/>
      </c>
      <c r="Y70" s="8">
        <f>Y11</f>
        <v/>
      </c>
      <c r="Z70" s="8">
        <f>X70-Y70</f>
        <v/>
      </c>
      <c r="AA70" s="8">
        <f>MAX(0,25-Z70)*1.0</f>
        <v/>
      </c>
      <c r="AB70" s="17" t="n">
        <v>6</v>
      </c>
      <c r="AC70" s="17" t="n">
        <v>6</v>
      </c>
      <c r="AD70" s="17" t="n">
        <v>4</v>
      </c>
      <c r="AE70" s="17" t="n">
        <v>5</v>
      </c>
      <c r="AF70" s="17" t="n">
        <v>4</v>
      </c>
      <c r="AG70" s="17" t="n">
        <v>5</v>
      </c>
      <c r="AH70" s="17" t="n">
        <v>5</v>
      </c>
      <c r="AI70" s="17" t="n">
        <v>3</v>
      </c>
      <c r="AJ70" s="17" t="n">
        <v>5</v>
      </c>
      <c r="AK70" s="17" t="n">
        <v>5</v>
      </c>
      <c r="AL70" s="17" t="n">
        <v>3</v>
      </c>
      <c r="AM70" s="17" t="n">
        <v>4</v>
      </c>
      <c r="AN70" s="17" t="n">
        <v>6</v>
      </c>
      <c r="AO70" s="17" t="n">
        <v>5</v>
      </c>
      <c r="AP70" s="17" t="n">
        <v>6</v>
      </c>
      <c r="AQ70" s="17" t="n">
        <v>4</v>
      </c>
      <c r="AR70" s="17" t="n">
        <v>5</v>
      </c>
      <c r="AS70" s="17" t="n">
        <v>6</v>
      </c>
      <c r="AT70" s="8">
        <f>SUM(AB70:AS70)</f>
        <v/>
      </c>
      <c r="AU70" s="8">
        <f>AU11</f>
        <v/>
      </c>
      <c r="AV70" s="8">
        <f>AT70-AU70</f>
        <v/>
      </c>
      <c r="AW70" s="8">
        <f>MAX(0,25-AV70)*1.0</f>
        <v/>
      </c>
      <c r="AX70" s="18">
        <f>AA70+AW70</f>
        <v/>
      </c>
    </row>
    <row r="71">
      <c r="A71" s="8" t="n">
        <v>59</v>
      </c>
      <c r="B71" t="inlineStr">
        <is>
          <t>Gaspard Maes</t>
        </is>
      </c>
      <c r="C71" s="8" t="inlineStr">
        <is>
          <t>51074</t>
        </is>
      </c>
      <c r="D71" t="inlineStr">
        <is>
          <t>Miramar</t>
        </is>
      </c>
      <c r="E71" s="8" t="n">
        <v>1.8</v>
      </c>
      <c r="F71" s="17" t="n">
        <v>5</v>
      </c>
      <c r="G71" s="17" t="n">
        <v>5</v>
      </c>
      <c r="H71" s="17" t="n">
        <v>3</v>
      </c>
      <c r="I71" s="17" t="n">
        <v>5</v>
      </c>
      <c r="J71" s="17" t="n">
        <v>6</v>
      </c>
      <c r="K71" s="17" t="n">
        <v>4</v>
      </c>
      <c r="L71" s="17" t="n">
        <v>6</v>
      </c>
      <c r="M71" s="17" t="n">
        <v>7</v>
      </c>
      <c r="N71" s="17" t="n">
        <v>6</v>
      </c>
      <c r="O71" s="17" t="n">
        <v>6</v>
      </c>
      <c r="P71" s="17" t="n">
        <v>3</v>
      </c>
      <c r="Q71" s="17" t="n">
        <v>5</v>
      </c>
      <c r="R71" s="17" t="n">
        <v>4</v>
      </c>
      <c r="S71" s="17" t="n">
        <v>4</v>
      </c>
      <c r="T71" s="17" t="n">
        <v>5</v>
      </c>
      <c r="U71" s="17" t="n">
        <v>3</v>
      </c>
      <c r="V71" s="17" t="n">
        <v>5</v>
      </c>
      <c r="W71" s="17" t="n">
        <v>5</v>
      </c>
      <c r="X71" s="8">
        <f>SUM(F71:W71)</f>
        <v/>
      </c>
      <c r="Y71" s="8">
        <f>Y11</f>
        <v/>
      </c>
      <c r="Z71" s="8">
        <f>X71-Y71</f>
        <v/>
      </c>
      <c r="AA71" s="8">
        <f>MAX(0,25-Z71)*1.0</f>
        <v/>
      </c>
      <c r="AB71" s="17" t="n">
        <v>6</v>
      </c>
      <c r="AC71" s="17" t="n">
        <v>4</v>
      </c>
      <c r="AD71" s="17" t="n">
        <v>3</v>
      </c>
      <c r="AE71" s="17" t="n">
        <v>5</v>
      </c>
      <c r="AF71" s="17" t="n">
        <v>6</v>
      </c>
      <c r="AG71" s="17" t="n">
        <v>6</v>
      </c>
      <c r="AH71" s="17" t="n">
        <v>5</v>
      </c>
      <c r="AI71" s="17" t="n">
        <v>2</v>
      </c>
      <c r="AJ71" s="17" t="n">
        <v>5</v>
      </c>
      <c r="AK71" s="17" t="n">
        <v>5</v>
      </c>
      <c r="AL71" s="17" t="n">
        <v>3</v>
      </c>
      <c r="AM71" s="17" t="n">
        <v>4</v>
      </c>
      <c r="AN71" s="17" t="n">
        <v>4</v>
      </c>
      <c r="AO71" s="17" t="n">
        <v>5</v>
      </c>
      <c r="AP71" s="17" t="n">
        <v>4</v>
      </c>
      <c r="AQ71" s="17" t="n">
        <v>4</v>
      </c>
      <c r="AR71" s="17" t="n">
        <v>6</v>
      </c>
      <c r="AS71" s="17" t="n">
        <v>4</v>
      </c>
      <c r="AT71" s="8">
        <f>SUM(AB71:AS71)</f>
        <v/>
      </c>
      <c r="AU71" s="8">
        <f>AU11</f>
        <v/>
      </c>
      <c r="AV71" s="8">
        <f>AT71-AU71</f>
        <v/>
      </c>
      <c r="AW71" s="8">
        <f>MAX(0,25-AV71)*1.0</f>
        <v/>
      </c>
      <c r="AX71" s="18">
        <f>AA71+AW71</f>
        <v/>
      </c>
    </row>
    <row r="72">
      <c r="A72" s="8" t="n">
        <v>60</v>
      </c>
      <c r="B72" t="inlineStr">
        <is>
          <t>Margarida Silva Pinto</t>
        </is>
      </c>
      <c r="C72" s="8" t="inlineStr">
        <is>
          <t>46310</t>
        </is>
      </c>
      <c r="D72" t="inlineStr">
        <is>
          <t>Miramar</t>
        </is>
      </c>
      <c r="E72" s="8" t="n">
        <v>4.1</v>
      </c>
      <c r="F72" s="17" t="n">
        <v>6</v>
      </c>
      <c r="G72" s="17" t="n">
        <v>4</v>
      </c>
      <c r="H72" s="17" t="n">
        <v>4</v>
      </c>
      <c r="I72" s="17" t="n">
        <v>5</v>
      </c>
      <c r="J72" s="17" t="n">
        <v>6</v>
      </c>
      <c r="K72" s="17" t="n">
        <v>4</v>
      </c>
      <c r="L72" s="17" t="n">
        <v>5</v>
      </c>
      <c r="M72" s="17" t="n">
        <v>4</v>
      </c>
      <c r="N72" s="17" t="n">
        <v>7</v>
      </c>
      <c r="O72" s="17" t="n">
        <v>6</v>
      </c>
      <c r="P72" s="17" t="n">
        <v>3</v>
      </c>
      <c r="Q72" s="17" t="n">
        <v>6</v>
      </c>
      <c r="R72" s="17" t="n">
        <v>5</v>
      </c>
      <c r="S72" s="17" t="n">
        <v>5</v>
      </c>
      <c r="T72" s="17" t="n">
        <v>4</v>
      </c>
      <c r="U72" s="17" t="n">
        <v>3</v>
      </c>
      <c r="V72" s="17" t="n">
        <v>4</v>
      </c>
      <c r="W72" s="17" t="n">
        <v>6</v>
      </c>
      <c r="X72" s="8">
        <f>SUM(F72:W72)</f>
        <v/>
      </c>
      <c r="Y72" s="8">
        <f>Y11</f>
        <v/>
      </c>
      <c r="Z72" s="8">
        <f>X72-Y72</f>
        <v/>
      </c>
      <c r="AA72" s="8">
        <f>MAX(0,25-Z72)*1.0</f>
        <v/>
      </c>
      <c r="AB72" s="17" t="n">
        <v>6</v>
      </c>
      <c r="AC72" s="17" t="n">
        <v>6</v>
      </c>
      <c r="AD72" s="17" t="n">
        <v>4</v>
      </c>
      <c r="AE72" s="17" t="n">
        <v>5</v>
      </c>
      <c r="AF72" s="17" t="n">
        <v>7</v>
      </c>
      <c r="AG72" s="17" t="n">
        <v>4</v>
      </c>
      <c r="AH72" s="17" t="n">
        <v>3</v>
      </c>
      <c r="AI72" s="17" t="n">
        <v>4</v>
      </c>
      <c r="AJ72" s="17" t="n">
        <v>5</v>
      </c>
      <c r="AK72" s="17" t="n">
        <v>7</v>
      </c>
      <c r="AL72" s="17" t="n">
        <v>2</v>
      </c>
      <c r="AM72" s="17" t="n">
        <v>5</v>
      </c>
      <c r="AN72" s="17" t="n">
        <v>8</v>
      </c>
      <c r="AO72" s="17" t="n">
        <v>4</v>
      </c>
      <c r="AP72" s="17" t="n">
        <v>5</v>
      </c>
      <c r="AQ72" s="17" t="n">
        <v>2</v>
      </c>
      <c r="AR72" s="17" t="n">
        <v>5</v>
      </c>
      <c r="AS72" s="17" t="n">
        <v>5</v>
      </c>
      <c r="AT72" s="8">
        <f>SUM(AB72:AS72)</f>
        <v/>
      </c>
      <c r="AU72" s="8">
        <f>AU11</f>
        <v/>
      </c>
      <c r="AV72" s="8">
        <f>AT72-AU72</f>
        <v/>
      </c>
      <c r="AW72" s="8">
        <f>MAX(0,25-AV72)*1.0</f>
        <v/>
      </c>
      <c r="AX72" s="18">
        <f>AA72+AW72</f>
        <v/>
      </c>
    </row>
    <row r="73">
      <c r="A73" s="8" t="n">
        <v>61</v>
      </c>
      <c r="B73" t="inlineStr">
        <is>
          <t>Salvador Rodrigues</t>
        </is>
      </c>
      <c r="C73" s="8" t="inlineStr">
        <is>
          <t>39465</t>
        </is>
      </c>
      <c r="D73" t="inlineStr">
        <is>
          <t>Palheiro</t>
        </is>
      </c>
      <c r="E73" s="8" t="n">
        <v>5.8</v>
      </c>
      <c r="F73" s="17" t="n">
        <v>5</v>
      </c>
      <c r="G73" s="17" t="n">
        <v>6</v>
      </c>
      <c r="H73" s="17" t="n">
        <v>4</v>
      </c>
      <c r="I73" s="17" t="n">
        <v>3</v>
      </c>
      <c r="J73" s="17" t="n">
        <v>5</v>
      </c>
      <c r="K73" s="17" t="n">
        <v>5</v>
      </c>
      <c r="L73" s="17" t="n">
        <v>5</v>
      </c>
      <c r="M73" s="17" t="n">
        <v>5</v>
      </c>
      <c r="N73" s="17" t="n">
        <v>5</v>
      </c>
      <c r="O73" s="17" t="n">
        <v>6</v>
      </c>
      <c r="P73" s="17" t="n">
        <v>5</v>
      </c>
      <c r="Q73" s="17" t="n">
        <v>4</v>
      </c>
      <c r="R73" s="17" t="n">
        <v>6</v>
      </c>
      <c r="S73" s="17" t="n">
        <v>5</v>
      </c>
      <c r="T73" s="17" t="n">
        <v>5</v>
      </c>
      <c r="U73" s="17" t="n">
        <v>4</v>
      </c>
      <c r="V73" s="17" t="n">
        <v>4</v>
      </c>
      <c r="W73" s="17" t="n">
        <v>5</v>
      </c>
      <c r="X73" s="8">
        <f>SUM(F73:W73)</f>
        <v/>
      </c>
      <c r="Y73" s="8">
        <f>Y11</f>
        <v/>
      </c>
      <c r="Z73" s="8">
        <f>X73-Y73</f>
        <v/>
      </c>
      <c r="AA73" s="8">
        <f>MAX(0,25-Z73)*1.0</f>
        <v/>
      </c>
      <c r="AB73" s="17" t="n">
        <v>6</v>
      </c>
      <c r="AC73" s="17" t="n">
        <v>4</v>
      </c>
      <c r="AD73" s="17" t="n">
        <v>3</v>
      </c>
      <c r="AE73" s="17" t="n">
        <v>7</v>
      </c>
      <c r="AF73" s="17" t="n">
        <v>5</v>
      </c>
      <c r="AG73" s="17" t="n">
        <v>5</v>
      </c>
      <c r="AH73" s="17" t="n">
        <v>5</v>
      </c>
      <c r="AI73" s="17" t="n">
        <v>3</v>
      </c>
      <c r="AJ73" s="17" t="n">
        <v>5</v>
      </c>
      <c r="AK73" s="17" t="n">
        <v>5</v>
      </c>
      <c r="AL73" s="17" t="n">
        <v>4</v>
      </c>
      <c r="AM73" s="17" t="n">
        <v>4</v>
      </c>
      <c r="AN73" s="17" t="n">
        <v>5</v>
      </c>
      <c r="AO73" s="17" t="n">
        <v>6</v>
      </c>
      <c r="AP73" s="17" t="n">
        <v>5</v>
      </c>
      <c r="AQ73" s="17" t="n">
        <v>5</v>
      </c>
      <c r="AR73" s="17" t="n">
        <v>4</v>
      </c>
      <c r="AS73" s="17" t="n">
        <v>6</v>
      </c>
      <c r="AT73" s="8">
        <f>SUM(AB73:AS73)</f>
        <v/>
      </c>
      <c r="AU73" s="8">
        <f>AU11</f>
        <v/>
      </c>
      <c r="AV73" s="8">
        <f>AT73-AU73</f>
        <v/>
      </c>
      <c r="AW73" s="8">
        <f>MAX(0,25-AV73)*1.0</f>
        <v/>
      </c>
      <c r="AX73" s="18">
        <f>AA73+AW73</f>
        <v/>
      </c>
    </row>
    <row r="74">
      <c r="A74" s="8" t="n">
        <v>62</v>
      </c>
      <c r="B74" t="inlineStr">
        <is>
          <t>Jorge Xavier Graça Silva</t>
        </is>
      </c>
      <c r="C74" s="8" t="inlineStr">
        <is>
          <t>48705</t>
        </is>
      </c>
      <c r="D74" t="inlineStr">
        <is>
          <t>Oporto</t>
        </is>
      </c>
      <c r="E74" s="8" t="n">
        <v>8.1</v>
      </c>
      <c r="F74" s="17" t="n">
        <v>5</v>
      </c>
      <c r="G74" s="17" t="n">
        <v>4</v>
      </c>
      <c r="H74" s="17" t="n">
        <v>4</v>
      </c>
      <c r="I74" s="17" t="n">
        <v>4</v>
      </c>
      <c r="J74" s="17" t="n">
        <v>5</v>
      </c>
      <c r="K74" s="17" t="n">
        <v>5</v>
      </c>
      <c r="L74" s="17" t="n">
        <v>4</v>
      </c>
      <c r="M74" s="17" t="n">
        <v>3</v>
      </c>
      <c r="N74" s="17" t="n">
        <v>5</v>
      </c>
      <c r="O74" s="17" t="n">
        <v>6</v>
      </c>
      <c r="P74" s="17" t="n">
        <v>4</v>
      </c>
      <c r="Q74" s="17" t="n">
        <v>5</v>
      </c>
      <c r="R74" s="17" t="n">
        <v>5</v>
      </c>
      <c r="S74" s="17" t="n">
        <v>4</v>
      </c>
      <c r="T74" s="17" t="n">
        <v>6</v>
      </c>
      <c r="U74" s="17" t="n">
        <v>7</v>
      </c>
      <c r="V74" s="17" t="n">
        <v>5</v>
      </c>
      <c r="W74" s="17" t="n">
        <v>6</v>
      </c>
      <c r="X74" s="8">
        <f>SUM(F74:W74)</f>
        <v/>
      </c>
      <c r="Y74" s="8">
        <f>Y11</f>
        <v/>
      </c>
      <c r="Z74" s="8">
        <f>X74-Y74</f>
        <v/>
      </c>
      <c r="AA74" s="8">
        <f>MAX(0,25-Z74)*1.0</f>
        <v/>
      </c>
      <c r="AB74" s="17" t="n">
        <v>5</v>
      </c>
      <c r="AC74" s="17" t="n">
        <v>4</v>
      </c>
      <c r="AD74" s="17" t="n">
        <v>5</v>
      </c>
      <c r="AE74" s="17" t="n">
        <v>5</v>
      </c>
      <c r="AF74" s="17" t="n">
        <v>5</v>
      </c>
      <c r="AG74" s="17" t="n">
        <v>5</v>
      </c>
      <c r="AH74" s="17" t="n">
        <v>5</v>
      </c>
      <c r="AI74" s="17" t="n">
        <v>4</v>
      </c>
      <c r="AJ74" s="17" t="n">
        <v>4</v>
      </c>
      <c r="AK74" s="17" t="n">
        <v>4</v>
      </c>
      <c r="AL74" s="17" t="n">
        <v>5</v>
      </c>
      <c r="AM74" s="17" t="n">
        <v>4</v>
      </c>
      <c r="AN74" s="17" t="n">
        <v>6</v>
      </c>
      <c r="AO74" s="17" t="n">
        <v>4</v>
      </c>
      <c r="AP74" s="17" t="n">
        <v>5</v>
      </c>
      <c r="AQ74" s="17" t="n">
        <v>4</v>
      </c>
      <c r="AR74" s="17" t="n">
        <v>4</v>
      </c>
      <c r="AS74" s="17" t="n">
        <v>5</v>
      </c>
      <c r="AT74" s="8">
        <f>SUM(AB74:AS74)</f>
        <v/>
      </c>
      <c r="AU74" s="8">
        <f>AU11</f>
        <v/>
      </c>
      <c r="AV74" s="8">
        <f>AT74-AU74</f>
        <v/>
      </c>
      <c r="AW74" s="8">
        <f>MAX(0,25-AV74)*1.0</f>
        <v/>
      </c>
      <c r="AX74" s="18">
        <f>AA74+AW74</f>
        <v/>
      </c>
    </row>
    <row r="75">
      <c r="A75" s="8" t="n">
        <v>63</v>
      </c>
      <c r="B75" t="inlineStr">
        <is>
          <t>João Santos</t>
        </is>
      </c>
      <c r="C75" s="8" t="inlineStr">
        <is>
          <t>40645</t>
        </is>
      </c>
      <c r="D75" t="inlineStr">
        <is>
          <t>PXO Clube</t>
        </is>
      </c>
      <c r="E75" s="8" t="n">
        <v>2.7</v>
      </c>
      <c r="F75" s="17" t="n">
        <v>6</v>
      </c>
      <c r="G75" s="17" t="n">
        <v>4</v>
      </c>
      <c r="H75" s="17" t="n">
        <v>6</v>
      </c>
      <c r="I75" s="17" t="n">
        <v>5</v>
      </c>
      <c r="J75" s="17" t="n">
        <v>4</v>
      </c>
      <c r="K75" s="17" t="n">
        <v>5</v>
      </c>
      <c r="L75" s="17" t="n">
        <v>4</v>
      </c>
      <c r="M75" s="17" t="n">
        <v>8</v>
      </c>
      <c r="N75" s="17" t="n">
        <v>5</v>
      </c>
      <c r="O75" s="17" t="n">
        <v>5</v>
      </c>
      <c r="P75" s="17" t="n">
        <v>4</v>
      </c>
      <c r="Q75" s="17" t="n">
        <v>5</v>
      </c>
      <c r="R75" s="17" t="n">
        <v>5</v>
      </c>
      <c r="S75" s="17" t="n">
        <v>5</v>
      </c>
      <c r="T75" s="17" t="n">
        <v>4</v>
      </c>
      <c r="U75" s="17" t="n">
        <v>5</v>
      </c>
      <c r="V75" s="17" t="n">
        <v>4</v>
      </c>
      <c r="W75" s="17" t="n">
        <v>4</v>
      </c>
      <c r="X75" s="8">
        <f>SUM(F75:W75)</f>
        <v/>
      </c>
      <c r="Y75" s="8">
        <f>Y11</f>
        <v/>
      </c>
      <c r="Z75" s="8">
        <f>X75-Y75</f>
        <v/>
      </c>
      <c r="AA75" s="8">
        <f>MAX(0,25-Z75)*1.0</f>
        <v/>
      </c>
      <c r="AB75" s="17" t="n">
        <v>6</v>
      </c>
      <c r="AC75" s="17" t="n">
        <v>5</v>
      </c>
      <c r="AD75" s="17" t="n">
        <v>3</v>
      </c>
      <c r="AE75" s="17" t="n">
        <v>6</v>
      </c>
      <c r="AF75" s="17" t="n">
        <v>6</v>
      </c>
      <c r="AG75" s="17" t="n">
        <v>5</v>
      </c>
      <c r="AH75" s="17" t="n">
        <v>4</v>
      </c>
      <c r="AI75" s="17" t="n">
        <v>5</v>
      </c>
      <c r="AJ75" s="17" t="n">
        <v>5</v>
      </c>
      <c r="AK75" s="17" t="n">
        <v>5</v>
      </c>
      <c r="AL75" s="17" t="n">
        <v>4</v>
      </c>
      <c r="AM75" s="17" t="n">
        <v>4</v>
      </c>
      <c r="AN75" s="17" t="n">
        <v>5</v>
      </c>
      <c r="AO75" s="17" t="n">
        <v>4</v>
      </c>
      <c r="AP75" s="17" t="n">
        <v>6</v>
      </c>
      <c r="AQ75" s="17" t="n">
        <v>4</v>
      </c>
      <c r="AR75" s="17" t="n">
        <v>5</v>
      </c>
      <c r="AS75" s="17" t="n">
        <v>7</v>
      </c>
      <c r="AT75" s="8">
        <f>SUM(AB75:AS75)</f>
        <v/>
      </c>
      <c r="AU75" s="8">
        <f>AU11</f>
        <v/>
      </c>
      <c r="AV75" s="8">
        <f>AT75-AU75</f>
        <v/>
      </c>
      <c r="AW75" s="8">
        <f>MAX(0,25-AV75)*1.0</f>
        <v/>
      </c>
      <c r="AX75" s="18">
        <f>AA75+AW75</f>
        <v/>
      </c>
    </row>
    <row r="76">
      <c r="A76" s="8" t="n">
        <v>64</v>
      </c>
      <c r="B76" t="inlineStr">
        <is>
          <t>Tomás Rente</t>
        </is>
      </c>
      <c r="C76" s="8" t="inlineStr">
        <is>
          <t>46311</t>
        </is>
      </c>
      <c r="D76" t="inlineStr">
        <is>
          <t>Miramar</t>
        </is>
      </c>
      <c r="E76" s="8" t="n">
        <v>6</v>
      </c>
      <c r="F76" s="17" t="n">
        <v>5</v>
      </c>
      <c r="G76" s="17" t="n">
        <v>5</v>
      </c>
      <c r="H76" s="17" t="n">
        <v>3</v>
      </c>
      <c r="I76" s="17" t="n">
        <v>3</v>
      </c>
      <c r="J76" s="17" t="n">
        <v>7</v>
      </c>
      <c r="K76" s="17" t="n">
        <v>5</v>
      </c>
      <c r="L76" s="17" t="n">
        <v>7</v>
      </c>
      <c r="M76" s="17" t="n">
        <v>6</v>
      </c>
      <c r="N76" s="17" t="n">
        <v>6</v>
      </c>
      <c r="O76" s="17" t="n">
        <v>5</v>
      </c>
      <c r="P76" s="17" t="n">
        <v>4</v>
      </c>
      <c r="Q76" s="17" t="n">
        <v>3</v>
      </c>
      <c r="R76" s="17" t="n">
        <v>5</v>
      </c>
      <c r="S76" s="17" t="n">
        <v>4</v>
      </c>
      <c r="T76" s="17" t="n">
        <v>6</v>
      </c>
      <c r="U76" s="17" t="n">
        <v>4</v>
      </c>
      <c r="V76" s="17" t="n">
        <v>5</v>
      </c>
      <c r="W76" s="17" t="n">
        <v>5</v>
      </c>
      <c r="X76" s="8">
        <f>SUM(F76:W76)</f>
        <v/>
      </c>
      <c r="Y76" s="8">
        <f>Y11</f>
        <v/>
      </c>
      <c r="Z76" s="8">
        <f>X76-Y76</f>
        <v/>
      </c>
      <c r="AA76" s="8">
        <f>MAX(0,25-Z76)*1.0</f>
        <v/>
      </c>
      <c r="AB76" s="17" t="n">
        <v>6</v>
      </c>
      <c r="AC76" s="17" t="n">
        <v>6</v>
      </c>
      <c r="AD76" s="17" t="n">
        <v>4</v>
      </c>
      <c r="AE76" s="17" t="n">
        <v>6</v>
      </c>
      <c r="AF76" s="17" t="n">
        <v>7</v>
      </c>
      <c r="AG76" s="17" t="n">
        <v>4</v>
      </c>
      <c r="AH76" s="17" t="n">
        <v>4</v>
      </c>
      <c r="AI76" s="17" t="n">
        <v>4</v>
      </c>
      <c r="AJ76" s="17" t="n">
        <v>4</v>
      </c>
      <c r="AK76" s="17" t="n">
        <v>6</v>
      </c>
      <c r="AL76" s="17" t="n">
        <v>4</v>
      </c>
      <c r="AM76" s="17" t="n">
        <v>5</v>
      </c>
      <c r="AN76" s="17" t="n">
        <v>4</v>
      </c>
      <c r="AO76" s="17" t="n">
        <v>5</v>
      </c>
      <c r="AP76" s="17" t="n">
        <v>5</v>
      </c>
      <c r="AQ76" s="17" t="n">
        <v>3</v>
      </c>
      <c r="AR76" s="17" t="n">
        <v>4</v>
      </c>
      <c r="AS76" s="17" t="n">
        <v>5</v>
      </c>
      <c r="AT76" s="8">
        <f>SUM(AB76:AS76)</f>
        <v/>
      </c>
      <c r="AU76" s="8">
        <f>AU11</f>
        <v/>
      </c>
      <c r="AV76" s="8">
        <f>AT76-AU76</f>
        <v/>
      </c>
      <c r="AW76" s="8">
        <f>MAX(0,25-AV76)*1.0</f>
        <v/>
      </c>
      <c r="AX76" s="18">
        <f>AA76+AW76</f>
        <v/>
      </c>
    </row>
    <row r="77">
      <c r="A77" s="8" t="n">
        <v>65</v>
      </c>
      <c r="B77" t="inlineStr">
        <is>
          <t>Madalena Alexandra Van Zeller</t>
        </is>
      </c>
      <c r="C77" s="8" t="inlineStr">
        <is>
          <t>47078</t>
        </is>
      </c>
      <c r="D77" t="inlineStr">
        <is>
          <t>Ilha Terceira</t>
        </is>
      </c>
      <c r="E77" s="8" t="n">
        <v>7.6</v>
      </c>
      <c r="F77" s="17" t="n">
        <v>6</v>
      </c>
      <c r="G77" s="17" t="n">
        <v>6</v>
      </c>
      <c r="H77" s="17" t="n">
        <v>3</v>
      </c>
      <c r="I77" s="17" t="n">
        <v>5</v>
      </c>
      <c r="J77" s="17" t="n">
        <v>6</v>
      </c>
      <c r="K77" s="17" t="n">
        <v>5</v>
      </c>
      <c r="L77" s="17" t="n">
        <v>7</v>
      </c>
      <c r="M77" s="17" t="n">
        <v>4</v>
      </c>
      <c r="N77" s="17" t="n">
        <v>5</v>
      </c>
      <c r="O77" s="17" t="n">
        <v>5</v>
      </c>
      <c r="P77" s="17" t="n">
        <v>3</v>
      </c>
      <c r="Q77" s="17" t="n">
        <v>4</v>
      </c>
      <c r="R77" s="17" t="n">
        <v>5</v>
      </c>
      <c r="S77" s="17" t="n">
        <v>5</v>
      </c>
      <c r="T77" s="17" t="n">
        <v>4</v>
      </c>
      <c r="U77" s="17" t="n">
        <v>3</v>
      </c>
      <c r="V77" s="17" t="n">
        <v>6</v>
      </c>
      <c r="W77" s="17" t="n">
        <v>6</v>
      </c>
      <c r="X77" s="8">
        <f>SUM(F77:W77)</f>
        <v/>
      </c>
      <c r="Y77" s="8">
        <f>Y11</f>
        <v/>
      </c>
      <c r="Z77" s="8">
        <f>X77-Y77</f>
        <v/>
      </c>
      <c r="AA77" s="8">
        <f>MAX(0,25-Z77)*1.0</f>
        <v/>
      </c>
      <c r="AB77" s="17" t="n">
        <v>7</v>
      </c>
      <c r="AC77" s="17" t="n">
        <v>7</v>
      </c>
      <c r="AD77" s="17" t="n">
        <v>4</v>
      </c>
      <c r="AE77" s="17" t="n">
        <v>6</v>
      </c>
      <c r="AF77" s="17" t="n">
        <v>7</v>
      </c>
      <c r="AG77" s="17" t="n">
        <v>6</v>
      </c>
      <c r="AH77" s="17" t="n">
        <v>6</v>
      </c>
      <c r="AI77" s="17" t="n">
        <v>5</v>
      </c>
      <c r="AJ77" s="17" t="n">
        <v>5</v>
      </c>
      <c r="AK77" s="17" t="n">
        <v>4</v>
      </c>
      <c r="AL77" s="17" t="n">
        <v>5</v>
      </c>
      <c r="AM77" s="17" t="n">
        <v>5</v>
      </c>
      <c r="AN77" s="17" t="n">
        <v>6</v>
      </c>
      <c r="AO77" s="17" t="n">
        <v>5</v>
      </c>
      <c r="AP77" s="17" t="n">
        <v>5</v>
      </c>
      <c r="AQ77" s="17" t="n">
        <v>3</v>
      </c>
      <c r="AR77" s="17" t="n">
        <v>5</v>
      </c>
      <c r="AS77" s="17" t="n">
        <v>5</v>
      </c>
      <c r="AT77" s="8">
        <f>SUM(AB77:AS77)</f>
        <v/>
      </c>
      <c r="AU77" s="8">
        <f>AU11</f>
        <v/>
      </c>
      <c r="AV77" s="8">
        <f>AT77-AU77</f>
        <v/>
      </c>
      <c r="AW77" s="8">
        <f>MAX(0,25-AV77)*1.0</f>
        <v/>
      </c>
      <c r="AX77" s="18">
        <f>AA77+AW77</f>
        <v/>
      </c>
    </row>
    <row r="78">
      <c r="A78" s="8" t="n">
        <v>66</v>
      </c>
      <c r="B78" t="inlineStr">
        <is>
          <t>Sebastiao Sardinha Saraiva</t>
        </is>
      </c>
      <c r="C78" s="8" t="inlineStr">
        <is>
          <t>46195</t>
        </is>
      </c>
      <c r="D78" t="inlineStr">
        <is>
          <t>Miramar</t>
        </is>
      </c>
      <c r="E78" s="8" t="n">
        <v>6.4</v>
      </c>
      <c r="F78" s="17" t="n">
        <v>6</v>
      </c>
      <c r="G78" s="17" t="n">
        <v>4</v>
      </c>
      <c r="H78" s="17" t="n">
        <v>4</v>
      </c>
      <c r="I78" s="17" t="n">
        <v>5</v>
      </c>
      <c r="J78" s="17" t="n">
        <v>5</v>
      </c>
      <c r="K78" s="17" t="n">
        <v>6</v>
      </c>
      <c r="L78" s="17" t="n">
        <v>5</v>
      </c>
      <c r="M78" s="17" t="n">
        <v>5</v>
      </c>
      <c r="N78" s="17" t="n">
        <v>6</v>
      </c>
      <c r="O78" s="17" t="n">
        <v>5</v>
      </c>
      <c r="P78" s="17" t="n">
        <v>4</v>
      </c>
      <c r="Q78" s="17" t="n">
        <v>4</v>
      </c>
      <c r="R78" s="17" t="n">
        <v>4</v>
      </c>
      <c r="S78" s="17" t="n">
        <v>5</v>
      </c>
      <c r="T78" s="17" t="n">
        <v>4</v>
      </c>
      <c r="U78" s="17" t="n">
        <v>7</v>
      </c>
      <c r="V78" s="17" t="n">
        <v>4</v>
      </c>
      <c r="W78" s="17" t="n">
        <v>5</v>
      </c>
      <c r="X78" s="8">
        <f>SUM(F78:W78)</f>
        <v/>
      </c>
      <c r="Y78" s="8">
        <f>Y11</f>
        <v/>
      </c>
      <c r="Z78" s="8">
        <f>X78-Y78</f>
        <v/>
      </c>
      <c r="AA78" s="8">
        <f>MAX(0,25-Z78)*1.0</f>
        <v/>
      </c>
      <c r="AB78" s="17" t="n">
        <v>6</v>
      </c>
      <c r="AC78" s="17" t="n">
        <v>5</v>
      </c>
      <c r="AD78" s="17" t="n">
        <v>4</v>
      </c>
      <c r="AE78" s="17" t="n">
        <v>4</v>
      </c>
      <c r="AF78" s="17" t="n">
        <v>7</v>
      </c>
      <c r="AG78" s="17" t="n">
        <v>5</v>
      </c>
      <c r="AH78" s="17" t="n">
        <v>4</v>
      </c>
      <c r="AI78" s="17" t="n">
        <v>3</v>
      </c>
      <c r="AJ78" s="17" t="n">
        <v>6</v>
      </c>
      <c r="AK78" s="17" t="n">
        <v>5</v>
      </c>
      <c r="AL78" s="17" t="n">
        <v>3</v>
      </c>
      <c r="AM78" s="17" t="n">
        <v>3</v>
      </c>
      <c r="AN78" s="17" t="n">
        <v>6</v>
      </c>
      <c r="AO78" s="17" t="n">
        <v>4</v>
      </c>
      <c r="AP78" s="17" t="n">
        <v>6</v>
      </c>
      <c r="AQ78" s="17" t="n">
        <v>4</v>
      </c>
      <c r="AR78" s="17" t="n">
        <v>4</v>
      </c>
      <c r="AS78" s="17" t="n">
        <v>4</v>
      </c>
      <c r="AT78" s="8">
        <f>SUM(AB78:AS78)</f>
        <v/>
      </c>
      <c r="AU78" s="8">
        <f>AU11</f>
        <v/>
      </c>
      <c r="AV78" s="8">
        <f>AT78-AU78</f>
        <v/>
      </c>
      <c r="AW78" s="8">
        <f>MAX(0,25-AV78)*1.0</f>
        <v/>
      </c>
      <c r="AX78" s="18">
        <f>AA78+AW78</f>
        <v/>
      </c>
    </row>
    <row r="79">
      <c r="A79" s="8" t="n">
        <v>67</v>
      </c>
      <c r="B79" t="inlineStr">
        <is>
          <t>Ryan Dantas</t>
        </is>
      </c>
      <c r="C79" s="8" t="inlineStr">
        <is>
          <t>45439</t>
        </is>
      </c>
      <c r="D79" t="inlineStr">
        <is>
          <t>Belas</t>
        </is>
      </c>
      <c r="E79" s="8" t="n">
        <v>6.9</v>
      </c>
      <c r="F79" s="17" t="n">
        <v>6</v>
      </c>
      <c r="G79" s="17" t="n">
        <v>4</v>
      </c>
      <c r="H79" s="17" t="n">
        <v>4</v>
      </c>
      <c r="I79" s="17" t="n">
        <v>5</v>
      </c>
      <c r="J79" s="17" t="n">
        <v>5</v>
      </c>
      <c r="K79" s="17" t="n">
        <v>4</v>
      </c>
      <c r="L79" s="17" t="n">
        <v>5</v>
      </c>
      <c r="M79" s="17" t="n">
        <v>7</v>
      </c>
      <c r="N79" s="17" t="n">
        <v>5</v>
      </c>
      <c r="O79" s="17" t="n">
        <v>5</v>
      </c>
      <c r="P79" s="17" t="n">
        <v>3</v>
      </c>
      <c r="Q79" s="17" t="n">
        <v>5</v>
      </c>
      <c r="R79" s="17" t="n">
        <v>5</v>
      </c>
      <c r="S79" s="17" t="n">
        <v>6</v>
      </c>
      <c r="T79" s="17" t="n">
        <v>5</v>
      </c>
      <c r="U79" s="17" t="n">
        <v>4</v>
      </c>
      <c r="V79" s="17" t="n">
        <v>4</v>
      </c>
      <c r="W79" s="17" t="n">
        <v>6</v>
      </c>
      <c r="X79" s="8">
        <f>SUM(F79:W79)</f>
        <v/>
      </c>
      <c r="Y79" s="8">
        <f>Y11</f>
        <v/>
      </c>
      <c r="Z79" s="8">
        <f>X79-Y79</f>
        <v/>
      </c>
      <c r="AA79" s="8">
        <f>MAX(0,25-Z79)*1.0</f>
        <v/>
      </c>
      <c r="AB79" s="17" t="n">
        <v>7</v>
      </c>
      <c r="AC79" s="17" t="n">
        <v>4</v>
      </c>
      <c r="AD79" s="17" t="n">
        <v>6</v>
      </c>
      <c r="AE79" s="17" t="n">
        <v>4</v>
      </c>
      <c r="AF79" s="17" t="n">
        <v>7</v>
      </c>
      <c r="AG79" s="17" t="n">
        <v>5</v>
      </c>
      <c r="AH79" s="17" t="n">
        <v>5</v>
      </c>
      <c r="AI79" s="17" t="n">
        <v>5</v>
      </c>
      <c r="AJ79" s="17" t="n">
        <v>7</v>
      </c>
      <c r="AK79" s="17" t="n">
        <v>4</v>
      </c>
      <c r="AL79" s="17" t="n">
        <v>5</v>
      </c>
      <c r="AM79" s="17" t="n">
        <v>4</v>
      </c>
      <c r="AN79" s="17" t="n">
        <v>4</v>
      </c>
      <c r="AO79" s="17" t="n">
        <v>5</v>
      </c>
      <c r="AP79" s="17" t="n">
        <v>5</v>
      </c>
      <c r="AQ79" s="17" t="n">
        <v>4</v>
      </c>
      <c r="AR79" s="17" t="n">
        <v>5</v>
      </c>
      <c r="AS79" s="17" t="n">
        <v>5</v>
      </c>
      <c r="AT79" s="8">
        <f>SUM(AB79:AS79)</f>
        <v/>
      </c>
      <c r="AU79" s="8">
        <f>AU11</f>
        <v/>
      </c>
      <c r="AV79" s="8">
        <f>AT79-AU79</f>
        <v/>
      </c>
      <c r="AW79" s="8">
        <f>MAX(0,25-AV79)*1.0</f>
        <v/>
      </c>
      <c r="AX79" s="18">
        <f>AA79+AW79</f>
        <v/>
      </c>
    </row>
    <row r="80">
      <c r="A80" s="8" t="n">
        <v>68</v>
      </c>
      <c r="B80" t="inlineStr">
        <is>
          <t>Rui Paulo Pereira</t>
        </is>
      </c>
      <c r="C80" s="8" t="inlineStr">
        <is>
          <t>37523</t>
        </is>
      </c>
      <c r="D80" t="inlineStr">
        <is>
          <t>JuveGolfe</t>
        </is>
      </c>
      <c r="E80" s="8" t="n">
        <v>8.5</v>
      </c>
      <c r="F80" s="17" t="n">
        <v>5</v>
      </c>
      <c r="G80" s="17" t="n">
        <v>6</v>
      </c>
      <c r="H80" s="17" t="n">
        <v>3</v>
      </c>
      <c r="I80" s="17" t="n">
        <v>7</v>
      </c>
      <c r="J80" s="17" t="n">
        <v>5</v>
      </c>
      <c r="K80" s="17" t="n">
        <v>5</v>
      </c>
      <c r="L80" s="17" t="n">
        <v>5</v>
      </c>
      <c r="M80" s="17" t="n">
        <v>4</v>
      </c>
      <c r="N80" s="17" t="n">
        <v>5</v>
      </c>
      <c r="O80" s="17" t="n">
        <v>5</v>
      </c>
      <c r="P80" s="17" t="n">
        <v>4</v>
      </c>
      <c r="Q80" s="17" t="n">
        <v>4</v>
      </c>
      <c r="R80" s="17" t="n">
        <v>6</v>
      </c>
      <c r="S80" s="17" t="n">
        <v>4</v>
      </c>
      <c r="T80" s="17" t="n">
        <v>4</v>
      </c>
      <c r="U80" s="17" t="n">
        <v>5</v>
      </c>
      <c r="V80" s="17" t="n">
        <v>5</v>
      </c>
      <c r="W80" s="17" t="n">
        <v>6</v>
      </c>
      <c r="X80" s="8">
        <f>SUM(F80:W80)</f>
        <v/>
      </c>
      <c r="Y80" s="8">
        <f>Y11</f>
        <v/>
      </c>
      <c r="Z80" s="8">
        <f>X80-Y80</f>
        <v/>
      </c>
      <c r="AA80" s="8">
        <f>MAX(0,25-Z80)*1.0</f>
        <v/>
      </c>
      <c r="AB80" s="17" t="n">
        <v>6</v>
      </c>
      <c r="AC80" s="17" t="n">
        <v>5</v>
      </c>
      <c r="AD80" s="17" t="n">
        <v>4</v>
      </c>
      <c r="AE80" s="17" t="n">
        <v>6</v>
      </c>
      <c r="AF80" s="17" t="n">
        <v>7</v>
      </c>
      <c r="AG80" s="17" t="n">
        <v>6</v>
      </c>
      <c r="AH80" s="17" t="n">
        <v>6</v>
      </c>
      <c r="AI80" s="17" t="n">
        <v>6</v>
      </c>
      <c r="AJ80" s="17" t="n">
        <v>7</v>
      </c>
      <c r="AK80" s="17" t="n">
        <v>7</v>
      </c>
      <c r="AL80" s="17" t="n">
        <v>5</v>
      </c>
      <c r="AM80" s="17" t="n">
        <v>4</v>
      </c>
      <c r="AN80" s="17" t="n">
        <v>5</v>
      </c>
      <c r="AO80" s="17" t="n">
        <v>5</v>
      </c>
      <c r="AP80" s="17" t="n">
        <v>4</v>
      </c>
      <c r="AQ80" s="17" t="n">
        <v>4</v>
      </c>
      <c r="AR80" s="17" t="n">
        <v>6</v>
      </c>
      <c r="AS80" s="17" t="n">
        <v>6</v>
      </c>
      <c r="AT80" s="8">
        <f>SUM(AB80:AS80)</f>
        <v/>
      </c>
      <c r="AU80" s="8">
        <f>AU11</f>
        <v/>
      </c>
      <c r="AV80" s="8">
        <f>AT80-AU80</f>
        <v/>
      </c>
      <c r="AW80" s="8">
        <f>MAX(0,25-AV80)*1.0</f>
        <v/>
      </c>
      <c r="AX80" s="18">
        <f>AA80+AW80</f>
        <v/>
      </c>
    </row>
    <row r="81">
      <c r="A81" s="8" t="n">
        <v>69</v>
      </c>
      <c r="B81" t="inlineStr">
        <is>
          <t>Tomás Lima Pinto</t>
        </is>
      </c>
      <c r="C81" s="8" t="inlineStr">
        <is>
          <t>46037</t>
        </is>
      </c>
      <c r="D81" t="inlineStr">
        <is>
          <t>Vilamoura, C. G</t>
        </is>
      </c>
      <c r="E81" s="8" t="n">
        <v>8.9</v>
      </c>
      <c r="F81" s="17" t="n">
        <v>5</v>
      </c>
      <c r="G81" s="17" t="n">
        <v>5</v>
      </c>
      <c r="H81" s="17" t="n">
        <v>3</v>
      </c>
      <c r="I81" s="17" t="n">
        <v>6</v>
      </c>
      <c r="J81" s="17" t="n">
        <v>6</v>
      </c>
      <c r="K81" s="17" t="n">
        <v>6</v>
      </c>
      <c r="L81" s="17" t="n">
        <v>5</v>
      </c>
      <c r="M81" s="17" t="n">
        <v>5</v>
      </c>
      <c r="N81" s="17" t="n">
        <v>4</v>
      </c>
      <c r="O81" s="17" t="n">
        <v>5</v>
      </c>
      <c r="P81" s="17" t="n">
        <v>3</v>
      </c>
      <c r="Q81" s="17" t="n">
        <v>3</v>
      </c>
      <c r="R81" s="17" t="n">
        <v>5</v>
      </c>
      <c r="S81" s="17" t="n">
        <v>6</v>
      </c>
      <c r="T81" s="17" t="n">
        <v>7</v>
      </c>
      <c r="U81" s="17" t="n">
        <v>4</v>
      </c>
      <c r="V81" s="17" t="n">
        <v>6</v>
      </c>
      <c r="W81" s="17" t="n">
        <v>4</v>
      </c>
      <c r="X81" s="8">
        <f>SUM(F81:W81)</f>
        <v/>
      </c>
      <c r="Y81" s="8">
        <f>Y11</f>
        <v/>
      </c>
      <c r="Z81" s="8">
        <f>X81-Y81</f>
        <v/>
      </c>
      <c r="AA81" s="8">
        <f>MAX(0,25-Z81)*1.0</f>
        <v/>
      </c>
      <c r="AB81" s="17" t="n">
        <v>5</v>
      </c>
      <c r="AC81" s="17" t="n">
        <v>5</v>
      </c>
      <c r="AD81" s="17" t="n">
        <v>4</v>
      </c>
      <c r="AE81" s="17" t="n">
        <v>6</v>
      </c>
      <c r="AF81" s="17" t="n">
        <v>6</v>
      </c>
      <c r="AG81" s="17" t="n">
        <v>5</v>
      </c>
      <c r="AH81" s="17" t="n">
        <v>5</v>
      </c>
      <c r="AI81" s="17" t="n">
        <v>6</v>
      </c>
      <c r="AJ81" s="17" t="n">
        <v>5</v>
      </c>
      <c r="AK81" s="17" t="n">
        <v>6</v>
      </c>
      <c r="AL81" s="17" t="n">
        <v>4</v>
      </c>
      <c r="AM81" s="17" t="n">
        <v>4</v>
      </c>
      <c r="AN81" s="17" t="n">
        <v>8</v>
      </c>
      <c r="AO81" s="17" t="n">
        <v>6</v>
      </c>
      <c r="AP81" s="17" t="n">
        <v>11</v>
      </c>
      <c r="AQ81" s="17" t="n">
        <v>2</v>
      </c>
      <c r="AR81" s="17" t="n">
        <v>5</v>
      </c>
      <c r="AS81" s="17" t="n">
        <v>6</v>
      </c>
      <c r="AT81" s="8">
        <f>SUM(AB81:AS81)</f>
        <v/>
      </c>
      <c r="AU81" s="8">
        <f>AU11</f>
        <v/>
      </c>
      <c r="AV81" s="8">
        <f>AT81-AU81</f>
        <v/>
      </c>
      <c r="AW81" s="8">
        <f>MAX(0,25-AV81)*1.0</f>
        <v/>
      </c>
      <c r="AX81" s="18">
        <f>AA81+AW81</f>
        <v/>
      </c>
    </row>
    <row r="82">
      <c r="A82" s="8" t="n">
        <v>70</v>
      </c>
      <c r="B82" t="inlineStr">
        <is>
          <t>João Rocha</t>
        </is>
      </c>
      <c r="C82" s="8" t="inlineStr">
        <is>
          <t>48297</t>
        </is>
      </c>
      <c r="D82" t="inlineStr">
        <is>
          <t>Estoril</t>
        </is>
      </c>
      <c r="E82" s="8" t="n">
        <v>4.3</v>
      </c>
      <c r="F82" s="17" t="n">
        <v>5</v>
      </c>
      <c r="G82" s="17" t="n">
        <v>5</v>
      </c>
      <c r="H82" s="17" t="n">
        <v>3</v>
      </c>
      <c r="I82" s="17" t="n">
        <v>7</v>
      </c>
      <c r="J82" s="17" t="n">
        <v>6</v>
      </c>
      <c r="K82" s="17" t="n">
        <v>6</v>
      </c>
      <c r="L82" s="17" t="n">
        <v>4</v>
      </c>
      <c r="M82" s="17" t="n">
        <v>4</v>
      </c>
      <c r="N82" s="17" t="n">
        <v>4</v>
      </c>
      <c r="O82" s="17" t="n">
        <v>8</v>
      </c>
      <c r="P82" s="17" t="n">
        <v>3</v>
      </c>
      <c r="Q82" s="17" t="n">
        <v>4</v>
      </c>
      <c r="R82" s="17" t="n">
        <v>5</v>
      </c>
      <c r="S82" s="17" t="n">
        <v>5</v>
      </c>
      <c r="T82" s="17" t="n">
        <v>4</v>
      </c>
      <c r="U82" s="17" t="n">
        <v>3</v>
      </c>
      <c r="V82" s="17" t="n">
        <v>6</v>
      </c>
      <c r="W82" s="17" t="n">
        <v>6</v>
      </c>
      <c r="X82" s="8">
        <f>SUM(F82:W82)</f>
        <v/>
      </c>
      <c r="Y82" s="8">
        <f>Y11</f>
        <v/>
      </c>
      <c r="Z82" s="8">
        <f>X82-Y82</f>
        <v/>
      </c>
      <c r="AA82" s="8">
        <f>MAX(0,25-Z82)*1.0</f>
        <v/>
      </c>
      <c r="AB82" s="17" t="n">
        <v>5</v>
      </c>
      <c r="AC82" s="17" t="n">
        <v>5</v>
      </c>
      <c r="AD82" s="17" t="n">
        <v>3</v>
      </c>
      <c r="AE82" s="17" t="n">
        <v>4</v>
      </c>
      <c r="AF82" s="17" t="n">
        <v>6</v>
      </c>
      <c r="AG82" s="17" t="n">
        <v>6</v>
      </c>
      <c r="AH82" s="17" t="n">
        <v>5</v>
      </c>
      <c r="AI82" s="17" t="n">
        <v>5</v>
      </c>
      <c r="AJ82" s="17" t="n">
        <v>4</v>
      </c>
      <c r="AK82" s="17" t="n">
        <v>6</v>
      </c>
      <c r="AL82" s="17" t="n">
        <v>4</v>
      </c>
      <c r="AM82" s="17" t="n">
        <v>4</v>
      </c>
      <c r="AN82" s="17" t="n">
        <v>5</v>
      </c>
      <c r="AO82" s="17" t="n">
        <v>5</v>
      </c>
      <c r="AP82" s="17" t="n">
        <v>5</v>
      </c>
      <c r="AQ82" s="17" t="n">
        <v>3</v>
      </c>
      <c r="AR82" s="17" t="n">
        <v>4</v>
      </c>
      <c r="AS82" s="17" t="n">
        <v>5</v>
      </c>
      <c r="AT82" s="8">
        <f>SUM(AB82:AS82)</f>
        <v/>
      </c>
      <c r="AU82" s="8">
        <f>AU11</f>
        <v/>
      </c>
      <c r="AV82" s="8">
        <f>AT82-AU82</f>
        <v/>
      </c>
      <c r="AW82" s="8">
        <f>MAX(0,25-AV82)*1.0</f>
        <v/>
      </c>
      <c r="AX82" s="18">
        <f>AA82+AW82</f>
        <v/>
      </c>
    </row>
    <row r="83">
      <c r="A83" s="8" t="n">
        <v>71</v>
      </c>
      <c r="B83" t="inlineStr">
        <is>
          <t>Diogo Marques Lopes</t>
        </is>
      </c>
      <c r="C83" s="8" t="inlineStr">
        <is>
          <t>35874</t>
        </is>
      </c>
      <c r="D83" t="inlineStr">
        <is>
          <t>Citynorte</t>
        </is>
      </c>
      <c r="E83" s="8" t="n">
        <v>5.4</v>
      </c>
      <c r="F83" s="17" t="n">
        <v>6</v>
      </c>
      <c r="G83" s="17" t="n">
        <v>5</v>
      </c>
      <c r="H83" s="17" t="n">
        <v>4</v>
      </c>
      <c r="I83" s="17" t="n">
        <v>5</v>
      </c>
      <c r="J83" s="17" t="n">
        <v>5</v>
      </c>
      <c r="K83" s="17" t="n">
        <v>6</v>
      </c>
      <c r="L83" s="17" t="n">
        <v>4</v>
      </c>
      <c r="M83" s="17" t="n">
        <v>4</v>
      </c>
      <c r="N83" s="17" t="n">
        <v>5</v>
      </c>
      <c r="O83" s="17" t="n">
        <v>5</v>
      </c>
      <c r="P83" s="17" t="n">
        <v>4</v>
      </c>
      <c r="Q83" s="17" t="n">
        <v>5</v>
      </c>
      <c r="R83" s="17" t="n">
        <v>8</v>
      </c>
      <c r="S83" s="17" t="n">
        <v>4</v>
      </c>
      <c r="T83" s="17" t="n">
        <v>4</v>
      </c>
      <c r="U83" s="17" t="n">
        <v>5</v>
      </c>
      <c r="V83" s="17" t="n">
        <v>4</v>
      </c>
      <c r="W83" s="17" t="n">
        <v>5</v>
      </c>
      <c r="X83" s="8">
        <f>SUM(F83:W83)</f>
        <v/>
      </c>
      <c r="Y83" s="8">
        <f>Y11</f>
        <v/>
      </c>
      <c r="Z83" s="8">
        <f>X83-Y83</f>
        <v/>
      </c>
      <c r="AA83" s="8">
        <f>MAX(0,25-Z83)*1.0</f>
        <v/>
      </c>
      <c r="AB83" s="17" t="n">
        <v>7</v>
      </c>
      <c r="AC83" s="17" t="n">
        <v>4</v>
      </c>
      <c r="AD83" s="17" t="n">
        <v>3</v>
      </c>
      <c r="AE83" s="17" t="n">
        <v>4</v>
      </c>
      <c r="AF83" s="17" t="n">
        <v>6</v>
      </c>
      <c r="AG83" s="17" t="n">
        <v>5</v>
      </c>
      <c r="AH83" s="17" t="n">
        <v>4</v>
      </c>
      <c r="AI83" s="17" t="n">
        <v>3</v>
      </c>
      <c r="AJ83" s="17" t="n">
        <v>5</v>
      </c>
      <c r="AK83" s="17" t="n">
        <v>5</v>
      </c>
      <c r="AL83" s="17" t="n">
        <v>3</v>
      </c>
      <c r="AM83" s="17" t="n">
        <v>4</v>
      </c>
      <c r="AN83" s="17" t="n">
        <v>7</v>
      </c>
      <c r="AO83" s="17" t="n">
        <v>6</v>
      </c>
      <c r="AP83" s="17" t="n">
        <v>5</v>
      </c>
      <c r="AQ83" s="17" t="n">
        <v>4</v>
      </c>
      <c r="AR83" s="17" t="n">
        <v>5</v>
      </c>
      <c r="AS83" s="17" t="n">
        <v>5</v>
      </c>
      <c r="AT83" s="8">
        <f>SUM(AB83:AS83)</f>
        <v/>
      </c>
      <c r="AU83" s="8">
        <f>AU11</f>
        <v/>
      </c>
      <c r="AV83" s="8">
        <f>AT83-AU83</f>
        <v/>
      </c>
      <c r="AW83" s="8">
        <f>MAX(0,25-AV83)*1.0</f>
        <v/>
      </c>
      <c r="AX83" s="18">
        <f>AA83+AW83</f>
        <v/>
      </c>
    </row>
    <row r="84">
      <c r="A84" s="8" t="n">
        <v>72</v>
      </c>
      <c r="B84" t="inlineStr">
        <is>
          <t>José Carlos Melão Silveira</t>
        </is>
      </c>
      <c r="C84" s="8" t="inlineStr">
        <is>
          <t>36781</t>
        </is>
      </c>
      <c r="D84" t="inlineStr">
        <is>
          <t>Royal Óbidos</t>
        </is>
      </c>
      <c r="E84" s="8" t="n">
        <v>3.8</v>
      </c>
      <c r="F84" s="17" t="n">
        <v>5</v>
      </c>
      <c r="G84" s="17" t="n">
        <v>4</v>
      </c>
      <c r="H84" s="17" t="n">
        <v>3</v>
      </c>
      <c r="I84" s="17" t="n">
        <v>4</v>
      </c>
      <c r="J84" s="17" t="n">
        <v>7</v>
      </c>
      <c r="K84" s="17" t="n">
        <v>4</v>
      </c>
      <c r="L84" s="17" t="n">
        <v>6</v>
      </c>
      <c r="M84" s="17" t="n">
        <v>5</v>
      </c>
      <c r="N84" s="17" t="n">
        <v>5</v>
      </c>
      <c r="O84" s="17" t="n">
        <v>6</v>
      </c>
      <c r="P84" s="17" t="n">
        <v>5</v>
      </c>
      <c r="Q84" s="17" t="n">
        <v>4</v>
      </c>
      <c r="R84" s="17" t="n">
        <v>5</v>
      </c>
      <c r="S84" s="17" t="n">
        <v>5</v>
      </c>
      <c r="T84" s="17" t="n">
        <v>5</v>
      </c>
      <c r="U84" s="17" t="n">
        <v>3</v>
      </c>
      <c r="V84" s="17" t="n">
        <v>5</v>
      </c>
      <c r="W84" s="17" t="n">
        <v>7</v>
      </c>
      <c r="X84" s="8">
        <f>SUM(F84:W84)</f>
        <v/>
      </c>
      <c r="Y84" s="8">
        <f>Y11</f>
        <v/>
      </c>
      <c r="Z84" s="8">
        <f>X84-Y84</f>
        <v/>
      </c>
      <c r="AA84" s="8">
        <f>MAX(0,25-Z84)*1.0</f>
        <v/>
      </c>
      <c r="AB84" s="17" t="n">
        <v>5</v>
      </c>
      <c r="AC84" s="17" t="n">
        <v>4</v>
      </c>
      <c r="AD84" s="17" t="n">
        <v>3</v>
      </c>
      <c r="AE84" s="17" t="n">
        <v>4</v>
      </c>
      <c r="AF84" s="17" t="n">
        <v>7</v>
      </c>
      <c r="AG84" s="17" t="n">
        <v>4</v>
      </c>
      <c r="AH84" s="17" t="n">
        <v>4</v>
      </c>
      <c r="AI84" s="17" t="n">
        <v>3</v>
      </c>
      <c r="AJ84" s="17" t="n">
        <v>4</v>
      </c>
      <c r="AK84" s="17" t="n">
        <v>4</v>
      </c>
      <c r="AL84" s="17" t="n">
        <v>3</v>
      </c>
      <c r="AM84" s="17" t="n">
        <v>4</v>
      </c>
      <c r="AN84" s="17" t="n">
        <v>7</v>
      </c>
      <c r="AO84" s="17" t="n">
        <v>5</v>
      </c>
      <c r="AP84" s="17" t="n">
        <v>4</v>
      </c>
      <c r="AQ84" s="17" t="n">
        <v>3</v>
      </c>
      <c r="AR84" s="17" t="n">
        <v>6</v>
      </c>
      <c r="AS84" s="17" t="n">
        <v>4</v>
      </c>
      <c r="AT84" s="8">
        <f>SUM(AB84:AS84)</f>
        <v/>
      </c>
      <c r="AU84" s="8">
        <f>AU11</f>
        <v/>
      </c>
      <c r="AV84" s="8">
        <f>AT84-AU84</f>
        <v/>
      </c>
      <c r="AW84" s="8">
        <f>MAX(0,25-AV84)*1.0</f>
        <v/>
      </c>
      <c r="AX84" s="18">
        <f>AA84+AW84</f>
        <v/>
      </c>
    </row>
    <row r="85">
      <c r="A85" s="8" t="n">
        <v>73</v>
      </c>
      <c r="B85" t="inlineStr">
        <is>
          <t>Clara Trindade</t>
        </is>
      </c>
      <c r="C85" s="8" t="inlineStr">
        <is>
          <t>45812</t>
        </is>
      </c>
      <c r="D85" t="inlineStr">
        <is>
          <t>Belas</t>
        </is>
      </c>
      <c r="E85" s="8" t="n">
        <v>8.1</v>
      </c>
      <c r="F85" s="17" t="n">
        <v>6</v>
      </c>
      <c r="G85" s="17" t="n">
        <v>4</v>
      </c>
      <c r="H85" s="17" t="n">
        <v>4</v>
      </c>
      <c r="I85" s="17" t="n">
        <v>4</v>
      </c>
      <c r="J85" s="17" t="n">
        <v>6</v>
      </c>
      <c r="K85" s="17" t="n">
        <v>6</v>
      </c>
      <c r="L85" s="17" t="n">
        <v>6</v>
      </c>
      <c r="M85" s="17" t="n">
        <v>7</v>
      </c>
      <c r="N85" s="17" t="n">
        <v>4</v>
      </c>
      <c r="O85" s="17" t="n">
        <v>6</v>
      </c>
      <c r="P85" s="17" t="n">
        <v>4</v>
      </c>
      <c r="Q85" s="17" t="n">
        <v>5</v>
      </c>
      <c r="R85" s="17" t="n">
        <v>5</v>
      </c>
      <c r="S85" s="17" t="n">
        <v>4</v>
      </c>
      <c r="T85" s="17" t="n">
        <v>5</v>
      </c>
      <c r="U85" s="17" t="n">
        <v>4</v>
      </c>
      <c r="V85" s="17" t="n">
        <v>4</v>
      </c>
      <c r="W85" s="17" t="n">
        <v>5</v>
      </c>
      <c r="X85" s="8">
        <f>SUM(F85:W85)</f>
        <v/>
      </c>
      <c r="Y85" s="8">
        <f>Y11</f>
        <v/>
      </c>
      <c r="Z85" s="8">
        <f>X85-Y85</f>
        <v/>
      </c>
      <c r="AA85" s="8">
        <f>MAX(0,25-Z85)*1.0</f>
        <v/>
      </c>
      <c r="AB85" s="17" t="n">
        <v>7</v>
      </c>
      <c r="AC85" s="17" t="n">
        <v>5</v>
      </c>
      <c r="AD85" s="17" t="n">
        <v>3</v>
      </c>
      <c r="AE85" s="17" t="n">
        <v>5</v>
      </c>
      <c r="AF85" s="17" t="n">
        <v>7</v>
      </c>
      <c r="AG85" s="17" t="n">
        <v>5</v>
      </c>
      <c r="AH85" s="17" t="n">
        <v>5</v>
      </c>
      <c r="AI85" s="17" t="n">
        <v>3</v>
      </c>
      <c r="AJ85" s="17" t="n">
        <v>4</v>
      </c>
      <c r="AK85" s="17" t="n">
        <v>5</v>
      </c>
      <c r="AL85" s="17" t="n">
        <v>4</v>
      </c>
      <c r="AM85" s="17" t="n">
        <v>5</v>
      </c>
      <c r="AN85" s="17" t="n">
        <v>7</v>
      </c>
      <c r="AO85" s="17" t="n">
        <v>5</v>
      </c>
      <c r="AP85" s="17" t="n">
        <v>4</v>
      </c>
      <c r="AQ85" s="17" t="n">
        <v>3</v>
      </c>
      <c r="AR85" s="17" t="n">
        <v>4</v>
      </c>
      <c r="AS85" s="17" t="n">
        <v>5</v>
      </c>
      <c r="AT85" s="8">
        <f>SUM(AB85:AS85)</f>
        <v/>
      </c>
      <c r="AU85" s="8">
        <f>AU11</f>
        <v/>
      </c>
      <c r="AV85" s="8">
        <f>AT85-AU85</f>
        <v/>
      </c>
      <c r="AW85" s="8">
        <f>MAX(0,25-AV85)*1.0</f>
        <v/>
      </c>
      <c r="AX85" s="18">
        <f>AA85+AW85</f>
        <v/>
      </c>
    </row>
    <row r="86">
      <c r="A86" s="8" t="n">
        <v>74</v>
      </c>
      <c r="B86" t="inlineStr">
        <is>
          <t>Francisco Saraiva</t>
        </is>
      </c>
      <c r="C86" s="8" t="inlineStr">
        <is>
          <t>39097</t>
        </is>
      </c>
      <c r="D86" t="inlineStr">
        <is>
          <t>Oporto</t>
        </is>
      </c>
      <c r="E86" s="8" t="n">
        <v>7.9</v>
      </c>
      <c r="F86" s="17" t="n">
        <v>6</v>
      </c>
      <c r="G86" s="17" t="n">
        <v>4</v>
      </c>
      <c r="H86" s="17" t="n">
        <v>3</v>
      </c>
      <c r="I86" s="17" t="n">
        <v>6</v>
      </c>
      <c r="J86" s="17" t="n">
        <v>6</v>
      </c>
      <c r="K86" s="17" t="n">
        <v>4</v>
      </c>
      <c r="L86" s="17" t="n">
        <v>7</v>
      </c>
      <c r="M86" s="17" t="n">
        <v>5</v>
      </c>
      <c r="N86" s="17" t="n">
        <v>5</v>
      </c>
      <c r="O86" s="17" t="n">
        <v>5</v>
      </c>
      <c r="P86" s="17" t="n">
        <v>5</v>
      </c>
      <c r="Q86" s="17" t="n">
        <v>4</v>
      </c>
      <c r="R86" s="17" t="n">
        <v>6</v>
      </c>
      <c r="S86" s="17" t="n">
        <v>4</v>
      </c>
      <c r="T86" s="17" t="n">
        <v>4</v>
      </c>
      <c r="U86" s="17" t="n">
        <v>4</v>
      </c>
      <c r="V86" s="17" t="n">
        <v>5</v>
      </c>
      <c r="W86" s="17" t="n">
        <v>6</v>
      </c>
      <c r="X86" s="8">
        <f>SUM(F86:W86)</f>
        <v/>
      </c>
      <c r="Y86" s="8">
        <f>Y11</f>
        <v/>
      </c>
      <c r="Z86" s="8">
        <f>X86-Y86</f>
        <v/>
      </c>
      <c r="AA86" s="8">
        <f>MAX(0,25-Z86)*1.0</f>
        <v/>
      </c>
      <c r="AB86" s="17" t="n">
        <v>7</v>
      </c>
      <c r="AC86" s="17" t="n">
        <v>4</v>
      </c>
      <c r="AD86" s="17" t="n">
        <v>4</v>
      </c>
      <c r="AE86" s="17" t="n">
        <v>4</v>
      </c>
      <c r="AF86" s="17" t="n">
        <v>5</v>
      </c>
      <c r="AG86" s="17" t="n">
        <v>6</v>
      </c>
      <c r="AH86" s="17" t="n">
        <v>6</v>
      </c>
      <c r="AI86" s="17" t="n">
        <v>4</v>
      </c>
      <c r="AJ86" s="17" t="n">
        <v>5</v>
      </c>
      <c r="AK86" s="17" t="n">
        <v>6</v>
      </c>
      <c r="AL86" s="17" t="n">
        <v>4</v>
      </c>
      <c r="AM86" s="17" t="n">
        <v>6</v>
      </c>
      <c r="AN86" s="17" t="n">
        <v>6</v>
      </c>
      <c r="AO86" s="17" t="n">
        <v>4</v>
      </c>
      <c r="AP86" s="17" t="n">
        <v>5</v>
      </c>
      <c r="AQ86" s="17" t="n">
        <v>4</v>
      </c>
      <c r="AR86" s="17" t="n">
        <v>5</v>
      </c>
      <c r="AS86" s="17" t="n">
        <v>3</v>
      </c>
      <c r="AT86" s="8">
        <f>SUM(AB86:AS86)</f>
        <v/>
      </c>
      <c r="AU86" s="8">
        <f>AU11</f>
        <v/>
      </c>
      <c r="AV86" s="8">
        <f>AT86-AU86</f>
        <v/>
      </c>
      <c r="AW86" s="8">
        <f>MAX(0,25-AV86)*1.0</f>
        <v/>
      </c>
      <c r="AX86" s="18">
        <f>AA86+AW86</f>
        <v/>
      </c>
    </row>
    <row r="87">
      <c r="A87" s="8" t="n">
        <v>75</v>
      </c>
      <c r="B87" t="inlineStr">
        <is>
          <t>Maria Loureiro</t>
        </is>
      </c>
      <c r="C87" s="8" t="inlineStr">
        <is>
          <t>46489</t>
        </is>
      </c>
      <c r="D87" t="inlineStr">
        <is>
          <t>Oporto</t>
        </is>
      </c>
      <c r="E87" s="8" t="n">
        <v>5.7</v>
      </c>
      <c r="F87" s="17" t="n">
        <v>5</v>
      </c>
      <c r="G87" s="17" t="n">
        <v>5</v>
      </c>
      <c r="H87" s="17" t="n">
        <v>3</v>
      </c>
      <c r="I87" s="17" t="n">
        <v>5</v>
      </c>
      <c r="J87" s="17" t="n">
        <v>8</v>
      </c>
      <c r="K87" s="17" t="n">
        <v>4</v>
      </c>
      <c r="L87" s="17" t="n">
        <v>4</v>
      </c>
      <c r="M87" s="17" t="n">
        <v>5</v>
      </c>
      <c r="N87" s="17" t="n">
        <v>5</v>
      </c>
      <c r="O87" s="17" t="n">
        <v>6</v>
      </c>
      <c r="P87" s="17" t="n">
        <v>3</v>
      </c>
      <c r="Q87" s="17" t="n">
        <v>4</v>
      </c>
      <c r="R87" s="17" t="n">
        <v>7</v>
      </c>
      <c r="S87" s="17" t="n">
        <v>5</v>
      </c>
      <c r="T87" s="17" t="n">
        <v>5</v>
      </c>
      <c r="U87" s="17" t="n">
        <v>5</v>
      </c>
      <c r="V87" s="17" t="n">
        <v>6</v>
      </c>
      <c r="W87" s="17" t="n">
        <v>4</v>
      </c>
      <c r="X87" s="8">
        <f>SUM(F87:W87)</f>
        <v/>
      </c>
      <c r="Y87" s="8">
        <f>Y11</f>
        <v/>
      </c>
      <c r="Z87" s="8">
        <f>X87-Y87</f>
        <v/>
      </c>
      <c r="AA87" s="8">
        <f>MAX(0,25-Z87)*1.0</f>
        <v/>
      </c>
      <c r="AB87" s="17" t="n">
        <v>6</v>
      </c>
      <c r="AC87" s="17" t="n">
        <v>5</v>
      </c>
      <c r="AD87" s="17" t="n">
        <v>4</v>
      </c>
      <c r="AE87" s="17" t="n">
        <v>4</v>
      </c>
      <c r="AF87" s="17" t="n">
        <v>6</v>
      </c>
      <c r="AG87" s="17" t="n">
        <v>5</v>
      </c>
      <c r="AH87" s="17" t="n">
        <v>4</v>
      </c>
      <c r="AI87" s="17" t="n">
        <v>3</v>
      </c>
      <c r="AJ87" s="17" t="n">
        <v>5</v>
      </c>
      <c r="AK87" s="17" t="n">
        <v>7</v>
      </c>
      <c r="AL87" s="17" t="n">
        <v>4</v>
      </c>
      <c r="AM87" s="17" t="n">
        <v>5</v>
      </c>
      <c r="AN87" s="17" t="n">
        <v>6</v>
      </c>
      <c r="AO87" s="17" t="n">
        <v>4</v>
      </c>
      <c r="AP87" s="17" t="n">
        <v>3</v>
      </c>
      <c r="AQ87" s="17" t="n">
        <v>4</v>
      </c>
      <c r="AR87" s="17" t="n">
        <v>5</v>
      </c>
      <c r="AS87" s="17" t="n">
        <v>5</v>
      </c>
      <c r="AT87" s="8">
        <f>SUM(AB87:AS87)</f>
        <v/>
      </c>
      <c r="AU87" s="8">
        <f>AU11</f>
        <v/>
      </c>
      <c r="AV87" s="8">
        <f>AT87-AU87</f>
        <v/>
      </c>
      <c r="AW87" s="8">
        <f>MAX(0,25-AV87)*1.0</f>
        <v/>
      </c>
      <c r="AX87" s="18">
        <f>AA87+AW87</f>
        <v/>
      </c>
    </row>
    <row r="88">
      <c r="A88" s="8" t="n">
        <v>76</v>
      </c>
      <c r="B88" t="inlineStr">
        <is>
          <t>Paulo Peixoto</t>
        </is>
      </c>
      <c r="C88" s="8" t="inlineStr">
        <is>
          <t>48854</t>
        </is>
      </c>
      <c r="D88" t="inlineStr">
        <is>
          <t>Citynorte</t>
        </is>
      </c>
      <c r="E88" s="8" t="n">
        <v>7</v>
      </c>
      <c r="F88" s="17" t="n">
        <v>5</v>
      </c>
      <c r="G88" s="17" t="n">
        <v>4</v>
      </c>
      <c r="H88" s="17" t="n">
        <v>2</v>
      </c>
      <c r="I88" s="17" t="n">
        <v>5</v>
      </c>
      <c r="J88" s="17" t="n">
        <v>8</v>
      </c>
      <c r="K88" s="17" t="n">
        <v>4</v>
      </c>
      <c r="L88" s="17" t="n">
        <v>4</v>
      </c>
      <c r="M88" s="17" t="n">
        <v>6</v>
      </c>
      <c r="N88" s="17" t="n">
        <v>6</v>
      </c>
      <c r="O88" s="17" t="n">
        <v>5</v>
      </c>
      <c r="P88" s="17" t="n">
        <v>4</v>
      </c>
      <c r="Q88" s="17" t="n">
        <v>4</v>
      </c>
      <c r="R88" s="17" t="n">
        <v>6</v>
      </c>
      <c r="S88" s="17" t="n">
        <v>5</v>
      </c>
      <c r="T88" s="17" t="n">
        <v>5</v>
      </c>
      <c r="U88" s="17" t="n">
        <v>4</v>
      </c>
      <c r="V88" s="17" t="n">
        <v>5</v>
      </c>
      <c r="W88" s="17" t="n">
        <v>7</v>
      </c>
      <c r="X88" s="8">
        <f>SUM(F88:W88)</f>
        <v/>
      </c>
      <c r="Y88" s="8">
        <f>Y11</f>
        <v/>
      </c>
      <c r="Z88" s="8">
        <f>X88-Y88</f>
        <v/>
      </c>
      <c r="AA88" s="8">
        <f>MAX(0,25-Z88)*1.0</f>
        <v/>
      </c>
      <c r="AB88" s="17" t="n">
        <v>7</v>
      </c>
      <c r="AC88" s="17" t="n">
        <v>8</v>
      </c>
      <c r="AD88" s="17" t="n">
        <v>3</v>
      </c>
      <c r="AE88" s="17" t="n">
        <v>7</v>
      </c>
      <c r="AF88" s="17" t="n">
        <v>7</v>
      </c>
      <c r="AG88" s="17" t="n">
        <v>4</v>
      </c>
      <c r="AH88" s="17" t="n">
        <v>5</v>
      </c>
      <c r="AI88" s="17" t="n">
        <v>4</v>
      </c>
      <c r="AJ88" s="17" t="n">
        <v>5</v>
      </c>
      <c r="AK88" s="17" t="n">
        <v>6</v>
      </c>
      <c r="AL88" s="17" t="n">
        <v>3</v>
      </c>
      <c r="AM88" s="17" t="n">
        <v>4</v>
      </c>
      <c r="AN88" s="17" t="n">
        <v>6</v>
      </c>
      <c r="AO88" s="17" t="n">
        <v>4</v>
      </c>
      <c r="AP88" s="17" t="n">
        <v>5</v>
      </c>
      <c r="AQ88" s="17" t="n">
        <v>4</v>
      </c>
      <c r="AR88" s="17" t="n">
        <v>5</v>
      </c>
      <c r="AS88" s="17" t="n">
        <v>5</v>
      </c>
      <c r="AT88" s="8">
        <f>SUM(AB88:AS88)</f>
        <v/>
      </c>
      <c r="AU88" s="8">
        <f>AU11</f>
        <v/>
      </c>
      <c r="AV88" s="8">
        <f>AT88-AU88</f>
        <v/>
      </c>
      <c r="AW88" s="8">
        <f>MAX(0,25-AV88)*1.0</f>
        <v/>
      </c>
      <c r="AX88" s="18">
        <f>AA88+AW88</f>
        <v/>
      </c>
    </row>
    <row r="89">
      <c r="A89" s="8" t="n">
        <v>77</v>
      </c>
      <c r="B89" t="inlineStr">
        <is>
          <t>Rafaela Pinto</t>
        </is>
      </c>
      <c r="C89" s="8" t="inlineStr">
        <is>
          <t>40390</t>
        </is>
      </c>
      <c r="D89" t="inlineStr">
        <is>
          <t>Arquitectos</t>
        </is>
      </c>
      <c r="E89" s="8" t="n">
        <v>2.8</v>
      </c>
      <c r="F89" s="17" t="n">
        <v>6</v>
      </c>
      <c r="G89" s="17" t="n">
        <v>7</v>
      </c>
      <c r="H89" s="17" t="n">
        <v>3</v>
      </c>
      <c r="I89" s="17" t="n">
        <v>4</v>
      </c>
      <c r="J89" s="17" t="n">
        <v>6</v>
      </c>
      <c r="K89" s="17" t="n">
        <v>5</v>
      </c>
      <c r="L89" s="17" t="n">
        <v>5</v>
      </c>
      <c r="M89" s="17" t="n">
        <v>7</v>
      </c>
      <c r="N89" s="17" t="n">
        <v>5</v>
      </c>
      <c r="O89" s="17" t="n">
        <v>5</v>
      </c>
      <c r="P89" s="17" t="n">
        <v>4</v>
      </c>
      <c r="Q89" s="17" t="n">
        <v>5</v>
      </c>
      <c r="R89" s="17" t="n">
        <v>6</v>
      </c>
      <c r="S89" s="17" t="n">
        <v>4</v>
      </c>
      <c r="T89" s="17" t="n">
        <v>3</v>
      </c>
      <c r="U89" s="17" t="n">
        <v>5</v>
      </c>
      <c r="V89" s="17" t="n">
        <v>5</v>
      </c>
      <c r="W89" s="17" t="n">
        <v>5</v>
      </c>
      <c r="X89" s="8">
        <f>SUM(F89:W89)</f>
        <v/>
      </c>
      <c r="Y89" s="8">
        <f>Y11</f>
        <v/>
      </c>
      <c r="Z89" s="8">
        <f>X89-Y89</f>
        <v/>
      </c>
      <c r="AA89" s="8">
        <f>MAX(0,25-Z89)*1.0</f>
        <v/>
      </c>
      <c r="AB89" s="17" t="n">
        <v>6</v>
      </c>
      <c r="AC89" s="17" t="n">
        <v>5</v>
      </c>
      <c r="AD89" s="17" t="n">
        <v>4</v>
      </c>
      <c r="AE89" s="17" t="n">
        <v>5</v>
      </c>
      <c r="AF89" s="17" t="n">
        <v>6</v>
      </c>
      <c r="AG89" s="17" t="n">
        <v>7</v>
      </c>
      <c r="AH89" s="17" t="n">
        <v>4</v>
      </c>
      <c r="AI89" s="17" t="n">
        <v>4</v>
      </c>
      <c r="AJ89" s="17" t="n">
        <v>5</v>
      </c>
      <c r="AK89" s="17" t="n">
        <v>5</v>
      </c>
      <c r="AL89" s="17" t="n">
        <v>3</v>
      </c>
      <c r="AM89" s="17" t="n">
        <v>7</v>
      </c>
      <c r="AN89" s="17" t="n">
        <v>7</v>
      </c>
      <c r="AO89" s="17" t="n">
        <v>5</v>
      </c>
      <c r="AP89" s="17" t="n">
        <v>6</v>
      </c>
      <c r="AQ89" s="17" t="n">
        <v>5</v>
      </c>
      <c r="AR89" s="17" t="n">
        <v>4</v>
      </c>
      <c r="AS89" s="17" t="n">
        <v>5</v>
      </c>
      <c r="AT89" s="8">
        <f>SUM(AB89:AS89)</f>
        <v/>
      </c>
      <c r="AU89" s="8">
        <f>AU11</f>
        <v/>
      </c>
      <c r="AV89" s="8">
        <f>AT89-AU89</f>
        <v/>
      </c>
      <c r="AW89" s="8">
        <f>MAX(0,25-AV89)*1.0</f>
        <v/>
      </c>
      <c r="AX89" s="18">
        <f>AA89+AW89</f>
        <v/>
      </c>
    </row>
    <row r="90">
      <c r="A90" s="8" t="n">
        <v>78</v>
      </c>
      <c r="B90" t="inlineStr">
        <is>
          <t>Catarina Sousa Conceição</t>
        </is>
      </c>
      <c r="C90" s="8" t="inlineStr">
        <is>
          <t>48794</t>
        </is>
      </c>
      <c r="D90" t="inlineStr">
        <is>
          <t>Vilamoura, C. G</t>
        </is>
      </c>
      <c r="E90" s="8" t="n">
        <v>10.8</v>
      </c>
      <c r="F90" s="17" t="n">
        <v>6</v>
      </c>
      <c r="G90" s="17" t="n">
        <v>5</v>
      </c>
      <c r="H90" s="17" t="n">
        <v>4</v>
      </c>
      <c r="I90" s="17" t="n">
        <v>5</v>
      </c>
      <c r="J90" s="17" t="n">
        <v>7</v>
      </c>
      <c r="K90" s="17" t="n">
        <v>4</v>
      </c>
      <c r="L90" s="17" t="n">
        <v>7</v>
      </c>
      <c r="M90" s="17" t="n">
        <v>5</v>
      </c>
      <c r="N90" s="17" t="n">
        <v>4</v>
      </c>
      <c r="O90" s="17" t="n">
        <v>5</v>
      </c>
      <c r="P90" s="17" t="n">
        <v>4</v>
      </c>
      <c r="Q90" s="17" t="n">
        <v>5</v>
      </c>
      <c r="R90" s="17" t="n">
        <v>8</v>
      </c>
      <c r="S90" s="17" t="n">
        <v>4</v>
      </c>
      <c r="T90" s="17" t="n">
        <v>5</v>
      </c>
      <c r="U90" s="17" t="n">
        <v>3</v>
      </c>
      <c r="V90" s="17" t="n">
        <v>4</v>
      </c>
      <c r="W90" s="17" t="n">
        <v>5</v>
      </c>
      <c r="X90" s="8">
        <f>SUM(F90:W90)</f>
        <v/>
      </c>
      <c r="Y90" s="8">
        <f>Y11</f>
        <v/>
      </c>
      <c r="Z90" s="8">
        <f>X90-Y90</f>
        <v/>
      </c>
      <c r="AA90" s="8">
        <f>MAX(0,25-Z90)*1.0</f>
        <v/>
      </c>
      <c r="AB90" s="17" t="n">
        <v>6</v>
      </c>
      <c r="AC90" s="17" t="n">
        <v>5</v>
      </c>
      <c r="AD90" s="17" t="n">
        <v>3</v>
      </c>
      <c r="AE90" s="17" t="n">
        <v>6</v>
      </c>
      <c r="AF90" s="17" t="n">
        <v>6</v>
      </c>
      <c r="AG90" s="17" t="n">
        <v>5</v>
      </c>
      <c r="AH90" s="17" t="n">
        <v>6</v>
      </c>
      <c r="AI90" s="17" t="n">
        <v>4</v>
      </c>
      <c r="AJ90" s="17" t="n">
        <v>7</v>
      </c>
      <c r="AK90" s="17" t="n">
        <v>7</v>
      </c>
      <c r="AL90" s="17" t="n">
        <v>3</v>
      </c>
      <c r="AM90" s="17" t="n">
        <v>5</v>
      </c>
      <c r="AN90" s="17" t="n">
        <v>5</v>
      </c>
      <c r="AO90" s="17" t="n">
        <v>5</v>
      </c>
      <c r="AP90" s="17" t="n">
        <v>6</v>
      </c>
      <c r="AQ90" s="17" t="n">
        <v>3</v>
      </c>
      <c r="AR90" s="17" t="n">
        <v>5</v>
      </c>
      <c r="AS90" s="17" t="n">
        <v>5</v>
      </c>
      <c r="AT90" s="8">
        <f>SUM(AB90:AS90)</f>
        <v/>
      </c>
      <c r="AU90" s="8">
        <f>AU11</f>
        <v/>
      </c>
      <c r="AV90" s="8">
        <f>AT90-AU90</f>
        <v/>
      </c>
      <c r="AW90" s="8">
        <f>MAX(0,25-AV90)*1.0</f>
        <v/>
      </c>
      <c r="AX90" s="18">
        <f>AA90+AW90</f>
        <v/>
      </c>
    </row>
    <row r="91">
      <c r="A91" s="8" t="n">
        <v>79</v>
      </c>
      <c r="B91" t="inlineStr">
        <is>
          <t>Pedro Soares Franco</t>
        </is>
      </c>
      <c r="C91" s="8" t="inlineStr">
        <is>
          <t>26675</t>
        </is>
      </c>
      <c r="D91" t="inlineStr">
        <is>
          <t>Estoril</t>
        </is>
      </c>
      <c r="E91" s="8" t="n">
        <v>1.8</v>
      </c>
      <c r="F91" s="17" t="n">
        <v>4</v>
      </c>
      <c r="G91" s="17" t="n">
        <v>5</v>
      </c>
      <c r="H91" s="17" t="n">
        <v>4</v>
      </c>
      <c r="I91" s="17" t="n">
        <v>5</v>
      </c>
      <c r="J91" s="17" t="n">
        <v>7</v>
      </c>
      <c r="K91" s="17" t="n">
        <v>3</v>
      </c>
      <c r="L91" s="17" t="n">
        <v>7</v>
      </c>
      <c r="M91" s="17" t="n">
        <v>5</v>
      </c>
      <c r="N91" s="17" t="n">
        <v>5</v>
      </c>
      <c r="O91" s="17" t="n">
        <v>7</v>
      </c>
      <c r="P91" s="17" t="n">
        <v>3</v>
      </c>
      <c r="Q91" s="17" t="n">
        <v>4</v>
      </c>
      <c r="R91" s="17" t="n">
        <v>6</v>
      </c>
      <c r="S91" s="17" t="n">
        <v>6</v>
      </c>
      <c r="T91" s="17" t="n">
        <v>5</v>
      </c>
      <c r="U91" s="17" t="n">
        <v>6</v>
      </c>
      <c r="V91" s="17" t="n">
        <v>4</v>
      </c>
      <c r="W91" s="17" t="n">
        <v>4</v>
      </c>
      <c r="X91" s="8">
        <f>SUM(F91:W91)</f>
        <v/>
      </c>
      <c r="Y91" s="8">
        <f>Y11</f>
        <v/>
      </c>
      <c r="Z91" s="8">
        <f>X91-Y91</f>
        <v/>
      </c>
      <c r="AA91" s="8">
        <f>MAX(0,25-Z91)*1.0</f>
        <v/>
      </c>
      <c r="AB91" s="17" t="n">
        <v>6</v>
      </c>
      <c r="AC91" s="17" t="n">
        <v>7</v>
      </c>
      <c r="AD91" s="17" t="n">
        <v>5</v>
      </c>
      <c r="AE91" s="17" t="n">
        <v>7</v>
      </c>
      <c r="AF91" s="17" t="n">
        <v>5</v>
      </c>
      <c r="AG91" s="17" t="n">
        <v>4</v>
      </c>
      <c r="AH91" s="17" t="n">
        <v>4</v>
      </c>
      <c r="AI91" s="17" t="n">
        <v>3</v>
      </c>
      <c r="AJ91" s="17" t="n">
        <v>4</v>
      </c>
      <c r="AK91" s="17" t="n">
        <v>5</v>
      </c>
      <c r="AL91" s="17" t="n">
        <v>3</v>
      </c>
      <c r="AM91" s="17" t="n">
        <v>4</v>
      </c>
      <c r="AN91" s="17" t="n">
        <v>6</v>
      </c>
      <c r="AO91" s="17" t="n">
        <v>4</v>
      </c>
      <c r="AP91" s="17" t="n">
        <v>4</v>
      </c>
      <c r="AQ91" s="17" t="n">
        <v>3</v>
      </c>
      <c r="AR91" s="17" t="n">
        <v>4</v>
      </c>
      <c r="AS91" s="17" t="n">
        <v>5</v>
      </c>
      <c r="AT91" s="8">
        <f>SUM(AB91:AS91)</f>
        <v/>
      </c>
      <c r="AU91" s="8">
        <f>AU11</f>
        <v/>
      </c>
      <c r="AV91" s="8">
        <f>AT91-AU91</f>
        <v/>
      </c>
      <c r="AW91" s="8">
        <f>MAX(0,25-AV91)*1.0</f>
        <v/>
      </c>
      <c r="AX91" s="18">
        <f>AA91+AW91</f>
        <v/>
      </c>
    </row>
    <row r="92">
      <c r="A92" s="8" t="n">
        <v>80</v>
      </c>
      <c r="B92" t="inlineStr">
        <is>
          <t>Rafael Gonçales Benesi</t>
        </is>
      </c>
      <c r="C92" s="8" t="inlineStr">
        <is>
          <t>54774</t>
        </is>
      </c>
      <c r="D92" t="inlineStr">
        <is>
          <t>Estoril</t>
        </is>
      </c>
      <c r="E92" s="8" t="n">
        <v>6.4</v>
      </c>
      <c r="F92" s="17" t="n">
        <v>6</v>
      </c>
      <c r="G92" s="17" t="n">
        <v>5</v>
      </c>
      <c r="H92" s="17" t="n">
        <v>4</v>
      </c>
      <c r="I92" s="17" t="n">
        <v>5</v>
      </c>
      <c r="J92" s="17" t="n">
        <v>6</v>
      </c>
      <c r="K92" s="17" t="n">
        <v>4</v>
      </c>
      <c r="L92" s="17" t="n">
        <v>5</v>
      </c>
      <c r="M92" s="17" t="n">
        <v>5</v>
      </c>
      <c r="N92" s="17" t="n">
        <v>5</v>
      </c>
      <c r="O92" s="17" t="n">
        <v>7</v>
      </c>
      <c r="P92" s="17" t="n">
        <v>5</v>
      </c>
      <c r="Q92" s="17" t="n">
        <v>4</v>
      </c>
      <c r="R92" s="17" t="n">
        <v>6</v>
      </c>
      <c r="S92" s="17" t="n">
        <v>6</v>
      </c>
      <c r="T92" s="17" t="n">
        <v>4</v>
      </c>
      <c r="U92" s="17" t="n">
        <v>4</v>
      </c>
      <c r="V92" s="17" t="n">
        <v>5</v>
      </c>
      <c r="W92" s="17" t="n">
        <v>5</v>
      </c>
      <c r="X92" s="8">
        <f>SUM(F92:W92)</f>
        <v/>
      </c>
      <c r="Y92" s="8">
        <f>Y11</f>
        <v/>
      </c>
      <c r="Z92" s="8">
        <f>X92-Y92</f>
        <v/>
      </c>
      <c r="AA92" s="8">
        <f>MAX(0,25-Z92)*1.0</f>
        <v/>
      </c>
      <c r="AB92" s="17" t="n">
        <v>5</v>
      </c>
      <c r="AC92" s="17" t="n">
        <v>5</v>
      </c>
      <c r="AD92" s="17" t="n">
        <v>3</v>
      </c>
      <c r="AE92" s="17" t="n">
        <v>6</v>
      </c>
      <c r="AF92" s="17" t="n">
        <v>6</v>
      </c>
      <c r="AG92" s="17" t="n">
        <v>4</v>
      </c>
      <c r="AH92" s="17" t="n">
        <v>7</v>
      </c>
      <c r="AI92" s="17" t="n">
        <v>3</v>
      </c>
      <c r="AJ92" s="17" t="n">
        <v>6</v>
      </c>
      <c r="AK92" s="17" t="n">
        <v>7</v>
      </c>
      <c r="AL92" s="17" t="n">
        <v>5</v>
      </c>
      <c r="AM92" s="17" t="n">
        <v>4</v>
      </c>
      <c r="AN92" s="17" t="n">
        <v>5</v>
      </c>
      <c r="AO92" s="17" t="n">
        <v>6</v>
      </c>
      <c r="AP92" s="17" t="n">
        <v>6</v>
      </c>
      <c r="AQ92" s="17" t="n">
        <v>4</v>
      </c>
      <c r="AR92" s="17" t="n">
        <v>7</v>
      </c>
      <c r="AS92" s="17" t="n">
        <v>5</v>
      </c>
      <c r="AT92" s="8">
        <f>SUM(AB92:AS92)</f>
        <v/>
      </c>
      <c r="AU92" s="8">
        <f>AU11</f>
        <v/>
      </c>
      <c r="AV92" s="8">
        <f>AT92-AU92</f>
        <v/>
      </c>
      <c r="AW92" s="8">
        <f>MAX(0,25-AV92)*1.0</f>
        <v/>
      </c>
      <c r="AX92" s="18">
        <f>AA92+AW92</f>
        <v/>
      </c>
    </row>
    <row r="93">
      <c r="A93" s="8" t="n">
        <v>81</v>
      </c>
      <c r="B93" t="inlineStr">
        <is>
          <t>William Gao</t>
        </is>
      </c>
      <c r="C93" s="8" t="inlineStr">
        <is>
          <t>51524</t>
        </is>
      </c>
      <c r="D93" t="inlineStr">
        <is>
          <t>Quinta do Peru</t>
        </is>
      </c>
      <c r="E93" s="8" t="n">
        <v>9.1</v>
      </c>
      <c r="F93" s="17" t="n">
        <v>6</v>
      </c>
      <c r="G93" s="17" t="n">
        <v>5</v>
      </c>
      <c r="H93" s="17" t="n">
        <v>5</v>
      </c>
      <c r="I93" s="17" t="n">
        <v>4</v>
      </c>
      <c r="J93" s="17" t="n">
        <v>6</v>
      </c>
      <c r="K93" s="17" t="n">
        <v>5</v>
      </c>
      <c r="L93" s="17" t="n">
        <v>5</v>
      </c>
      <c r="M93" s="17" t="n">
        <v>6</v>
      </c>
      <c r="N93" s="17" t="n">
        <v>5</v>
      </c>
      <c r="O93" s="17" t="n">
        <v>5</v>
      </c>
      <c r="P93" s="17" t="n">
        <v>4</v>
      </c>
      <c r="Q93" s="17" t="n">
        <v>4</v>
      </c>
      <c r="R93" s="17" t="n">
        <v>9</v>
      </c>
      <c r="S93" s="17" t="n">
        <v>5</v>
      </c>
      <c r="T93" s="17" t="n">
        <v>4</v>
      </c>
      <c r="U93" s="17" t="n">
        <v>5</v>
      </c>
      <c r="V93" s="17" t="n">
        <v>3</v>
      </c>
      <c r="W93" s="17" t="n">
        <v>6</v>
      </c>
      <c r="X93" s="8">
        <f>SUM(F93:W93)</f>
        <v/>
      </c>
      <c r="Y93" s="8">
        <f>Y11</f>
        <v/>
      </c>
      <c r="Z93" s="8">
        <f>X93-Y93</f>
        <v/>
      </c>
      <c r="AA93" s="8">
        <f>MAX(0,25-Z93)*1.0</f>
        <v/>
      </c>
      <c r="AB93" s="17" t="n">
        <v>6</v>
      </c>
      <c r="AC93" s="17" t="n">
        <v>5</v>
      </c>
      <c r="AD93" s="17" t="n">
        <v>4</v>
      </c>
      <c r="AE93" s="17" t="n">
        <v>6</v>
      </c>
      <c r="AF93" s="17" t="n">
        <v>6</v>
      </c>
      <c r="AG93" s="17" t="n">
        <v>5</v>
      </c>
      <c r="AH93" s="17" t="n">
        <v>6</v>
      </c>
      <c r="AI93" s="17" t="n">
        <v>3</v>
      </c>
      <c r="AJ93" s="17" t="n">
        <v>5</v>
      </c>
      <c r="AK93" s="17" t="n">
        <v>5</v>
      </c>
      <c r="AL93" s="17" t="n">
        <v>5</v>
      </c>
      <c r="AM93" s="17" t="n">
        <v>5</v>
      </c>
      <c r="AN93" s="17" t="n">
        <v>6</v>
      </c>
      <c r="AO93" s="17" t="n">
        <v>5</v>
      </c>
      <c r="AP93" s="17" t="n">
        <v>7</v>
      </c>
      <c r="AQ93" s="17" t="n">
        <v>5</v>
      </c>
      <c r="AR93" s="17" t="n">
        <v>7</v>
      </c>
      <c r="AS93" s="17" t="n">
        <v>6</v>
      </c>
      <c r="AT93" s="8">
        <f>SUM(AB93:AS93)</f>
        <v/>
      </c>
      <c r="AU93" s="8">
        <f>AU11</f>
        <v/>
      </c>
      <c r="AV93" s="8">
        <f>AT93-AU93</f>
        <v/>
      </c>
      <c r="AW93" s="8">
        <f>MAX(0,25-AV93)*1.0</f>
        <v/>
      </c>
      <c r="AX93" s="18">
        <f>AA93+AW93</f>
        <v/>
      </c>
    </row>
    <row r="94">
      <c r="A94" s="8" t="n">
        <v>82</v>
      </c>
      <c r="B94" t="inlineStr">
        <is>
          <t>Afonso Silva Pinto</t>
        </is>
      </c>
      <c r="C94" s="8" t="inlineStr">
        <is>
          <t>46309</t>
        </is>
      </c>
      <c r="D94" t="inlineStr">
        <is>
          <t>Miramar</t>
        </is>
      </c>
      <c r="E94" s="8" t="n">
        <v>5.4</v>
      </c>
      <c r="F94" s="17" t="n">
        <v>6</v>
      </c>
      <c r="G94" s="17" t="n">
        <v>5</v>
      </c>
      <c r="H94" s="17" t="n">
        <v>3</v>
      </c>
      <c r="I94" s="17" t="n">
        <v>5</v>
      </c>
      <c r="J94" s="17" t="n">
        <v>5</v>
      </c>
      <c r="K94" s="17" t="n">
        <v>5</v>
      </c>
      <c r="L94" s="17" t="n">
        <v>6</v>
      </c>
      <c r="M94" s="17" t="n">
        <v>3</v>
      </c>
      <c r="N94" s="17" t="n">
        <v>6</v>
      </c>
      <c r="O94" s="17" t="n">
        <v>5</v>
      </c>
      <c r="P94" s="17" t="n">
        <v>3</v>
      </c>
      <c r="Q94" s="17" t="n">
        <v>5</v>
      </c>
      <c r="R94" s="17" t="n">
        <v>6</v>
      </c>
      <c r="S94" s="17" t="n">
        <v>5</v>
      </c>
      <c r="T94" s="17" t="n">
        <v>5</v>
      </c>
      <c r="U94" s="17" t="n">
        <v>5</v>
      </c>
      <c r="V94" s="17" t="n">
        <v>9</v>
      </c>
      <c r="W94" s="17" t="n">
        <v>6</v>
      </c>
      <c r="X94" s="8">
        <f>SUM(F94:W94)</f>
        <v/>
      </c>
      <c r="Y94" s="8">
        <f>Y11</f>
        <v/>
      </c>
      <c r="Z94" s="8">
        <f>X94-Y94</f>
        <v/>
      </c>
      <c r="AA94" s="8">
        <f>MAX(0,25-Z94)*1.0</f>
        <v/>
      </c>
      <c r="AB94" s="17" t="n">
        <v>6</v>
      </c>
      <c r="AC94" s="17" t="n">
        <v>5</v>
      </c>
      <c r="AD94" s="17" t="n">
        <v>4</v>
      </c>
      <c r="AE94" s="17" t="n">
        <v>5</v>
      </c>
      <c r="AF94" s="17" t="n">
        <v>6</v>
      </c>
      <c r="AG94" s="17" t="n">
        <v>6</v>
      </c>
      <c r="AH94" s="17" t="n">
        <v>6</v>
      </c>
      <c r="AI94" s="17" t="n">
        <v>5</v>
      </c>
      <c r="AJ94" s="17" t="n">
        <v>4</v>
      </c>
      <c r="AK94" s="17" t="n">
        <v>5</v>
      </c>
      <c r="AL94" s="17" t="n">
        <v>4</v>
      </c>
      <c r="AM94" s="17" t="n">
        <v>5</v>
      </c>
      <c r="AN94" s="17" t="n">
        <v>5</v>
      </c>
      <c r="AO94" s="17" t="n">
        <v>6</v>
      </c>
      <c r="AP94" s="17" t="n">
        <v>5</v>
      </c>
      <c r="AQ94" s="17" t="n">
        <v>4</v>
      </c>
      <c r="AR94" s="17" t="n">
        <v>5</v>
      </c>
      <c r="AS94" s="17" t="n">
        <v>5</v>
      </c>
      <c r="AT94" s="8">
        <f>SUM(AB94:AS94)</f>
        <v/>
      </c>
      <c r="AU94" s="8">
        <f>AU11</f>
        <v/>
      </c>
      <c r="AV94" s="8">
        <f>AT94-AU94</f>
        <v/>
      </c>
      <c r="AW94" s="8">
        <f>MAX(0,25-AV94)*1.0</f>
        <v/>
      </c>
      <c r="AX94" s="18">
        <f>AA94+AW94</f>
        <v/>
      </c>
    </row>
    <row r="95">
      <c r="A95" s="8" t="inlineStr">
        <is>
          <t>DQ</t>
        </is>
      </c>
      <c r="B95" t="inlineStr">
        <is>
          <t>Pedro Ataíde e Sá</t>
        </is>
      </c>
      <c r="C95" s="8" t="inlineStr"/>
      <c r="D95" t="inlineStr">
        <is>
          <t>Citynorte</t>
        </is>
      </c>
      <c r="E95" s="8" t="n">
        <v>1.8</v>
      </c>
      <c r="AA95" s="8" t="n">
        <v>0</v>
      </c>
      <c r="AW95" s="8" t="n">
        <v>0</v>
      </c>
      <c r="AX95" s="18">
        <f>AA95+AW95</f>
        <v/>
      </c>
    </row>
    <row r="96">
      <c r="A96" s="8" t="inlineStr">
        <is>
          <t>DQ</t>
        </is>
      </c>
      <c r="B96" t="inlineStr">
        <is>
          <t>Ren Hong Bo</t>
        </is>
      </c>
      <c r="C96" s="8" t="inlineStr"/>
      <c r="D96" t="inlineStr">
        <is>
          <t>Belas</t>
        </is>
      </c>
      <c r="E96" s="8" t="n">
        <v>5.8</v>
      </c>
      <c r="AA96" s="8" t="n">
        <v>0</v>
      </c>
      <c r="AW96" s="8" t="n">
        <v>0</v>
      </c>
      <c r="AX96" s="18">
        <f>AA96+AW96</f>
        <v/>
      </c>
    </row>
    <row r="97">
      <c r="A97" s="8" t="inlineStr">
        <is>
          <t>ND</t>
        </is>
      </c>
      <c r="B97" t="inlineStr">
        <is>
          <t>Diogo Sequeira</t>
        </is>
      </c>
      <c r="C97" s="8" t="inlineStr">
        <is>
          <t>56654</t>
        </is>
      </c>
      <c r="D97" t="inlineStr">
        <is>
          <t>Quinta do Peru</t>
        </is>
      </c>
      <c r="E97" s="8" t="n">
        <v>3.6</v>
      </c>
      <c r="F97" s="17" t="n">
        <v>6</v>
      </c>
      <c r="G97" s="17" t="n">
        <v>5</v>
      </c>
      <c r="H97" s="17" t="n">
        <v>4</v>
      </c>
      <c r="I97" s="17" t="n">
        <v>5</v>
      </c>
      <c r="J97" s="17" t="n">
        <v>6</v>
      </c>
      <c r="K97" s="17" t="n">
        <v>5</v>
      </c>
      <c r="L97" s="17" t="n">
        <v>5</v>
      </c>
      <c r="X97" s="8">
        <f>SUM(F97:W97)</f>
        <v/>
      </c>
      <c r="Y97" s="8">
        <f>Y11</f>
        <v/>
      </c>
      <c r="Z97" s="8">
        <f>X97-Y97</f>
        <v/>
      </c>
      <c r="AA97" s="8">
        <f>MAX(0,25-Z97)*1.0</f>
        <v/>
      </c>
      <c r="AW97" s="8" t="n">
        <v>0</v>
      </c>
      <c r="AX97" s="18">
        <f>AA97+AW97</f>
        <v/>
      </c>
    </row>
  </sheetData>
  <mergeCells count="1">
    <mergeCell ref="A1:H1"/>
  </mergeCells>
  <conditionalFormatting sqref="F13:F97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97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97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97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97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97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97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97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97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97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97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97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97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97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97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97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97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97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97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97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97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97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97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97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97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97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97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97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97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97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97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97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97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97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97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97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3º Drive Tour Tejo — Sto. Estêvão</t>
        </is>
      </c>
    </row>
    <row r="2">
      <c r="A2" s="10" t="inlineStr">
        <is>
          <t>Data:</t>
        </is>
      </c>
      <c r="B2" t="inlineStr">
        <is>
          <t>2026-03-28</t>
        </is>
      </c>
    </row>
    <row r="3">
      <c r="A3" s="10" t="inlineStr">
        <is>
          <t>Campo:</t>
        </is>
      </c>
      <c r="B3" t="inlineStr">
        <is>
          <t>Santo Estêvão</t>
        </is>
      </c>
    </row>
    <row r="4">
      <c r="A4" s="10" t="inlineStr">
        <is>
          <t>ccode/tcode:</t>
        </is>
      </c>
      <c r="B4" t="inlineStr">
        <is>
          <t>985/10204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https://scoring.datagolf.pt/pt/Classifications.aspx?ccode=985&amp;tcode=10204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4</v>
      </c>
      <c r="H11" s="14" t="n">
        <v>5</v>
      </c>
      <c r="I11" s="14" t="n">
        <v>3</v>
      </c>
      <c r="J11" s="14" t="n">
        <v>4</v>
      </c>
      <c r="K11" s="14" t="n">
        <v>3</v>
      </c>
      <c r="L11" s="14" t="n">
        <v>4</v>
      </c>
      <c r="M11" s="14" t="n">
        <v>5</v>
      </c>
      <c r="N11" s="14" t="n">
        <v>4</v>
      </c>
      <c r="O11" s="14" t="n">
        <v>4</v>
      </c>
      <c r="P11" s="14" t="n">
        <v>4</v>
      </c>
      <c r="Q11" s="14" t="n">
        <v>3</v>
      </c>
      <c r="R11" s="14" t="n">
        <v>5</v>
      </c>
      <c r="S11" s="14" t="n">
        <v>4</v>
      </c>
      <c r="T11" s="14" t="n">
        <v>3</v>
      </c>
      <c r="U11" s="14" t="n">
        <v>5</v>
      </c>
      <c r="V11" s="14" t="n">
        <v>4</v>
      </c>
      <c r="W11" s="14" t="n">
        <v>5</v>
      </c>
      <c r="Y11" s="15">
        <f>SUM(F11:W11)</f>
        <v/>
      </c>
      <c r="AB11" s="14" t="n">
        <v>4</v>
      </c>
      <c r="AC11" s="14" t="n">
        <v>4</v>
      </c>
      <c r="AD11" s="14" t="n">
        <v>5</v>
      </c>
      <c r="AE11" s="14" t="n">
        <v>3</v>
      </c>
      <c r="AF11" s="14" t="n">
        <v>4</v>
      </c>
      <c r="AG11" s="14" t="n">
        <v>3</v>
      </c>
      <c r="AH11" s="14" t="n">
        <v>4</v>
      </c>
      <c r="AI11" s="14" t="n">
        <v>5</v>
      </c>
      <c r="AJ11" s="14" t="n">
        <v>4</v>
      </c>
      <c r="AK11" s="14" t="n">
        <v>4</v>
      </c>
      <c r="AL11" s="14" t="n">
        <v>4</v>
      </c>
      <c r="AM11" s="14" t="n">
        <v>3</v>
      </c>
      <c r="AN11" s="14" t="n">
        <v>5</v>
      </c>
      <c r="AO11" s="14" t="n">
        <v>4</v>
      </c>
      <c r="AP11" s="14" t="n">
        <v>3</v>
      </c>
      <c r="AQ11" s="14" t="n">
        <v>5</v>
      </c>
      <c r="AR11" s="14" t="n">
        <v>4</v>
      </c>
      <c r="AS11" s="14" t="n">
        <v>5</v>
      </c>
      <c r="AU11" s="15">
        <f>SUM(AB11:AS11)</f>
        <v/>
      </c>
    </row>
    <row r="12">
      <c r="A12" s="13" t="inlineStr">
        <is>
          <t>—SI—</t>
        </is>
      </c>
      <c r="F12" s="16" t="n">
        <v>18</v>
      </c>
      <c r="G12" s="16" t="n">
        <v>6</v>
      </c>
      <c r="H12" s="16" t="n">
        <v>4</v>
      </c>
      <c r="I12" s="16" t="n">
        <v>16</v>
      </c>
      <c r="J12" s="16" t="n">
        <v>8</v>
      </c>
      <c r="K12" s="16" t="n">
        <v>12</v>
      </c>
      <c r="L12" s="16" t="n">
        <v>2</v>
      </c>
      <c r="M12" s="16" t="n">
        <v>10</v>
      </c>
      <c r="N12" s="16" t="n">
        <v>14</v>
      </c>
      <c r="O12" s="16" t="n">
        <v>13</v>
      </c>
      <c r="P12" s="16" t="n">
        <v>3</v>
      </c>
      <c r="Q12" s="16" t="n">
        <v>9</v>
      </c>
      <c r="R12" s="16" t="n">
        <v>5</v>
      </c>
      <c r="S12" s="16" t="n">
        <v>7</v>
      </c>
      <c r="T12" s="16" t="n">
        <v>17</v>
      </c>
      <c r="U12" s="16" t="n">
        <v>11</v>
      </c>
      <c r="V12" s="16" t="n">
        <v>1</v>
      </c>
      <c r="W12" s="16" t="n">
        <v>15</v>
      </c>
      <c r="AB12" s="16" t="n">
        <v>18</v>
      </c>
      <c r="AC12" s="16" t="n">
        <v>6</v>
      </c>
      <c r="AD12" s="16" t="n">
        <v>4</v>
      </c>
      <c r="AE12" s="16" t="n">
        <v>16</v>
      </c>
      <c r="AF12" s="16" t="n">
        <v>8</v>
      </c>
      <c r="AG12" s="16" t="n">
        <v>12</v>
      </c>
      <c r="AH12" s="16" t="n">
        <v>2</v>
      </c>
      <c r="AI12" s="16" t="n">
        <v>10</v>
      </c>
      <c r="AJ12" s="16" t="n">
        <v>14</v>
      </c>
      <c r="AK12" s="16" t="n">
        <v>13</v>
      </c>
      <c r="AL12" s="16" t="n">
        <v>3</v>
      </c>
      <c r="AM12" s="16" t="n">
        <v>9</v>
      </c>
      <c r="AN12" s="16" t="n">
        <v>5</v>
      </c>
      <c r="AO12" s="16" t="n">
        <v>7</v>
      </c>
      <c r="AP12" s="16" t="n">
        <v>17</v>
      </c>
      <c r="AQ12" s="16" t="n">
        <v>11</v>
      </c>
      <c r="AR12" s="16" t="n">
        <v>1</v>
      </c>
      <c r="AS12" s="16" t="n">
        <v>15</v>
      </c>
    </row>
    <row r="13">
      <c r="A13" s="8" t="n">
        <v>1</v>
      </c>
      <c r="B13" t="inlineStr">
        <is>
          <t>Pedro Costa Alemão</t>
        </is>
      </c>
      <c r="C13" s="8" t="inlineStr">
        <is>
          <t>46706</t>
        </is>
      </c>
      <c r="D13" t="inlineStr">
        <is>
          <t>Estoril</t>
        </is>
      </c>
      <c r="E13" s="8" t="n">
        <v>4</v>
      </c>
      <c r="F13" s="17" t="n">
        <v>4</v>
      </c>
      <c r="G13" s="17" t="n">
        <v>4</v>
      </c>
      <c r="H13" s="17" t="n">
        <v>5</v>
      </c>
      <c r="I13" s="17" t="n">
        <v>3</v>
      </c>
      <c r="J13" s="17" t="n">
        <v>4</v>
      </c>
      <c r="K13" s="17" t="n">
        <v>4</v>
      </c>
      <c r="L13" s="17" t="n">
        <v>5</v>
      </c>
      <c r="M13" s="17" t="n">
        <v>4</v>
      </c>
      <c r="N13" s="17" t="n">
        <v>4</v>
      </c>
      <c r="O13" s="17" t="n">
        <v>4</v>
      </c>
      <c r="P13" s="17" t="n">
        <v>5</v>
      </c>
      <c r="Q13" s="17" t="n">
        <v>2</v>
      </c>
      <c r="R13" s="17" t="n">
        <v>6</v>
      </c>
      <c r="S13" s="17" t="n">
        <v>5</v>
      </c>
      <c r="T13" s="17" t="n">
        <v>3</v>
      </c>
      <c r="U13" s="17" t="n">
        <v>5</v>
      </c>
      <c r="V13" s="17" t="n">
        <v>5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4</v>
      </c>
      <c r="AC13" s="17" t="n">
        <v>4</v>
      </c>
      <c r="AD13" s="17" t="n">
        <v>5</v>
      </c>
      <c r="AE13" s="17" t="n">
        <v>3</v>
      </c>
      <c r="AF13" s="17" t="n">
        <v>4</v>
      </c>
      <c r="AG13" s="17" t="n">
        <v>3</v>
      </c>
      <c r="AH13" s="17" t="n">
        <v>7</v>
      </c>
      <c r="AI13" s="17" t="n">
        <v>6</v>
      </c>
      <c r="AJ13" s="17" t="n">
        <v>4</v>
      </c>
      <c r="AK13" s="17" t="n">
        <v>6</v>
      </c>
      <c r="AL13" s="17" t="n">
        <v>5</v>
      </c>
      <c r="AM13" s="17" t="n">
        <v>4</v>
      </c>
      <c r="AN13" s="17" t="n">
        <v>6</v>
      </c>
      <c r="AO13" s="17" t="n">
        <v>4</v>
      </c>
      <c r="AP13" s="17" t="n">
        <v>3</v>
      </c>
      <c r="AQ13" s="17" t="n">
        <v>5</v>
      </c>
      <c r="AR13" s="17" t="n">
        <v>5</v>
      </c>
      <c r="AS13" s="17" t="n">
        <v>6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Nuno Palmares Jr.</t>
        </is>
      </c>
      <c r="C14" s="8" t="inlineStr">
        <is>
          <t>49124</t>
        </is>
      </c>
      <c r="D14" t="inlineStr">
        <is>
          <t>Estoril</t>
        </is>
      </c>
      <c r="E14" s="8" t="n">
        <v>3.9</v>
      </c>
      <c r="F14" s="17" t="n">
        <v>4</v>
      </c>
      <c r="G14" s="17" t="n">
        <v>5</v>
      </c>
      <c r="H14" s="17" t="n">
        <v>5</v>
      </c>
      <c r="I14" s="17" t="n">
        <v>4</v>
      </c>
      <c r="J14" s="17" t="n">
        <v>5</v>
      </c>
      <c r="K14" s="17" t="n">
        <v>3</v>
      </c>
      <c r="L14" s="17" t="n">
        <v>5</v>
      </c>
      <c r="M14" s="17" t="n">
        <v>4</v>
      </c>
      <c r="N14" s="17" t="n">
        <v>4</v>
      </c>
      <c r="O14" s="17" t="n">
        <v>4</v>
      </c>
      <c r="P14" s="17" t="n">
        <v>4</v>
      </c>
      <c r="Q14" s="17" t="n">
        <v>3</v>
      </c>
      <c r="R14" s="17" t="n">
        <v>6</v>
      </c>
      <c r="S14" s="17" t="n">
        <v>5</v>
      </c>
      <c r="T14" s="17" t="n">
        <v>4</v>
      </c>
      <c r="U14" s="17" t="n">
        <v>5</v>
      </c>
      <c r="V14" s="17" t="n">
        <v>5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4</v>
      </c>
      <c r="AC14" s="17" t="n">
        <v>3</v>
      </c>
      <c r="AD14" s="17" t="n">
        <v>5</v>
      </c>
      <c r="AE14" s="17" t="n">
        <v>3</v>
      </c>
      <c r="AF14" s="17" t="n">
        <v>4</v>
      </c>
      <c r="AG14" s="17" t="n">
        <v>5</v>
      </c>
      <c r="AH14" s="17" t="n">
        <v>5</v>
      </c>
      <c r="AI14" s="17" t="n">
        <v>6</v>
      </c>
      <c r="AJ14" s="17" t="n">
        <v>4</v>
      </c>
      <c r="AK14" s="17" t="n">
        <v>4</v>
      </c>
      <c r="AL14" s="17" t="n">
        <v>5</v>
      </c>
      <c r="AM14" s="17" t="n">
        <v>2</v>
      </c>
      <c r="AN14" s="17" t="n">
        <v>6</v>
      </c>
      <c r="AO14" s="17" t="n">
        <v>4</v>
      </c>
      <c r="AP14" s="17" t="n">
        <v>4</v>
      </c>
      <c r="AQ14" s="17" t="n">
        <v>5</v>
      </c>
      <c r="AR14" s="17" t="n">
        <v>5</v>
      </c>
      <c r="AS14" s="17" t="n">
        <v>3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João Rocha</t>
        </is>
      </c>
      <c r="C15" s="8" t="inlineStr">
        <is>
          <t>48297</t>
        </is>
      </c>
      <c r="D15" t="inlineStr">
        <is>
          <t>Estoril</t>
        </is>
      </c>
      <c r="E15" s="8" t="n">
        <v>6.1</v>
      </c>
      <c r="F15" s="17" t="n">
        <v>3</v>
      </c>
      <c r="G15" s="17" t="n">
        <v>4</v>
      </c>
      <c r="H15" s="17" t="n">
        <v>5</v>
      </c>
      <c r="I15" s="17" t="n">
        <v>4</v>
      </c>
      <c r="J15" s="17" t="n">
        <v>4</v>
      </c>
      <c r="K15" s="17" t="n">
        <v>4</v>
      </c>
      <c r="L15" s="17" t="n">
        <v>4</v>
      </c>
      <c r="M15" s="17" t="n">
        <v>5</v>
      </c>
      <c r="N15" s="17" t="n">
        <v>5</v>
      </c>
      <c r="O15" s="17" t="n">
        <v>4</v>
      </c>
      <c r="P15" s="17" t="n">
        <v>4</v>
      </c>
      <c r="Q15" s="17" t="n">
        <v>3</v>
      </c>
      <c r="R15" s="17" t="n">
        <v>7</v>
      </c>
      <c r="S15" s="17" t="n">
        <v>6</v>
      </c>
      <c r="T15" s="17" t="n">
        <v>3</v>
      </c>
      <c r="U15" s="17" t="n">
        <v>5</v>
      </c>
      <c r="V15" s="17" t="n">
        <v>5</v>
      </c>
      <c r="W15" s="17" t="n">
        <v>5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4</v>
      </c>
      <c r="AC15" s="17" t="n">
        <v>4</v>
      </c>
      <c r="AD15" s="17" t="n">
        <v>5</v>
      </c>
      <c r="AE15" s="17" t="n">
        <v>3</v>
      </c>
      <c r="AF15" s="17" t="n">
        <v>3</v>
      </c>
      <c r="AG15" s="17" t="n">
        <v>4</v>
      </c>
      <c r="AH15" s="17" t="n">
        <v>4</v>
      </c>
      <c r="AI15" s="17" t="n">
        <v>6</v>
      </c>
      <c r="AJ15" s="17" t="n">
        <v>3</v>
      </c>
      <c r="AK15" s="17" t="n">
        <v>5</v>
      </c>
      <c r="AL15" s="17" t="n">
        <v>4</v>
      </c>
      <c r="AM15" s="17" t="n">
        <v>3</v>
      </c>
      <c r="AN15" s="17" t="n">
        <v>5</v>
      </c>
      <c r="AO15" s="17" t="n">
        <v>5</v>
      </c>
      <c r="AP15" s="17" t="n">
        <v>3</v>
      </c>
      <c r="AQ15" s="17" t="n">
        <v>5</v>
      </c>
      <c r="AR15" s="17" t="n">
        <v>7</v>
      </c>
      <c r="AS15" s="17" t="n">
        <v>5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Ricardo Castro Ferreira</t>
        </is>
      </c>
      <c r="C16" s="8" t="inlineStr">
        <is>
          <t>49085</t>
        </is>
      </c>
      <c r="D16" t="inlineStr">
        <is>
          <t>Estoril</t>
        </is>
      </c>
      <c r="E16" s="8" t="n">
        <v>7.4</v>
      </c>
      <c r="F16" s="17" t="n">
        <v>3</v>
      </c>
      <c r="G16" s="17" t="n">
        <v>5</v>
      </c>
      <c r="H16" s="17" t="n">
        <v>6</v>
      </c>
      <c r="I16" s="17" t="n">
        <v>4</v>
      </c>
      <c r="J16" s="17" t="n">
        <v>5</v>
      </c>
      <c r="K16" s="17" t="n">
        <v>3</v>
      </c>
      <c r="L16" s="17" t="n">
        <v>4</v>
      </c>
      <c r="M16" s="17" t="n">
        <v>6</v>
      </c>
      <c r="N16" s="17" t="n">
        <v>5</v>
      </c>
      <c r="O16" s="17" t="n">
        <v>4</v>
      </c>
      <c r="P16" s="17" t="n">
        <v>4</v>
      </c>
      <c r="Q16" s="17" t="n">
        <v>3</v>
      </c>
      <c r="R16" s="17" t="n">
        <v>6</v>
      </c>
      <c r="S16" s="17" t="n">
        <v>4</v>
      </c>
      <c r="T16" s="17" t="n">
        <v>4</v>
      </c>
      <c r="U16" s="17" t="n">
        <v>6</v>
      </c>
      <c r="V16" s="17" t="n">
        <v>4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4</v>
      </c>
      <c r="AC16" s="17" t="n">
        <v>4</v>
      </c>
      <c r="AD16" s="17" t="n">
        <v>5</v>
      </c>
      <c r="AE16" s="17" t="n">
        <v>4</v>
      </c>
      <c r="AF16" s="17" t="n">
        <v>4</v>
      </c>
      <c r="AG16" s="17" t="n">
        <v>4</v>
      </c>
      <c r="AH16" s="17" t="n">
        <v>5</v>
      </c>
      <c r="AI16" s="17" t="n">
        <v>5</v>
      </c>
      <c r="AJ16" s="17" t="n">
        <v>4</v>
      </c>
      <c r="AK16" s="17" t="n">
        <v>4</v>
      </c>
      <c r="AL16" s="17" t="n">
        <v>5</v>
      </c>
      <c r="AM16" s="17" t="n">
        <v>2</v>
      </c>
      <c r="AN16" s="17" t="n">
        <v>7</v>
      </c>
      <c r="AO16" s="17" t="n">
        <v>3</v>
      </c>
      <c r="AP16" s="17" t="n">
        <v>3</v>
      </c>
      <c r="AQ16" s="17" t="n">
        <v>6</v>
      </c>
      <c r="AR16" s="17" t="n">
        <v>4</v>
      </c>
      <c r="AS16" s="17" t="n">
        <v>5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Duarte Soares Franco</t>
        </is>
      </c>
      <c r="C17" s="8" t="inlineStr">
        <is>
          <t>48531</t>
        </is>
      </c>
      <c r="D17" t="inlineStr">
        <is>
          <t>Estoril</t>
        </is>
      </c>
      <c r="E17" s="8" t="n">
        <v>8.1</v>
      </c>
      <c r="F17" s="17" t="n">
        <v>5</v>
      </c>
      <c r="G17" s="17" t="n">
        <v>5</v>
      </c>
      <c r="H17" s="17" t="n">
        <v>6</v>
      </c>
      <c r="I17" s="17" t="n">
        <v>5</v>
      </c>
      <c r="J17" s="17" t="n">
        <v>4</v>
      </c>
      <c r="K17" s="17" t="n">
        <v>4</v>
      </c>
      <c r="L17" s="17" t="n">
        <v>4</v>
      </c>
      <c r="M17" s="17" t="n">
        <v>5</v>
      </c>
      <c r="N17" s="17" t="n">
        <v>5</v>
      </c>
      <c r="O17" s="17" t="n">
        <v>4</v>
      </c>
      <c r="P17" s="17" t="n">
        <v>5</v>
      </c>
      <c r="Q17" s="17" t="n">
        <v>2</v>
      </c>
      <c r="R17" s="17" t="n">
        <v>5</v>
      </c>
      <c r="S17" s="17" t="n">
        <v>4</v>
      </c>
      <c r="T17" s="17" t="n">
        <v>3</v>
      </c>
      <c r="U17" s="17" t="n">
        <v>6</v>
      </c>
      <c r="V17" s="17" t="n">
        <v>5</v>
      </c>
      <c r="W17" s="17" t="n">
        <v>5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3</v>
      </c>
      <c r="AC17" s="17" t="n">
        <v>6</v>
      </c>
      <c r="AD17" s="17" t="n">
        <v>5</v>
      </c>
      <c r="AE17" s="17" t="n">
        <v>4</v>
      </c>
      <c r="AF17" s="17" t="n">
        <v>6</v>
      </c>
      <c r="AG17" s="17" t="n">
        <v>5</v>
      </c>
      <c r="AH17" s="17" t="n">
        <v>5</v>
      </c>
      <c r="AI17" s="17" t="n">
        <v>5</v>
      </c>
      <c r="AJ17" s="17" t="n">
        <v>4</v>
      </c>
      <c r="AK17" s="17" t="n">
        <v>4</v>
      </c>
      <c r="AL17" s="17" t="n">
        <v>6</v>
      </c>
      <c r="AM17" s="17" t="n">
        <v>3</v>
      </c>
      <c r="AN17" s="17" t="n">
        <v>6</v>
      </c>
      <c r="AO17" s="17" t="n">
        <v>5</v>
      </c>
      <c r="AP17" s="17" t="n">
        <v>4</v>
      </c>
      <c r="AQ17" s="17" t="n">
        <v>5</v>
      </c>
      <c r="AR17" s="17" t="n">
        <v>7</v>
      </c>
      <c r="AS17" s="17" t="n">
        <v>5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Angelina Gao</t>
        </is>
      </c>
      <c r="C18" s="8" t="inlineStr">
        <is>
          <t>51523</t>
        </is>
      </c>
      <c r="D18" t="inlineStr">
        <is>
          <t>Quinta do Peru</t>
        </is>
      </c>
      <c r="E18" s="8" t="n">
        <v>3.9</v>
      </c>
      <c r="F18" s="17" t="n">
        <v>4</v>
      </c>
      <c r="G18" s="17" t="n">
        <v>5</v>
      </c>
      <c r="H18" s="17" t="n">
        <v>5</v>
      </c>
      <c r="I18" s="17" t="n">
        <v>4</v>
      </c>
      <c r="J18" s="17" t="n">
        <v>5</v>
      </c>
      <c r="K18" s="17" t="n">
        <v>3</v>
      </c>
      <c r="L18" s="17" t="n">
        <v>5</v>
      </c>
      <c r="M18" s="17" t="n">
        <v>5</v>
      </c>
      <c r="N18" s="17" t="n">
        <v>4</v>
      </c>
      <c r="O18" s="17" t="n">
        <v>4</v>
      </c>
      <c r="P18" s="17" t="n">
        <v>4</v>
      </c>
      <c r="Q18" s="17" t="n">
        <v>4</v>
      </c>
      <c r="R18" s="17" t="n">
        <v>6</v>
      </c>
      <c r="S18" s="17" t="n">
        <v>5</v>
      </c>
      <c r="T18" s="17" t="n">
        <v>4</v>
      </c>
      <c r="U18" s="17" t="n">
        <v>6</v>
      </c>
      <c r="V18" s="17" t="n">
        <v>5</v>
      </c>
      <c r="W18" s="17" t="n">
        <v>4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7" t="n">
        <v>4</v>
      </c>
      <c r="AC18" s="17" t="n">
        <v>4</v>
      </c>
      <c r="AD18" s="17" t="n">
        <v>6</v>
      </c>
      <c r="AE18" s="17" t="n">
        <v>5</v>
      </c>
      <c r="AF18" s="17" t="n">
        <v>5</v>
      </c>
      <c r="AG18" s="17" t="n">
        <v>3</v>
      </c>
      <c r="AH18" s="17" t="n">
        <v>5</v>
      </c>
      <c r="AI18" s="17" t="n">
        <v>5</v>
      </c>
      <c r="AJ18" s="17" t="n">
        <v>4</v>
      </c>
      <c r="AK18" s="17" t="n">
        <v>4</v>
      </c>
      <c r="AL18" s="17" t="n">
        <v>5</v>
      </c>
      <c r="AM18" s="17" t="n">
        <v>3</v>
      </c>
      <c r="AN18" s="17" t="n">
        <v>5</v>
      </c>
      <c r="AO18" s="17" t="n">
        <v>4</v>
      </c>
      <c r="AP18" s="17" t="n">
        <v>4</v>
      </c>
      <c r="AQ18" s="17" t="n">
        <v>5</v>
      </c>
      <c r="AR18" s="17" t="n">
        <v>4</v>
      </c>
      <c r="AS18" s="17" t="n">
        <v>5</v>
      </c>
      <c r="AT18" s="8">
        <f>SUM(AB18:AS18)</f>
        <v/>
      </c>
      <c r="AU18" s="8">
        <f>AU11</f>
        <v/>
      </c>
      <c r="AV18" s="8">
        <f>AT18-AU18</f>
        <v/>
      </c>
      <c r="AW18" s="8">
        <f>MAX(0,25-AV18)*1.0</f>
        <v/>
      </c>
      <c r="AX18" s="18">
        <f>AA18+AW18</f>
        <v/>
      </c>
    </row>
    <row r="19">
      <c r="A19" s="8" t="n">
        <v>7</v>
      </c>
      <c r="B19" t="inlineStr">
        <is>
          <t>Ruiqi Li</t>
        </is>
      </c>
      <c r="C19" s="8" t="inlineStr">
        <is>
          <t>49076</t>
        </is>
      </c>
      <c r="D19" t="inlineStr">
        <is>
          <t>Estoril</t>
        </is>
      </c>
      <c r="E19" s="8" t="n">
        <v>3.8</v>
      </c>
      <c r="F19" s="17" t="n">
        <v>3</v>
      </c>
      <c r="G19" s="17" t="n">
        <v>5</v>
      </c>
      <c r="H19" s="17" t="n">
        <v>6</v>
      </c>
      <c r="I19" s="17" t="n">
        <v>4</v>
      </c>
      <c r="J19" s="17" t="n">
        <v>5</v>
      </c>
      <c r="K19" s="17" t="n">
        <v>3</v>
      </c>
      <c r="L19" s="17" t="n">
        <v>5</v>
      </c>
      <c r="M19" s="17" t="n">
        <v>6</v>
      </c>
      <c r="N19" s="17" t="n">
        <v>5</v>
      </c>
      <c r="O19" s="17" t="n">
        <v>5</v>
      </c>
      <c r="P19" s="17" t="n">
        <v>4</v>
      </c>
      <c r="Q19" s="17" t="n">
        <v>3</v>
      </c>
      <c r="R19" s="17" t="n">
        <v>6</v>
      </c>
      <c r="S19" s="17" t="n">
        <v>5</v>
      </c>
      <c r="T19" s="17" t="n">
        <v>3</v>
      </c>
      <c r="U19" s="17" t="n">
        <v>5</v>
      </c>
      <c r="V19" s="17" t="n">
        <v>5</v>
      </c>
      <c r="W19" s="17" t="n">
        <v>5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W19" s="8" t="n">
        <v>0</v>
      </c>
      <c r="AX19" s="18">
        <f>AA19+AW19</f>
        <v/>
      </c>
    </row>
    <row r="20">
      <c r="A20" s="8" t="n">
        <v>8</v>
      </c>
      <c r="B20" t="inlineStr">
        <is>
          <t>Rafael Gonçales Benesi</t>
        </is>
      </c>
      <c r="C20" s="8" t="inlineStr">
        <is>
          <t>54774</t>
        </is>
      </c>
      <c r="D20" t="inlineStr">
        <is>
          <t>Estoril</t>
        </is>
      </c>
      <c r="E20" s="8" t="n">
        <v>6.4</v>
      </c>
      <c r="F20" s="17" t="n">
        <v>5</v>
      </c>
      <c r="G20" s="17" t="n">
        <v>5</v>
      </c>
      <c r="H20" s="17" t="n">
        <v>6</v>
      </c>
      <c r="I20" s="17" t="n">
        <v>4</v>
      </c>
      <c r="J20" s="17" t="n">
        <v>5</v>
      </c>
      <c r="K20" s="17" t="n">
        <v>4</v>
      </c>
      <c r="L20" s="17" t="n">
        <v>5</v>
      </c>
      <c r="M20" s="17" t="n">
        <v>6</v>
      </c>
      <c r="N20" s="17" t="n">
        <v>4</v>
      </c>
      <c r="O20" s="17" t="n">
        <v>4</v>
      </c>
      <c r="P20" s="17" t="n">
        <v>5</v>
      </c>
      <c r="Q20" s="17" t="n">
        <v>3</v>
      </c>
      <c r="R20" s="17" t="n">
        <v>5</v>
      </c>
      <c r="S20" s="17" t="n">
        <v>5</v>
      </c>
      <c r="T20" s="17" t="n">
        <v>3</v>
      </c>
      <c r="U20" s="17" t="n">
        <v>5</v>
      </c>
      <c r="V20" s="17" t="n">
        <v>5</v>
      </c>
      <c r="W20" s="17" t="n">
        <v>5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4</v>
      </c>
      <c r="AC20" s="17" t="n">
        <v>5</v>
      </c>
      <c r="AD20" s="17" t="n">
        <v>4</v>
      </c>
      <c r="AE20" s="17" t="n">
        <v>5</v>
      </c>
      <c r="AF20" s="17" t="n">
        <v>5</v>
      </c>
      <c r="AG20" s="17" t="n">
        <v>4</v>
      </c>
      <c r="AH20" s="17" t="n">
        <v>4</v>
      </c>
      <c r="AI20" s="17" t="n">
        <v>5</v>
      </c>
      <c r="AJ20" s="17" t="n">
        <v>4</v>
      </c>
      <c r="AK20" s="17" t="n">
        <v>4</v>
      </c>
      <c r="AL20" s="17" t="n">
        <v>7</v>
      </c>
      <c r="AM20" s="17" t="n">
        <v>3</v>
      </c>
      <c r="AN20" s="17" t="n">
        <v>4</v>
      </c>
      <c r="AO20" s="17" t="n">
        <v>5</v>
      </c>
      <c r="AP20" s="17" t="n">
        <v>4</v>
      </c>
      <c r="AQ20" s="17" t="n">
        <v>4</v>
      </c>
      <c r="AR20" s="17" t="n">
        <v>6</v>
      </c>
      <c r="AS20" s="17" t="n">
        <v>5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Martim Sousa de Morais</t>
        </is>
      </c>
      <c r="C21" s="8" t="inlineStr">
        <is>
          <t>41609</t>
        </is>
      </c>
      <c r="D21" t="inlineStr">
        <is>
          <t>Belas</t>
        </is>
      </c>
      <c r="E21" s="8" t="n">
        <v>6.6</v>
      </c>
      <c r="F21" s="17" t="n">
        <v>5</v>
      </c>
      <c r="G21" s="17" t="n">
        <v>6</v>
      </c>
      <c r="H21" s="17" t="n">
        <v>7</v>
      </c>
      <c r="I21" s="17" t="n">
        <v>3</v>
      </c>
      <c r="J21" s="17" t="n">
        <v>6</v>
      </c>
      <c r="K21" s="17" t="n">
        <v>4</v>
      </c>
      <c r="L21" s="17" t="n">
        <v>5</v>
      </c>
      <c r="M21" s="17" t="n">
        <v>5</v>
      </c>
      <c r="N21" s="17" t="n">
        <v>4</v>
      </c>
      <c r="O21" s="17" t="n">
        <v>4</v>
      </c>
      <c r="P21" s="17" t="n">
        <v>4</v>
      </c>
      <c r="Q21" s="17" t="n">
        <v>4</v>
      </c>
      <c r="R21" s="17" t="n">
        <v>6</v>
      </c>
      <c r="S21" s="17" t="n">
        <v>4</v>
      </c>
      <c r="T21" s="17" t="n">
        <v>3</v>
      </c>
      <c r="U21" s="17" t="n">
        <v>5</v>
      </c>
      <c r="V21" s="17" t="n">
        <v>5</v>
      </c>
      <c r="W21" s="17" t="n">
        <v>5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4</v>
      </c>
      <c r="AC21" s="17" t="n">
        <v>5</v>
      </c>
      <c r="AD21" s="17" t="n">
        <v>6</v>
      </c>
      <c r="AE21" s="17" t="n">
        <v>4</v>
      </c>
      <c r="AF21" s="17" t="n">
        <v>4</v>
      </c>
      <c r="AG21" s="17" t="n">
        <v>4</v>
      </c>
      <c r="AH21" s="17" t="n">
        <v>5</v>
      </c>
      <c r="AI21" s="17" t="n">
        <v>6</v>
      </c>
      <c r="AJ21" s="17" t="n">
        <v>4</v>
      </c>
      <c r="AK21" s="17" t="n">
        <v>4</v>
      </c>
      <c r="AL21" s="17" t="n">
        <v>4</v>
      </c>
      <c r="AM21" s="17" t="n">
        <v>4</v>
      </c>
      <c r="AN21" s="17" t="n">
        <v>6</v>
      </c>
      <c r="AO21" s="17" t="n">
        <v>4</v>
      </c>
      <c r="AP21" s="17" t="n">
        <v>3</v>
      </c>
      <c r="AQ21" s="17" t="n">
        <v>5</v>
      </c>
      <c r="AR21" s="17" t="n">
        <v>6</v>
      </c>
      <c r="AS21" s="17" t="n">
        <v>5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Gabriel Costa</t>
        </is>
      </c>
      <c r="C22" s="8" t="inlineStr">
        <is>
          <t>53838</t>
        </is>
      </c>
      <c r="D22" t="inlineStr">
        <is>
          <t>Amendoeira</t>
        </is>
      </c>
      <c r="E22" s="8" t="n">
        <v>21.2</v>
      </c>
      <c r="F22" s="17" t="n">
        <v>4</v>
      </c>
      <c r="G22" s="17" t="n">
        <v>5</v>
      </c>
      <c r="H22" s="17" t="n">
        <v>7</v>
      </c>
      <c r="I22" s="17" t="n">
        <v>3</v>
      </c>
      <c r="J22" s="17" t="n">
        <v>5</v>
      </c>
      <c r="K22" s="17" t="n">
        <v>4</v>
      </c>
      <c r="L22" s="17" t="n">
        <v>5</v>
      </c>
      <c r="M22" s="17" t="n">
        <v>5</v>
      </c>
      <c r="N22" s="17" t="n">
        <v>4</v>
      </c>
      <c r="O22" s="17" t="n">
        <v>4</v>
      </c>
      <c r="P22" s="17" t="n">
        <v>5</v>
      </c>
      <c r="Q22" s="17" t="n">
        <v>4</v>
      </c>
      <c r="R22" s="17" t="n">
        <v>7</v>
      </c>
      <c r="S22" s="17" t="n">
        <v>4</v>
      </c>
      <c r="T22" s="17" t="n">
        <v>3</v>
      </c>
      <c r="U22" s="17" t="n">
        <v>4</v>
      </c>
      <c r="V22" s="17" t="n">
        <v>5</v>
      </c>
      <c r="W22" s="17" t="n">
        <v>7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4</v>
      </c>
      <c r="AC22" s="17" t="n">
        <v>5</v>
      </c>
      <c r="AD22" s="17" t="n">
        <v>7</v>
      </c>
      <c r="AE22" s="17" t="n">
        <v>4</v>
      </c>
      <c r="AF22" s="17" t="n">
        <v>4</v>
      </c>
      <c r="AG22" s="17" t="n">
        <v>4</v>
      </c>
      <c r="AH22" s="17" t="n">
        <v>5</v>
      </c>
      <c r="AI22" s="17" t="n">
        <v>7</v>
      </c>
      <c r="AJ22" s="17" t="n">
        <v>5</v>
      </c>
      <c r="AK22" s="17" t="n">
        <v>4</v>
      </c>
      <c r="AL22" s="17" t="n">
        <v>7</v>
      </c>
      <c r="AM22" s="17" t="n">
        <v>4</v>
      </c>
      <c r="AN22" s="17" t="n">
        <v>6</v>
      </c>
      <c r="AO22" s="17" t="n">
        <v>5</v>
      </c>
      <c r="AP22" s="17" t="n">
        <v>4</v>
      </c>
      <c r="AQ22" s="17" t="n">
        <v>6</v>
      </c>
      <c r="AR22" s="17" t="n">
        <v>5</v>
      </c>
      <c r="AS22" s="17" t="n">
        <v>5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William Gao</t>
        </is>
      </c>
      <c r="C23" s="8" t="inlineStr">
        <is>
          <t>51524</t>
        </is>
      </c>
      <c r="D23" t="inlineStr">
        <is>
          <t>Quinta do Peru</t>
        </is>
      </c>
      <c r="E23" s="8" t="n">
        <v>9.5</v>
      </c>
      <c r="F23" s="17" t="n">
        <v>3</v>
      </c>
      <c r="G23" s="17" t="n">
        <v>5</v>
      </c>
      <c r="H23" s="17" t="n">
        <v>6</v>
      </c>
      <c r="I23" s="17" t="n">
        <v>3</v>
      </c>
      <c r="J23" s="17" t="n">
        <v>5</v>
      </c>
      <c r="K23" s="17" t="n">
        <v>4</v>
      </c>
      <c r="L23" s="17" t="n">
        <v>5</v>
      </c>
      <c r="M23" s="17" t="n">
        <v>6</v>
      </c>
      <c r="N23" s="17" t="n">
        <v>4</v>
      </c>
      <c r="O23" s="17" t="n">
        <v>6</v>
      </c>
      <c r="P23" s="17" t="n">
        <v>5</v>
      </c>
      <c r="Q23" s="17" t="n">
        <v>4</v>
      </c>
      <c r="R23" s="17" t="n">
        <v>6</v>
      </c>
      <c r="S23" s="17" t="n">
        <v>4</v>
      </c>
      <c r="T23" s="17" t="n">
        <v>3</v>
      </c>
      <c r="U23" s="17" t="n">
        <v>6</v>
      </c>
      <c r="V23" s="17" t="n">
        <v>5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7" t="n">
        <v>4</v>
      </c>
      <c r="AC23" s="17" t="n">
        <v>4</v>
      </c>
      <c r="AD23" s="17" t="n">
        <v>6</v>
      </c>
      <c r="AE23" s="17" t="n">
        <v>3</v>
      </c>
      <c r="AF23" s="17" t="n">
        <v>4</v>
      </c>
      <c r="AG23" s="17" t="n">
        <v>4</v>
      </c>
      <c r="AH23" s="17" t="n">
        <v>5</v>
      </c>
      <c r="AI23" s="17" t="n">
        <v>6</v>
      </c>
      <c r="AJ23" s="17" t="n">
        <v>5</v>
      </c>
      <c r="AK23" s="17" t="n">
        <v>4</v>
      </c>
      <c r="AL23" s="17" t="n">
        <v>5</v>
      </c>
      <c r="AM23" s="17" t="n">
        <v>4</v>
      </c>
      <c r="AN23" s="17" t="n">
        <v>6</v>
      </c>
      <c r="AO23" s="17" t="n">
        <v>5</v>
      </c>
      <c r="AP23" s="17" t="n">
        <v>3</v>
      </c>
      <c r="AQ23" s="17" t="n">
        <v>6</v>
      </c>
      <c r="AR23" s="17" t="n">
        <v>5</v>
      </c>
      <c r="AS23" s="17" t="n">
        <v>5</v>
      </c>
      <c r="AT23" s="8">
        <f>SUM(AB23:AS23)</f>
        <v/>
      </c>
      <c r="AU23" s="8">
        <f>AU11</f>
        <v/>
      </c>
      <c r="AV23" s="8">
        <f>AT23-AU23</f>
        <v/>
      </c>
      <c r="AW23" s="8">
        <f>MAX(0,25-AV23)*1.0</f>
        <v/>
      </c>
      <c r="AX23" s="18">
        <f>AA23+AW23</f>
        <v/>
      </c>
    </row>
    <row r="24">
      <c r="A24" s="8" t="n">
        <v>12</v>
      </c>
      <c r="B24" t="inlineStr">
        <is>
          <t>David Filip Jr</t>
        </is>
      </c>
      <c r="C24" s="8" t="inlineStr">
        <is>
          <t>51949</t>
        </is>
      </c>
      <c r="D24" t="inlineStr">
        <is>
          <t>Quinta do Peru</t>
        </is>
      </c>
      <c r="E24" s="8" t="n">
        <v>9.699999999999999</v>
      </c>
      <c r="F24" s="17" t="n">
        <v>5</v>
      </c>
      <c r="G24" s="17" t="n">
        <v>4</v>
      </c>
      <c r="H24" s="17" t="n">
        <v>7</v>
      </c>
      <c r="I24" s="17" t="n">
        <v>4</v>
      </c>
      <c r="J24" s="17" t="n">
        <v>6</v>
      </c>
      <c r="K24" s="17" t="n">
        <v>4</v>
      </c>
      <c r="L24" s="17" t="n">
        <v>5</v>
      </c>
      <c r="M24" s="17" t="n">
        <v>6</v>
      </c>
      <c r="N24" s="17" t="n">
        <v>5</v>
      </c>
      <c r="O24" s="17" t="n">
        <v>4</v>
      </c>
      <c r="P24" s="17" t="n">
        <v>5</v>
      </c>
      <c r="Q24" s="17" t="n">
        <v>3</v>
      </c>
      <c r="R24" s="17" t="n">
        <v>7</v>
      </c>
      <c r="S24" s="17" t="n">
        <v>4</v>
      </c>
      <c r="T24" s="17" t="n">
        <v>3</v>
      </c>
      <c r="U24" s="17" t="n">
        <v>6</v>
      </c>
      <c r="V24" s="17" t="n">
        <v>5</v>
      </c>
      <c r="W24" s="17" t="n">
        <v>5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4</v>
      </c>
      <c r="AC24" s="17" t="n">
        <v>5</v>
      </c>
      <c r="AD24" s="17" t="n">
        <v>5</v>
      </c>
      <c r="AE24" s="17" t="n">
        <v>3</v>
      </c>
      <c r="AF24" s="17" t="n">
        <v>5</v>
      </c>
      <c r="AG24" s="17" t="n">
        <v>3</v>
      </c>
      <c r="AH24" s="17" t="n">
        <v>4</v>
      </c>
      <c r="AI24" s="17" t="n">
        <v>5</v>
      </c>
      <c r="AJ24" s="17" t="n">
        <v>4</v>
      </c>
      <c r="AK24" s="17" t="n">
        <v>5</v>
      </c>
      <c r="AL24" s="17" t="n">
        <v>5</v>
      </c>
      <c r="AM24" s="17" t="n">
        <v>3</v>
      </c>
      <c r="AN24" s="17" t="n">
        <v>6</v>
      </c>
      <c r="AO24" s="17" t="n">
        <v>5</v>
      </c>
      <c r="AP24" s="17" t="n">
        <v>4</v>
      </c>
      <c r="AQ24" s="17" t="n">
        <v>5</v>
      </c>
      <c r="AR24" s="17" t="n">
        <v>5</v>
      </c>
      <c r="AS24" s="17" t="n">
        <v>5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  <row r="25">
      <c r="A25" s="8" t="n">
        <v>13</v>
      </c>
      <c r="B25" t="inlineStr">
        <is>
          <t>Clara Trindade</t>
        </is>
      </c>
      <c r="C25" s="8" t="inlineStr">
        <is>
          <t>45812</t>
        </is>
      </c>
      <c r="D25" t="inlineStr">
        <is>
          <t>Belas</t>
        </is>
      </c>
      <c r="E25" s="8" t="n">
        <v>7.5</v>
      </c>
      <c r="F25" s="17" t="n">
        <v>4</v>
      </c>
      <c r="G25" s="17" t="n">
        <v>5</v>
      </c>
      <c r="H25" s="17" t="n">
        <v>5</v>
      </c>
      <c r="I25" s="17" t="n">
        <v>4</v>
      </c>
      <c r="J25" s="17" t="n">
        <v>4</v>
      </c>
      <c r="K25" s="17" t="n">
        <v>5</v>
      </c>
      <c r="L25" s="17" t="n">
        <v>4</v>
      </c>
      <c r="M25" s="17" t="n">
        <v>6</v>
      </c>
      <c r="N25" s="17" t="n">
        <v>4</v>
      </c>
      <c r="O25" s="17" t="n">
        <v>5</v>
      </c>
      <c r="P25" s="17" t="n">
        <v>6</v>
      </c>
      <c r="Q25" s="17" t="n">
        <v>4</v>
      </c>
      <c r="R25" s="17" t="n">
        <v>7</v>
      </c>
      <c r="S25" s="17" t="n">
        <v>5</v>
      </c>
      <c r="T25" s="17" t="n">
        <v>4</v>
      </c>
      <c r="U25" s="17" t="n">
        <v>7</v>
      </c>
      <c r="V25" s="17" t="n">
        <v>5</v>
      </c>
      <c r="W25" s="17" t="n">
        <v>4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3</v>
      </c>
      <c r="AC25" s="17" t="n">
        <v>6</v>
      </c>
      <c r="AD25" s="17" t="n">
        <v>6</v>
      </c>
      <c r="AE25" s="17" t="n">
        <v>4</v>
      </c>
      <c r="AF25" s="17" t="n">
        <v>4</v>
      </c>
      <c r="AG25" s="17" t="n">
        <v>4</v>
      </c>
      <c r="AH25" s="17" t="n">
        <v>4</v>
      </c>
      <c r="AI25" s="17" t="n">
        <v>6</v>
      </c>
      <c r="AJ25" s="17" t="n">
        <v>4</v>
      </c>
      <c r="AK25" s="17" t="n">
        <v>5</v>
      </c>
      <c r="AL25" s="17" t="n">
        <v>5</v>
      </c>
      <c r="AM25" s="17" t="n">
        <v>4</v>
      </c>
      <c r="AN25" s="17" t="n">
        <v>6</v>
      </c>
      <c r="AO25" s="17" t="n">
        <v>5</v>
      </c>
      <c r="AP25" s="17" t="n">
        <v>3</v>
      </c>
      <c r="AQ25" s="17" t="n">
        <v>4</v>
      </c>
      <c r="AR25" s="17" t="n">
        <v>5</v>
      </c>
      <c r="AS25" s="17" t="n">
        <v>5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8">
        <f>AA25+AW25</f>
        <v/>
      </c>
    </row>
    <row r="26">
      <c r="A26" s="8" t="n">
        <v>14</v>
      </c>
      <c r="B26" t="inlineStr">
        <is>
          <t>João Gomes</t>
        </is>
      </c>
      <c r="C26" s="8" t="inlineStr">
        <is>
          <t>53715</t>
        </is>
      </c>
      <c r="D26" t="inlineStr">
        <is>
          <t>Lisbon SC</t>
        </is>
      </c>
      <c r="E26" s="8" t="n">
        <v>10.5</v>
      </c>
      <c r="F26" s="17" t="n">
        <v>5</v>
      </c>
      <c r="G26" s="17" t="n">
        <v>5</v>
      </c>
      <c r="H26" s="17" t="n">
        <v>6</v>
      </c>
      <c r="I26" s="17" t="n">
        <v>4</v>
      </c>
      <c r="J26" s="17" t="n">
        <v>6</v>
      </c>
      <c r="K26" s="17" t="n">
        <v>4</v>
      </c>
      <c r="L26" s="17" t="n">
        <v>6</v>
      </c>
      <c r="M26" s="17" t="n">
        <v>6</v>
      </c>
      <c r="N26" s="17" t="n">
        <v>5</v>
      </c>
      <c r="O26" s="17" t="n">
        <v>4</v>
      </c>
      <c r="P26" s="17" t="n">
        <v>5</v>
      </c>
      <c r="Q26" s="17" t="n">
        <v>4</v>
      </c>
      <c r="R26" s="17" t="n">
        <v>5</v>
      </c>
      <c r="S26" s="17" t="n">
        <v>5</v>
      </c>
      <c r="T26" s="17" t="n">
        <v>3</v>
      </c>
      <c r="U26" s="17" t="n">
        <v>6</v>
      </c>
      <c r="V26" s="17" t="n">
        <v>5</v>
      </c>
      <c r="W26" s="17" t="n">
        <v>5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7" t="n">
        <v>4</v>
      </c>
      <c r="AC26" s="17" t="n">
        <v>5</v>
      </c>
      <c r="AD26" s="17" t="n">
        <v>5</v>
      </c>
      <c r="AE26" s="17" t="n">
        <v>3</v>
      </c>
      <c r="AF26" s="17" t="n">
        <v>6</v>
      </c>
      <c r="AG26" s="17" t="n">
        <v>4</v>
      </c>
      <c r="AH26" s="17" t="n">
        <v>5</v>
      </c>
      <c r="AI26" s="17" t="n">
        <v>6</v>
      </c>
      <c r="AJ26" s="17" t="n">
        <v>5</v>
      </c>
      <c r="AK26" s="17" t="n">
        <v>5</v>
      </c>
      <c r="AL26" s="17" t="n">
        <v>5</v>
      </c>
      <c r="AM26" s="17" t="n">
        <v>4</v>
      </c>
      <c r="AN26" s="17" t="n">
        <v>7</v>
      </c>
      <c r="AO26" s="17" t="n">
        <v>5</v>
      </c>
      <c r="AP26" s="17" t="n">
        <v>3</v>
      </c>
      <c r="AQ26" s="17" t="n">
        <v>5</v>
      </c>
      <c r="AR26" s="17" t="n">
        <v>5</v>
      </c>
      <c r="AS26" s="17" t="n">
        <v>6</v>
      </c>
      <c r="AT26" s="8">
        <f>SUM(AB26:AS26)</f>
        <v/>
      </c>
      <c r="AU26" s="8">
        <f>AU11</f>
        <v/>
      </c>
      <c r="AV26" s="8">
        <f>AT26-AU26</f>
        <v/>
      </c>
      <c r="AW26" s="8">
        <f>MAX(0,25-AV26)*1.0</f>
        <v/>
      </c>
      <c r="AX26" s="18">
        <f>AA26+AW26</f>
        <v/>
      </c>
    </row>
    <row r="27">
      <c r="A27" s="8" t="n">
        <v>15</v>
      </c>
      <c r="B27" t="inlineStr">
        <is>
          <t>Madalena Figueiredo</t>
        </is>
      </c>
      <c r="C27" s="8" t="inlineStr">
        <is>
          <t>52011</t>
        </is>
      </c>
      <c r="D27" t="inlineStr">
        <is>
          <t>Belas</t>
        </is>
      </c>
      <c r="E27" s="8" t="n">
        <v>8.199999999999999</v>
      </c>
      <c r="F27" s="17" t="n">
        <v>3</v>
      </c>
      <c r="G27" s="17" t="n">
        <v>5</v>
      </c>
      <c r="H27" s="17" t="n">
        <v>6</v>
      </c>
      <c r="I27" s="17" t="n">
        <v>4</v>
      </c>
      <c r="J27" s="17" t="n">
        <v>4</v>
      </c>
      <c r="K27" s="17" t="n">
        <v>5</v>
      </c>
      <c r="L27" s="17" t="n">
        <v>5</v>
      </c>
      <c r="M27" s="17" t="n">
        <v>6</v>
      </c>
      <c r="N27" s="17" t="n">
        <v>4</v>
      </c>
      <c r="O27" s="17" t="n">
        <v>4</v>
      </c>
      <c r="P27" s="17" t="n">
        <v>5</v>
      </c>
      <c r="Q27" s="17" t="n">
        <v>4</v>
      </c>
      <c r="R27" s="17" t="n">
        <v>7</v>
      </c>
      <c r="S27" s="17" t="n">
        <v>5</v>
      </c>
      <c r="T27" s="17" t="n">
        <v>4</v>
      </c>
      <c r="U27" s="17" t="n">
        <v>6</v>
      </c>
      <c r="V27" s="17" t="n">
        <v>6</v>
      </c>
      <c r="W27" s="17" t="n">
        <v>6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7" t="n">
        <v>4</v>
      </c>
      <c r="AC27" s="17" t="n">
        <v>5</v>
      </c>
      <c r="AD27" s="17" t="n">
        <v>7</v>
      </c>
      <c r="AE27" s="17" t="n">
        <v>3</v>
      </c>
      <c r="AF27" s="17" t="n">
        <v>4</v>
      </c>
      <c r="AG27" s="17" t="n">
        <v>4</v>
      </c>
      <c r="AH27" s="17" t="n">
        <v>5</v>
      </c>
      <c r="AI27" s="17" t="n">
        <v>5</v>
      </c>
      <c r="AJ27" s="17" t="n">
        <v>4</v>
      </c>
      <c r="AK27" s="17" t="n">
        <v>5</v>
      </c>
      <c r="AL27" s="17" t="n">
        <v>5</v>
      </c>
      <c r="AM27" s="17" t="n">
        <v>5</v>
      </c>
      <c r="AN27" s="17" t="n">
        <v>6</v>
      </c>
      <c r="AO27" s="17" t="n">
        <v>6</v>
      </c>
      <c r="AP27" s="17" t="n">
        <v>3</v>
      </c>
      <c r="AQ27" s="17" t="n">
        <v>6</v>
      </c>
      <c r="AR27" s="17" t="n">
        <v>5</v>
      </c>
      <c r="AS27" s="17" t="n">
        <v>6</v>
      </c>
      <c r="AT27" s="8">
        <f>SUM(AB27:AS27)</f>
        <v/>
      </c>
      <c r="AU27" s="8">
        <f>AU11</f>
        <v/>
      </c>
      <c r="AV27" s="8">
        <f>AT27-AU27</f>
        <v/>
      </c>
      <c r="AW27" s="8">
        <f>MAX(0,25-AV27)*1.0</f>
        <v/>
      </c>
      <c r="AX27" s="18">
        <f>AA27+AW27</f>
        <v/>
      </c>
    </row>
    <row r="28">
      <c r="A28" s="8" t="n">
        <v>16</v>
      </c>
      <c r="B28" t="inlineStr">
        <is>
          <t>Salvador Ivo de Carvalho</t>
        </is>
      </c>
      <c r="C28" s="8" t="inlineStr">
        <is>
          <t>43968</t>
        </is>
      </c>
      <c r="D28" t="inlineStr">
        <is>
          <t>Estoril</t>
        </is>
      </c>
      <c r="E28" s="8" t="n">
        <v>8.300000000000001</v>
      </c>
      <c r="F28" s="17" t="n">
        <v>3</v>
      </c>
      <c r="G28" s="17" t="n">
        <v>4</v>
      </c>
      <c r="H28" s="17" t="n">
        <v>6</v>
      </c>
      <c r="I28" s="17" t="n">
        <v>4</v>
      </c>
      <c r="J28" s="17" t="n">
        <v>5</v>
      </c>
      <c r="K28" s="17" t="n">
        <v>4</v>
      </c>
      <c r="L28" s="17" t="n">
        <v>6</v>
      </c>
      <c r="M28" s="17" t="n">
        <v>6</v>
      </c>
      <c r="N28" s="17" t="n">
        <v>6</v>
      </c>
      <c r="O28" s="17" t="n">
        <v>4</v>
      </c>
      <c r="P28" s="17" t="n">
        <v>5</v>
      </c>
      <c r="Q28" s="17" t="n">
        <v>4</v>
      </c>
      <c r="R28" s="17" t="n">
        <v>7</v>
      </c>
      <c r="S28" s="17" t="n">
        <v>5</v>
      </c>
      <c r="T28" s="17" t="n">
        <v>3</v>
      </c>
      <c r="U28" s="17" t="n">
        <v>7</v>
      </c>
      <c r="V28" s="17" t="n">
        <v>6</v>
      </c>
      <c r="W28" s="17" t="n">
        <v>5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7" t="n">
        <v>4</v>
      </c>
      <c r="AC28" s="17" t="n">
        <v>4</v>
      </c>
      <c r="AD28" s="17" t="n">
        <v>5</v>
      </c>
      <c r="AE28" s="17" t="n">
        <v>4</v>
      </c>
      <c r="AF28" s="17" t="n">
        <v>3</v>
      </c>
      <c r="AG28" s="17" t="n">
        <v>3</v>
      </c>
      <c r="AH28" s="17" t="n">
        <v>4</v>
      </c>
      <c r="AI28" s="17" t="n">
        <v>6</v>
      </c>
      <c r="AJ28" s="17" t="n">
        <v>5</v>
      </c>
      <c r="AK28" s="17" t="n">
        <v>4</v>
      </c>
      <c r="AL28" s="17" t="n">
        <v>6</v>
      </c>
      <c r="AM28" s="17" t="n">
        <v>4</v>
      </c>
      <c r="AN28" s="17" t="n">
        <v>5</v>
      </c>
      <c r="AO28" s="17" t="n">
        <v>4</v>
      </c>
      <c r="AP28" s="17" t="n">
        <v>4</v>
      </c>
      <c r="AQ28" s="17" t="n">
        <v>5</v>
      </c>
      <c r="AR28" s="17" t="n">
        <v>5</v>
      </c>
      <c r="AS28" s="17" t="n">
        <v>5</v>
      </c>
      <c r="AT28" s="8">
        <f>SUM(AB28:AS28)</f>
        <v/>
      </c>
      <c r="AU28" s="8">
        <f>AU11</f>
        <v/>
      </c>
      <c r="AV28" s="8">
        <f>AT28-AU28</f>
        <v/>
      </c>
      <c r="AW28" s="8">
        <f>MAX(0,25-AV28)*1.0</f>
        <v/>
      </c>
      <c r="AX28" s="18">
        <f>AA28+AW28</f>
        <v/>
      </c>
    </row>
    <row r="29">
      <c r="A29" s="8" t="n">
        <v>17</v>
      </c>
      <c r="B29" t="inlineStr">
        <is>
          <t>Tomás Valério</t>
        </is>
      </c>
      <c r="C29" s="8" t="inlineStr">
        <is>
          <t>50011</t>
        </is>
      </c>
      <c r="D29" t="inlineStr">
        <is>
          <t>Vilamoura, C. G</t>
        </is>
      </c>
      <c r="E29" s="8" t="n">
        <v>26.9</v>
      </c>
      <c r="F29" s="17" t="n">
        <v>3</v>
      </c>
      <c r="G29" s="17" t="n">
        <v>6</v>
      </c>
      <c r="H29" s="17" t="n">
        <v>6</v>
      </c>
      <c r="I29" s="17" t="n">
        <v>3</v>
      </c>
      <c r="J29" s="17" t="n">
        <v>6</v>
      </c>
      <c r="K29" s="17" t="n">
        <v>4</v>
      </c>
      <c r="L29" s="17" t="n">
        <v>6</v>
      </c>
      <c r="M29" s="17" t="n">
        <v>9</v>
      </c>
      <c r="N29" s="17" t="n">
        <v>5</v>
      </c>
      <c r="O29" s="17" t="n">
        <v>5</v>
      </c>
      <c r="P29" s="17" t="n">
        <v>6</v>
      </c>
      <c r="Q29" s="17" t="n">
        <v>5</v>
      </c>
      <c r="R29" s="17" t="n">
        <v>7</v>
      </c>
      <c r="S29" s="17" t="n">
        <v>4</v>
      </c>
      <c r="T29" s="17" t="n">
        <v>3</v>
      </c>
      <c r="U29" s="17" t="n">
        <v>6</v>
      </c>
      <c r="V29" s="17" t="n">
        <v>5</v>
      </c>
      <c r="W29" s="17" t="n">
        <v>6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7" t="n">
        <v>4</v>
      </c>
      <c r="AC29" s="17" t="n">
        <v>6</v>
      </c>
      <c r="AD29" s="17" t="n">
        <v>7</v>
      </c>
      <c r="AE29" s="17" t="n">
        <v>4</v>
      </c>
      <c r="AF29" s="17" t="n">
        <v>4</v>
      </c>
      <c r="AG29" s="17" t="n">
        <v>5</v>
      </c>
      <c r="AH29" s="17" t="n">
        <v>6</v>
      </c>
      <c r="AI29" s="17" t="n">
        <v>7</v>
      </c>
      <c r="AJ29" s="17" t="n">
        <v>5</v>
      </c>
      <c r="AK29" s="17" t="n">
        <v>5</v>
      </c>
      <c r="AL29" s="17" t="n">
        <v>6</v>
      </c>
      <c r="AM29" s="17" t="n">
        <v>3</v>
      </c>
      <c r="AN29" s="17" t="n">
        <v>6</v>
      </c>
      <c r="AO29" s="17" t="n">
        <v>5</v>
      </c>
      <c r="AP29" s="17" t="n">
        <v>3</v>
      </c>
      <c r="AQ29" s="17" t="n">
        <v>5</v>
      </c>
      <c r="AR29" s="17" t="n">
        <v>7</v>
      </c>
      <c r="AS29" s="17" t="n">
        <v>6</v>
      </c>
      <c r="AT29" s="8">
        <f>SUM(AB29:AS29)</f>
        <v/>
      </c>
      <c r="AU29" s="8">
        <f>AU11</f>
        <v/>
      </c>
      <c r="AV29" s="8">
        <f>AT29-AU29</f>
        <v/>
      </c>
      <c r="AW29" s="8">
        <f>MAX(0,25-AV29)*1.0</f>
        <v/>
      </c>
      <c r="AX29" s="18">
        <f>AA29+AW29</f>
        <v/>
      </c>
    </row>
    <row r="30">
      <c r="A30" s="8" t="n">
        <v>18</v>
      </c>
      <c r="B30" t="inlineStr">
        <is>
          <t>Manuel Vaz Pinto</t>
        </is>
      </c>
      <c r="C30" s="8" t="inlineStr">
        <is>
          <t>51430</t>
        </is>
      </c>
      <c r="D30" t="inlineStr">
        <is>
          <t>Lisbon SC</t>
        </is>
      </c>
      <c r="E30" s="8" t="n">
        <v>17.8</v>
      </c>
      <c r="F30" s="17" t="n">
        <v>7</v>
      </c>
      <c r="G30" s="17" t="n">
        <v>5</v>
      </c>
      <c r="H30" s="17" t="n">
        <v>6</v>
      </c>
      <c r="I30" s="17" t="n">
        <v>5</v>
      </c>
      <c r="J30" s="17" t="n">
        <v>5</v>
      </c>
      <c r="K30" s="17" t="n">
        <v>5</v>
      </c>
      <c r="L30" s="17" t="n">
        <v>5</v>
      </c>
      <c r="M30" s="17" t="n">
        <v>5</v>
      </c>
      <c r="N30" s="17" t="n">
        <v>5</v>
      </c>
      <c r="O30" s="17" t="n">
        <v>5</v>
      </c>
      <c r="P30" s="17" t="n">
        <v>6</v>
      </c>
      <c r="Q30" s="17" t="n">
        <v>4</v>
      </c>
      <c r="R30" s="17" t="n">
        <v>8</v>
      </c>
      <c r="S30" s="17" t="n">
        <v>6</v>
      </c>
      <c r="T30" s="17" t="n">
        <v>4</v>
      </c>
      <c r="U30" s="17" t="n">
        <v>5</v>
      </c>
      <c r="V30" s="17" t="n">
        <v>6</v>
      </c>
      <c r="W30" s="17" t="n">
        <v>5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7" t="n">
        <v>10</v>
      </c>
      <c r="AC30" s="17" t="n">
        <v>8</v>
      </c>
      <c r="AD30" s="17" t="n">
        <v>8</v>
      </c>
      <c r="AE30" s="17" t="n">
        <v>6</v>
      </c>
      <c r="AF30" s="17" t="n">
        <v>5</v>
      </c>
      <c r="AG30" s="17" t="n">
        <v>5</v>
      </c>
      <c r="AH30" s="17" t="n">
        <v>5</v>
      </c>
      <c r="AI30" s="17" t="n">
        <v>5</v>
      </c>
      <c r="AJ30" s="17" t="n">
        <v>5</v>
      </c>
      <c r="AK30" s="17" t="n">
        <v>6</v>
      </c>
      <c r="AL30" s="17" t="n">
        <v>7</v>
      </c>
      <c r="AM30" s="17" t="n">
        <v>4</v>
      </c>
      <c r="AN30" s="17" t="n">
        <v>7</v>
      </c>
      <c r="AO30" s="17" t="n">
        <v>6</v>
      </c>
      <c r="AP30" s="17" t="n">
        <v>6</v>
      </c>
      <c r="AQ30" s="17" t="n">
        <v>6</v>
      </c>
      <c r="AR30" s="17" t="n">
        <v>6</v>
      </c>
      <c r="AS30" s="17" t="n">
        <v>6</v>
      </c>
      <c r="AT30" s="8">
        <f>SUM(AB30:AS30)</f>
        <v/>
      </c>
      <c r="AU30" s="8">
        <f>AU11</f>
        <v/>
      </c>
      <c r="AV30" s="8">
        <f>AT30-AU30</f>
        <v/>
      </c>
      <c r="AW30" s="8">
        <f>MAX(0,25-AV30)*1.0</f>
        <v/>
      </c>
      <c r="AX30" s="18">
        <f>AA30+AW30</f>
        <v/>
      </c>
    </row>
    <row r="31">
      <c r="A31" s="8" t="n">
        <v>19</v>
      </c>
      <c r="B31" t="inlineStr">
        <is>
          <t>Salvador Paulo Rodrigues</t>
        </is>
      </c>
      <c r="C31" s="8" t="inlineStr">
        <is>
          <t>58051</t>
        </is>
      </c>
      <c r="D31" t="inlineStr">
        <is>
          <t>Quinta do Peru</t>
        </is>
      </c>
      <c r="E31" s="8" t="n">
        <v>24.7</v>
      </c>
      <c r="F31" s="17" t="n">
        <v>6</v>
      </c>
      <c r="G31" s="17" t="n">
        <v>5</v>
      </c>
      <c r="H31" s="17" t="n">
        <v>5</v>
      </c>
      <c r="I31" s="17" t="n">
        <v>4</v>
      </c>
      <c r="J31" s="17" t="n">
        <v>6</v>
      </c>
      <c r="K31" s="17" t="n">
        <v>5</v>
      </c>
      <c r="L31" s="17" t="n">
        <v>6</v>
      </c>
      <c r="M31" s="17" t="n">
        <v>5</v>
      </c>
      <c r="N31" s="17" t="n">
        <v>5</v>
      </c>
      <c r="O31" s="17" t="n">
        <v>6</v>
      </c>
      <c r="P31" s="17" t="n">
        <v>7</v>
      </c>
      <c r="Q31" s="17" t="n">
        <v>4</v>
      </c>
      <c r="R31" s="17" t="n">
        <v>7</v>
      </c>
      <c r="S31" s="17" t="n">
        <v>5</v>
      </c>
      <c r="T31" s="17" t="n">
        <v>5</v>
      </c>
      <c r="U31" s="17" t="n">
        <v>5</v>
      </c>
      <c r="V31" s="17" t="n">
        <v>6</v>
      </c>
      <c r="W31" s="17" t="n">
        <v>6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7" t="n">
        <v>5</v>
      </c>
      <c r="AC31" s="17" t="n">
        <v>5</v>
      </c>
      <c r="AD31" s="17" t="n">
        <v>7</v>
      </c>
      <c r="AE31" s="17" t="n">
        <v>2</v>
      </c>
      <c r="AF31" s="17" t="n">
        <v>5</v>
      </c>
      <c r="AG31" s="17" t="n">
        <v>5</v>
      </c>
      <c r="AH31" s="17" t="n">
        <v>7</v>
      </c>
      <c r="AI31" s="17" t="n">
        <v>6</v>
      </c>
      <c r="AJ31" s="17" t="n">
        <v>6</v>
      </c>
      <c r="AK31" s="17" t="n">
        <v>5</v>
      </c>
      <c r="AL31" s="17" t="n">
        <v>8</v>
      </c>
      <c r="AM31" s="17" t="n">
        <v>5</v>
      </c>
      <c r="AN31" s="17" t="n">
        <v>7</v>
      </c>
      <c r="AO31" s="17" t="n">
        <v>8</v>
      </c>
      <c r="AP31" s="17" t="n">
        <v>4</v>
      </c>
      <c r="AQ31" s="17" t="n">
        <v>6</v>
      </c>
      <c r="AR31" s="17" t="n">
        <v>5</v>
      </c>
      <c r="AS31" s="17" t="n">
        <v>6</v>
      </c>
      <c r="AT31" s="8">
        <f>SUM(AB31:AS31)</f>
        <v/>
      </c>
      <c r="AU31" s="8">
        <f>AU11</f>
        <v/>
      </c>
      <c r="AV31" s="8">
        <f>AT31-AU31</f>
        <v/>
      </c>
      <c r="AW31" s="8">
        <f>MAX(0,25-AV31)*1.0</f>
        <v/>
      </c>
      <c r="AX31" s="18">
        <f>AA31+AW31</f>
        <v/>
      </c>
    </row>
    <row r="32">
      <c r="A32" s="8" t="n">
        <v>20</v>
      </c>
      <c r="B32" t="inlineStr">
        <is>
          <t>João Pereira</t>
        </is>
      </c>
      <c r="C32" s="8" t="inlineStr">
        <is>
          <t>56749</t>
        </is>
      </c>
      <c r="D32" t="inlineStr">
        <is>
          <t>Quinta do Peru</t>
        </is>
      </c>
      <c r="E32" s="8" t="n">
        <v>20.8</v>
      </c>
      <c r="F32" s="17" t="n">
        <v>5</v>
      </c>
      <c r="G32" s="17" t="n">
        <v>7</v>
      </c>
      <c r="H32" s="17" t="n">
        <v>6</v>
      </c>
      <c r="I32" s="17" t="n">
        <v>5</v>
      </c>
      <c r="J32" s="17" t="n">
        <v>5</v>
      </c>
      <c r="K32" s="17" t="n">
        <v>7</v>
      </c>
      <c r="L32" s="17" t="n">
        <v>6</v>
      </c>
      <c r="M32" s="17" t="n">
        <v>6</v>
      </c>
      <c r="N32" s="17" t="n">
        <v>4</v>
      </c>
      <c r="O32" s="17" t="n">
        <v>5</v>
      </c>
      <c r="P32" s="17" t="n">
        <v>6</v>
      </c>
      <c r="Q32" s="17" t="n">
        <v>5</v>
      </c>
      <c r="R32" s="17" t="n">
        <v>7</v>
      </c>
      <c r="S32" s="17" t="n">
        <v>4</v>
      </c>
      <c r="T32" s="17" t="n">
        <v>4</v>
      </c>
      <c r="U32" s="17" t="n">
        <v>6</v>
      </c>
      <c r="V32" s="17" t="n">
        <v>8</v>
      </c>
      <c r="W32" s="17" t="n">
        <v>7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7" t="n">
        <v>4</v>
      </c>
      <c r="AC32" s="17" t="n">
        <v>5</v>
      </c>
      <c r="AD32" s="17" t="n">
        <v>6</v>
      </c>
      <c r="AE32" s="17" t="n">
        <v>5</v>
      </c>
      <c r="AF32" s="17" t="n">
        <v>6</v>
      </c>
      <c r="AG32" s="17" t="n">
        <v>5</v>
      </c>
      <c r="AH32" s="17" t="n">
        <v>6</v>
      </c>
      <c r="AI32" s="17" t="n">
        <v>6</v>
      </c>
      <c r="AJ32" s="17" t="n">
        <v>4</v>
      </c>
      <c r="AK32" s="17" t="n">
        <v>4</v>
      </c>
      <c r="AL32" s="17" t="n">
        <v>6</v>
      </c>
      <c r="AM32" s="17" t="n">
        <v>4</v>
      </c>
      <c r="AN32" s="17" t="n">
        <v>6</v>
      </c>
      <c r="AO32" s="17" t="n">
        <v>4</v>
      </c>
      <c r="AP32" s="17" t="n">
        <v>4</v>
      </c>
      <c r="AQ32" s="17" t="n">
        <v>6</v>
      </c>
      <c r="AR32" s="17" t="n">
        <v>6</v>
      </c>
      <c r="AS32" s="17" t="n">
        <v>8</v>
      </c>
      <c r="AT32" s="8">
        <f>SUM(AB32:AS32)</f>
        <v/>
      </c>
      <c r="AU32" s="8">
        <f>AU11</f>
        <v/>
      </c>
      <c r="AV32" s="8">
        <f>AT32-AU32</f>
        <v/>
      </c>
      <c r="AW32" s="8">
        <f>MAX(0,25-AV32)*1.0</f>
        <v/>
      </c>
      <c r="AX32" s="18">
        <f>AA32+AW32</f>
        <v/>
      </c>
    </row>
    <row r="33">
      <c r="A33" s="8" t="n">
        <v>21</v>
      </c>
      <c r="B33" t="inlineStr">
        <is>
          <t>Francisca Vilela</t>
        </is>
      </c>
      <c r="C33" s="8" t="inlineStr">
        <is>
          <t>36700</t>
        </is>
      </c>
      <c r="D33" t="inlineStr">
        <is>
          <t>Lisbon SC</t>
        </is>
      </c>
      <c r="E33" s="8" t="n">
        <v>16.3</v>
      </c>
      <c r="F33" s="17" t="n">
        <v>4</v>
      </c>
      <c r="G33" s="17" t="n">
        <v>6</v>
      </c>
      <c r="H33" s="17" t="n">
        <v>7</v>
      </c>
      <c r="I33" s="17" t="n">
        <v>4</v>
      </c>
      <c r="J33" s="17" t="n">
        <v>7</v>
      </c>
      <c r="K33" s="17" t="n">
        <v>4</v>
      </c>
      <c r="L33" s="17" t="n">
        <v>5</v>
      </c>
      <c r="M33" s="17" t="n">
        <v>8</v>
      </c>
      <c r="N33" s="17" t="n">
        <v>6</v>
      </c>
      <c r="O33" s="17" t="n">
        <v>5</v>
      </c>
      <c r="P33" s="17" t="n">
        <v>7</v>
      </c>
      <c r="Q33" s="17" t="n">
        <v>4</v>
      </c>
      <c r="R33" s="17" t="n">
        <v>9</v>
      </c>
      <c r="S33" s="17" t="n">
        <v>7</v>
      </c>
      <c r="T33" s="17" t="n">
        <v>4</v>
      </c>
      <c r="U33" s="17" t="n">
        <v>6</v>
      </c>
      <c r="V33" s="17" t="n">
        <v>6</v>
      </c>
      <c r="W33" s="17" t="n">
        <v>5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7" t="n">
        <v>5</v>
      </c>
      <c r="AC33" s="17" t="n">
        <v>6</v>
      </c>
      <c r="AD33" s="17" t="n">
        <v>6</v>
      </c>
      <c r="AE33" s="17" t="n">
        <v>4</v>
      </c>
      <c r="AF33" s="17" t="n">
        <v>5</v>
      </c>
      <c r="AG33" s="17" t="n">
        <v>5</v>
      </c>
      <c r="AH33" s="17" t="n">
        <v>5</v>
      </c>
      <c r="AI33" s="17" t="n">
        <v>6</v>
      </c>
      <c r="AJ33" s="17" t="n">
        <v>10</v>
      </c>
      <c r="AK33" s="17" t="n">
        <v>5</v>
      </c>
      <c r="AL33" s="17" t="n">
        <v>5</v>
      </c>
      <c r="AM33" s="17" t="n">
        <v>4</v>
      </c>
      <c r="AN33" s="17" t="n">
        <v>5</v>
      </c>
      <c r="AO33" s="17" t="n">
        <v>5</v>
      </c>
      <c r="AP33" s="17" t="n">
        <v>5</v>
      </c>
      <c r="AQ33" s="17" t="n">
        <v>6</v>
      </c>
      <c r="AR33" s="17" t="n">
        <v>7</v>
      </c>
      <c r="AS33" s="17" t="n">
        <v>6</v>
      </c>
      <c r="AT33" s="8">
        <f>SUM(AB33:AS33)</f>
        <v/>
      </c>
      <c r="AU33" s="8">
        <f>AU11</f>
        <v/>
      </c>
      <c r="AV33" s="8">
        <f>AT33-AU33</f>
        <v/>
      </c>
      <c r="AW33" s="8">
        <f>MAX(0,25-AV33)*1.0</f>
        <v/>
      </c>
      <c r="AX33" s="18">
        <f>AA33+AW33</f>
        <v/>
      </c>
    </row>
    <row r="34">
      <c r="A34" s="8" t="n">
        <v>22</v>
      </c>
      <c r="B34" t="inlineStr">
        <is>
          <t>Catarina Valério</t>
        </is>
      </c>
      <c r="C34" s="8" t="inlineStr">
        <is>
          <t>46873</t>
        </is>
      </c>
      <c r="D34" t="inlineStr">
        <is>
          <t>Vilamoura, C. G</t>
        </is>
      </c>
      <c r="E34" s="8" t="n">
        <v>18.1</v>
      </c>
      <c r="F34" s="17" t="n">
        <v>7</v>
      </c>
      <c r="G34" s="17" t="n">
        <v>7</v>
      </c>
      <c r="H34" s="17" t="n">
        <v>8</v>
      </c>
      <c r="I34" s="17" t="n">
        <v>6</v>
      </c>
      <c r="J34" s="17" t="n">
        <v>6</v>
      </c>
      <c r="K34" s="17" t="n">
        <v>4</v>
      </c>
      <c r="L34" s="17" t="n">
        <v>5</v>
      </c>
      <c r="M34" s="17" t="n">
        <v>5</v>
      </c>
      <c r="N34" s="17" t="n">
        <v>6</v>
      </c>
      <c r="O34" s="17" t="n">
        <v>5</v>
      </c>
      <c r="P34" s="17" t="n">
        <v>6</v>
      </c>
      <c r="Q34" s="17" t="n">
        <v>4</v>
      </c>
      <c r="R34" s="17" t="n">
        <v>6</v>
      </c>
      <c r="S34" s="17" t="n">
        <v>6</v>
      </c>
      <c r="T34" s="17" t="n">
        <v>4</v>
      </c>
      <c r="U34" s="17" t="n">
        <v>7</v>
      </c>
      <c r="V34" s="17" t="n">
        <v>6</v>
      </c>
      <c r="W34" s="17" t="n">
        <v>7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7" t="n">
        <v>5</v>
      </c>
      <c r="AC34" s="17" t="n">
        <v>7</v>
      </c>
      <c r="AD34" s="17" t="n">
        <v>6</v>
      </c>
      <c r="AE34" s="17" t="n">
        <v>4</v>
      </c>
      <c r="AF34" s="17" t="n">
        <v>5</v>
      </c>
      <c r="AG34" s="17" t="n">
        <v>4</v>
      </c>
      <c r="AH34" s="17" t="n">
        <v>5</v>
      </c>
      <c r="AI34" s="17" t="n">
        <v>7</v>
      </c>
      <c r="AJ34" s="17" t="n">
        <v>4</v>
      </c>
      <c r="AK34" s="17" t="n">
        <v>7</v>
      </c>
      <c r="AL34" s="17" t="n">
        <v>5</v>
      </c>
      <c r="AM34" s="17" t="n">
        <v>5</v>
      </c>
      <c r="AN34" s="17" t="n">
        <v>6</v>
      </c>
      <c r="AO34" s="17" t="n">
        <v>7</v>
      </c>
      <c r="AP34" s="17" t="n">
        <v>3</v>
      </c>
      <c r="AQ34" s="17" t="n">
        <v>5</v>
      </c>
      <c r="AR34" s="17" t="n">
        <v>5</v>
      </c>
      <c r="AS34" s="17" t="n">
        <v>8</v>
      </c>
      <c r="AT34" s="8">
        <f>SUM(AB34:AS34)</f>
        <v/>
      </c>
      <c r="AU34" s="8">
        <f>AU11</f>
        <v/>
      </c>
      <c r="AV34" s="8">
        <f>AT34-AU34</f>
        <v/>
      </c>
      <c r="AW34" s="8">
        <f>MAX(0,25-AV34)*1.0</f>
        <v/>
      </c>
      <c r="AX34" s="18">
        <f>AA34+AW34</f>
        <v/>
      </c>
    </row>
  </sheetData>
  <mergeCells count="1">
    <mergeCell ref="A1:H1"/>
  </mergeCells>
  <conditionalFormatting sqref="F13:F34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34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34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34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34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34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34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34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34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34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34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34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34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34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34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34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34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34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34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34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34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34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34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34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34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34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34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34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34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34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34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34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34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34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34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34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3º Drive Tour Sul — Quinta do Vale</t>
        </is>
      </c>
    </row>
    <row r="2">
      <c r="A2" s="10" t="inlineStr">
        <is>
          <t>Data:</t>
        </is>
      </c>
      <c r="B2" t="inlineStr">
        <is>
          <t>2026-04-03</t>
        </is>
      </c>
    </row>
    <row r="3">
      <c r="A3" s="10" t="inlineStr">
        <is>
          <t>Campo:</t>
        </is>
      </c>
      <c r="B3" t="inlineStr">
        <is>
          <t>Quinta do Vale</t>
        </is>
      </c>
    </row>
    <row r="4">
      <c r="A4" s="10" t="inlineStr">
        <is>
          <t>ccode/tcode:</t>
        </is>
      </c>
      <c r="B4" t="inlineStr">
        <is>
          <t>988/10308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https://scoring.datagolf.pt/pt/Classifications.aspx?ccode=988&amp;tcode=10308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5</v>
      </c>
      <c r="G11" s="14" t="n">
        <v>3</v>
      </c>
      <c r="H11" s="14" t="n">
        <v>4</v>
      </c>
      <c r="I11" s="14" t="n">
        <v>5</v>
      </c>
      <c r="J11" s="14" t="n">
        <v>3</v>
      </c>
      <c r="K11" s="14" t="n">
        <v>4</v>
      </c>
      <c r="L11" s="14" t="n">
        <v>5</v>
      </c>
      <c r="M11" s="14" t="n">
        <v>4</v>
      </c>
      <c r="N11" s="14" t="n">
        <v>3</v>
      </c>
      <c r="O11" s="14" t="n">
        <v>5</v>
      </c>
      <c r="P11" s="14" t="n">
        <v>4</v>
      </c>
      <c r="Q11" s="14" t="n">
        <v>3</v>
      </c>
      <c r="R11" s="14" t="n">
        <v>5</v>
      </c>
      <c r="S11" s="14" t="n">
        <v>3</v>
      </c>
      <c r="T11" s="14" t="n">
        <v>4</v>
      </c>
      <c r="U11" s="14" t="n">
        <v>3</v>
      </c>
      <c r="V11" s="14" t="n">
        <v>5</v>
      </c>
      <c r="W11" s="14" t="n">
        <v>4</v>
      </c>
      <c r="Y11" s="15">
        <f>SUM(F11:W11)</f>
        <v/>
      </c>
    </row>
    <row r="12">
      <c r="A12" s="13" t="inlineStr">
        <is>
          <t>—SI—</t>
        </is>
      </c>
      <c r="F12" s="16" t="n">
        <v>1</v>
      </c>
      <c r="G12" s="16" t="n">
        <v>17</v>
      </c>
      <c r="H12" s="16" t="n">
        <v>5</v>
      </c>
      <c r="I12" s="16" t="n">
        <v>9</v>
      </c>
      <c r="J12" s="16" t="n">
        <v>15</v>
      </c>
      <c r="K12" s="16" t="n">
        <v>11</v>
      </c>
      <c r="L12" s="16" t="n">
        <v>3</v>
      </c>
      <c r="M12" s="16" t="n">
        <v>7</v>
      </c>
      <c r="N12" s="16" t="n">
        <v>13</v>
      </c>
      <c r="O12" s="16" t="n">
        <v>2</v>
      </c>
      <c r="P12" s="16" t="n">
        <v>10</v>
      </c>
      <c r="Q12" s="16" t="n">
        <v>14</v>
      </c>
      <c r="R12" s="16" t="n">
        <v>6</v>
      </c>
      <c r="S12" s="16" t="n">
        <v>16</v>
      </c>
      <c r="T12" s="16" t="n">
        <v>4</v>
      </c>
      <c r="U12" s="16" t="n">
        <v>18</v>
      </c>
      <c r="V12" s="16" t="n">
        <v>12</v>
      </c>
      <c r="W12" s="16" t="n">
        <v>8</v>
      </c>
    </row>
    <row r="13">
      <c r="A13" s="8" t="n">
        <v>1</v>
      </c>
      <c r="B13" t="inlineStr">
        <is>
          <t>Ethan Prybys Orton</t>
        </is>
      </c>
      <c r="C13" s="8" t="inlineStr">
        <is>
          <t>42374</t>
        </is>
      </c>
      <c r="D13" t="inlineStr">
        <is>
          <t>Vila Sol</t>
        </is>
      </c>
      <c r="E13" s="8" t="n">
        <v>2.2</v>
      </c>
      <c r="F13" s="17" t="n">
        <v>4</v>
      </c>
      <c r="G13" s="17" t="n">
        <v>2</v>
      </c>
      <c r="H13" s="17" t="n">
        <v>5</v>
      </c>
      <c r="I13" s="17" t="n">
        <v>5</v>
      </c>
      <c r="J13" s="17" t="n">
        <v>3</v>
      </c>
      <c r="K13" s="17" t="n">
        <v>4</v>
      </c>
      <c r="L13" s="17" t="n">
        <v>5</v>
      </c>
      <c r="M13" s="17" t="n">
        <v>5</v>
      </c>
      <c r="N13" s="17" t="n">
        <v>3</v>
      </c>
      <c r="O13" s="17" t="n">
        <v>6</v>
      </c>
      <c r="P13" s="17" t="n">
        <v>5</v>
      </c>
      <c r="Q13" s="17" t="n">
        <v>3</v>
      </c>
      <c r="R13" s="17" t="n">
        <v>3</v>
      </c>
      <c r="S13" s="17" t="n">
        <v>3</v>
      </c>
      <c r="T13" s="17" t="n">
        <v>5</v>
      </c>
      <c r="U13" s="17" t="n">
        <v>3</v>
      </c>
      <c r="V13" s="17" t="n">
        <v>5</v>
      </c>
      <c r="W13" s="17" t="n">
        <v>7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Rodrigo Sousa Correia</t>
        </is>
      </c>
      <c r="C14" s="8" t="inlineStr">
        <is>
          <t>44934</t>
        </is>
      </c>
      <c r="D14" t="inlineStr">
        <is>
          <t>Vilamoura, C. G</t>
        </is>
      </c>
      <c r="E14" s="8" t="n">
        <v>4</v>
      </c>
      <c r="F14" s="17" t="n">
        <v>5</v>
      </c>
      <c r="G14" s="17" t="n">
        <v>3</v>
      </c>
      <c r="H14" s="17" t="n">
        <v>7</v>
      </c>
      <c r="I14" s="17" t="n">
        <v>5</v>
      </c>
      <c r="J14" s="17" t="n">
        <v>3</v>
      </c>
      <c r="K14" s="17" t="n">
        <v>4</v>
      </c>
      <c r="L14" s="17" t="n">
        <v>6</v>
      </c>
      <c r="M14" s="17" t="n">
        <v>4</v>
      </c>
      <c r="N14" s="17" t="n">
        <v>3</v>
      </c>
      <c r="O14" s="17" t="n">
        <v>5</v>
      </c>
      <c r="P14" s="17" t="n">
        <v>4</v>
      </c>
      <c r="Q14" s="17" t="n">
        <v>3</v>
      </c>
      <c r="R14" s="17" t="n">
        <v>5</v>
      </c>
      <c r="S14" s="17" t="n">
        <v>3</v>
      </c>
      <c r="T14" s="17" t="n">
        <v>4</v>
      </c>
      <c r="U14" s="17" t="n">
        <v>2</v>
      </c>
      <c r="V14" s="17" t="n">
        <v>6</v>
      </c>
      <c r="W14" s="17" t="n">
        <v>6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Matteo Balzer</t>
        </is>
      </c>
      <c r="C15" s="8" t="inlineStr">
        <is>
          <t>44406</t>
        </is>
      </c>
      <c r="D15" t="inlineStr">
        <is>
          <t>Amendoeira</t>
        </is>
      </c>
      <c r="E15" s="8" t="n">
        <v>3.3</v>
      </c>
      <c r="F15" s="17" t="n">
        <v>5</v>
      </c>
      <c r="G15" s="17" t="n">
        <v>3</v>
      </c>
      <c r="H15" s="17" t="n">
        <v>4</v>
      </c>
      <c r="I15" s="17" t="n">
        <v>5</v>
      </c>
      <c r="J15" s="17" t="n">
        <v>3</v>
      </c>
      <c r="K15" s="17" t="n">
        <v>5</v>
      </c>
      <c r="L15" s="17" t="n">
        <v>5</v>
      </c>
      <c r="M15" s="17" t="n">
        <v>4</v>
      </c>
      <c r="N15" s="17" t="n">
        <v>5</v>
      </c>
      <c r="O15" s="17" t="n">
        <v>5</v>
      </c>
      <c r="P15" s="17" t="n">
        <v>5</v>
      </c>
      <c r="Q15" s="17" t="n">
        <v>3</v>
      </c>
      <c r="R15" s="17" t="n">
        <v>7</v>
      </c>
      <c r="S15" s="17" t="n">
        <v>3</v>
      </c>
      <c r="T15" s="17" t="n">
        <v>5</v>
      </c>
      <c r="U15" s="17" t="n">
        <v>3</v>
      </c>
      <c r="V15" s="17" t="n">
        <v>5</v>
      </c>
      <c r="W15" s="17" t="n">
        <v>4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Seb Toft</t>
        </is>
      </c>
      <c r="C16" s="8" t="inlineStr">
        <is>
          <t>57291</t>
        </is>
      </c>
      <c r="D16" t="inlineStr">
        <is>
          <t>Vilamoura, C. G</t>
        </is>
      </c>
      <c r="E16" s="8" t="n">
        <v>5.3</v>
      </c>
      <c r="F16" s="17" t="n">
        <v>5</v>
      </c>
      <c r="G16" s="17" t="n">
        <v>3</v>
      </c>
      <c r="H16" s="17" t="n">
        <v>4</v>
      </c>
      <c r="I16" s="17" t="n">
        <v>5</v>
      </c>
      <c r="J16" s="17" t="n">
        <v>3</v>
      </c>
      <c r="K16" s="17" t="n">
        <v>5</v>
      </c>
      <c r="L16" s="17" t="n">
        <v>5</v>
      </c>
      <c r="M16" s="17" t="n">
        <v>6</v>
      </c>
      <c r="N16" s="17" t="n">
        <v>3</v>
      </c>
      <c r="O16" s="17" t="n">
        <v>5</v>
      </c>
      <c r="P16" s="17" t="n">
        <v>5</v>
      </c>
      <c r="Q16" s="17" t="n">
        <v>3</v>
      </c>
      <c r="R16" s="17" t="n">
        <v>5</v>
      </c>
      <c r="S16" s="17" t="n">
        <v>3</v>
      </c>
      <c r="T16" s="17" t="n">
        <v>5</v>
      </c>
      <c r="U16" s="17" t="n">
        <v>3</v>
      </c>
      <c r="V16" s="17" t="n">
        <v>7</v>
      </c>
      <c r="W16" s="17" t="n">
        <v>4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Igor Kostyn</t>
        </is>
      </c>
      <c r="C17" s="8" t="inlineStr">
        <is>
          <t>56072</t>
        </is>
      </c>
      <c r="D17" t="inlineStr">
        <is>
          <t>Vilamoura, C. G</t>
        </is>
      </c>
      <c r="E17" s="8" t="n">
        <v>9.4</v>
      </c>
      <c r="F17" s="17" t="n">
        <v>4</v>
      </c>
      <c r="G17" s="17" t="n">
        <v>3</v>
      </c>
      <c r="H17" s="17" t="n">
        <v>5</v>
      </c>
      <c r="I17" s="17" t="n">
        <v>5</v>
      </c>
      <c r="J17" s="17" t="n">
        <v>3</v>
      </c>
      <c r="K17" s="17" t="n">
        <v>5</v>
      </c>
      <c r="L17" s="17" t="n">
        <v>5</v>
      </c>
      <c r="M17" s="17" t="n">
        <v>5</v>
      </c>
      <c r="N17" s="17" t="n">
        <v>5</v>
      </c>
      <c r="O17" s="17" t="n">
        <v>5</v>
      </c>
      <c r="P17" s="17" t="n">
        <v>4</v>
      </c>
      <c r="Q17" s="17" t="n">
        <v>3</v>
      </c>
      <c r="R17" s="17" t="n">
        <v>6</v>
      </c>
      <c r="S17" s="17" t="n">
        <v>3</v>
      </c>
      <c r="T17" s="17" t="n">
        <v>8</v>
      </c>
      <c r="U17" s="17" t="n">
        <v>3</v>
      </c>
      <c r="V17" s="17" t="n">
        <v>5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Ethan Sutherland</t>
        </is>
      </c>
      <c r="C18" s="8" t="inlineStr">
        <is>
          <t>48933</t>
        </is>
      </c>
      <c r="D18" t="inlineStr">
        <is>
          <t>Vila Sol</t>
        </is>
      </c>
      <c r="E18" s="8" t="n">
        <v>4.1</v>
      </c>
      <c r="F18" s="17" t="n">
        <v>5</v>
      </c>
      <c r="G18" s="17" t="n">
        <v>4</v>
      </c>
      <c r="H18" s="17" t="n">
        <v>4</v>
      </c>
      <c r="I18" s="17" t="n">
        <v>5</v>
      </c>
      <c r="J18" s="17" t="n">
        <v>3</v>
      </c>
      <c r="K18" s="17" t="n">
        <v>5</v>
      </c>
      <c r="L18" s="17" t="n">
        <v>6</v>
      </c>
      <c r="M18" s="17" t="n">
        <v>5</v>
      </c>
      <c r="N18" s="17" t="n">
        <v>3</v>
      </c>
      <c r="O18" s="17" t="n">
        <v>4</v>
      </c>
      <c r="P18" s="17" t="n">
        <v>6</v>
      </c>
      <c r="Q18" s="17" t="n">
        <v>2</v>
      </c>
      <c r="R18" s="17" t="n">
        <v>7</v>
      </c>
      <c r="S18" s="17" t="n">
        <v>4</v>
      </c>
      <c r="T18" s="17" t="n">
        <v>5</v>
      </c>
      <c r="U18" s="17" t="n">
        <v>4</v>
      </c>
      <c r="V18" s="17" t="n">
        <v>5</v>
      </c>
      <c r="W18" s="17" t="n">
        <v>5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José Silva</t>
        </is>
      </c>
      <c r="C19" s="8" t="inlineStr">
        <is>
          <t>54845</t>
        </is>
      </c>
      <c r="D19" t="inlineStr">
        <is>
          <t>Amendoeira</t>
        </is>
      </c>
      <c r="E19" s="8" t="n">
        <v>10.9</v>
      </c>
      <c r="F19" s="17" t="n">
        <v>5</v>
      </c>
      <c r="G19" s="17" t="n">
        <v>4</v>
      </c>
      <c r="H19" s="17" t="n">
        <v>5</v>
      </c>
      <c r="I19" s="17" t="n">
        <v>4</v>
      </c>
      <c r="J19" s="17" t="n">
        <v>3</v>
      </c>
      <c r="K19" s="17" t="n">
        <v>5</v>
      </c>
      <c r="L19" s="17" t="n">
        <v>5</v>
      </c>
      <c r="M19" s="17" t="n">
        <v>4</v>
      </c>
      <c r="N19" s="17" t="n">
        <v>3</v>
      </c>
      <c r="O19" s="17" t="n">
        <v>5</v>
      </c>
      <c r="P19" s="17" t="n">
        <v>4</v>
      </c>
      <c r="Q19" s="17" t="n">
        <v>5</v>
      </c>
      <c r="R19" s="17" t="n">
        <v>6</v>
      </c>
      <c r="S19" s="17" t="n">
        <v>3</v>
      </c>
      <c r="T19" s="17" t="n">
        <v>6</v>
      </c>
      <c r="U19" s="17" t="n">
        <v>4</v>
      </c>
      <c r="V19" s="17" t="n">
        <v>5</v>
      </c>
      <c r="W19" s="17" t="n">
        <v>6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Sabrina Ribeiro Crisóstomo</t>
        </is>
      </c>
      <c r="C20" s="8" t="inlineStr">
        <is>
          <t>48971</t>
        </is>
      </c>
      <c r="D20" t="inlineStr">
        <is>
          <t>Vilamoura, C. G</t>
        </is>
      </c>
      <c r="E20" s="8" t="n">
        <v>9.199999999999999</v>
      </c>
      <c r="F20" s="17" t="n">
        <v>7</v>
      </c>
      <c r="G20" s="17" t="n">
        <v>3</v>
      </c>
      <c r="H20" s="17" t="n">
        <v>4</v>
      </c>
      <c r="I20" s="17" t="n">
        <v>6</v>
      </c>
      <c r="J20" s="17" t="n">
        <v>4</v>
      </c>
      <c r="K20" s="17" t="n">
        <v>5</v>
      </c>
      <c r="L20" s="17" t="n">
        <v>6</v>
      </c>
      <c r="M20" s="17" t="n">
        <v>4</v>
      </c>
      <c r="N20" s="17" t="n">
        <v>5</v>
      </c>
      <c r="O20" s="17" t="n">
        <v>6</v>
      </c>
      <c r="P20" s="17" t="n">
        <v>5</v>
      </c>
      <c r="Q20" s="17" t="n">
        <v>3</v>
      </c>
      <c r="R20" s="17" t="n">
        <v>6</v>
      </c>
      <c r="S20" s="17" t="n">
        <v>3</v>
      </c>
      <c r="T20" s="17" t="n">
        <v>5</v>
      </c>
      <c r="U20" s="17" t="n">
        <v>3</v>
      </c>
      <c r="V20" s="17" t="n">
        <v>5</v>
      </c>
      <c r="W20" s="17" t="n">
        <v>3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Miguel Silva</t>
        </is>
      </c>
      <c r="C21" s="8" t="inlineStr">
        <is>
          <t>48791</t>
        </is>
      </c>
      <c r="D21" t="inlineStr">
        <is>
          <t>Amendoeira</t>
        </is>
      </c>
      <c r="E21" s="8" t="n">
        <v>9.4</v>
      </c>
      <c r="F21" s="17" t="n">
        <v>6</v>
      </c>
      <c r="G21" s="17" t="n">
        <v>5</v>
      </c>
      <c r="H21" s="17" t="n">
        <v>5</v>
      </c>
      <c r="I21" s="17" t="n">
        <v>5</v>
      </c>
      <c r="J21" s="17" t="n">
        <v>3</v>
      </c>
      <c r="K21" s="17" t="n">
        <v>6</v>
      </c>
      <c r="L21" s="17" t="n">
        <v>5</v>
      </c>
      <c r="M21" s="17" t="n">
        <v>5</v>
      </c>
      <c r="N21" s="17" t="n">
        <v>3</v>
      </c>
      <c r="O21" s="17" t="n">
        <v>5</v>
      </c>
      <c r="P21" s="17" t="n">
        <v>5</v>
      </c>
      <c r="Q21" s="17" t="n">
        <v>3</v>
      </c>
      <c r="R21" s="17" t="n">
        <v>5</v>
      </c>
      <c r="S21" s="17" t="n">
        <v>3</v>
      </c>
      <c r="T21" s="17" t="n">
        <v>9</v>
      </c>
      <c r="U21" s="17" t="n">
        <v>3</v>
      </c>
      <c r="V21" s="17" t="n">
        <v>5</v>
      </c>
      <c r="W21" s="17" t="n">
        <v>4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Jack Murtagh</t>
        </is>
      </c>
      <c r="C22" s="8" t="inlineStr">
        <is>
          <t>41593</t>
        </is>
      </c>
      <c r="D22" t="inlineStr">
        <is>
          <t>Vilamoura, C. G</t>
        </is>
      </c>
      <c r="E22" s="8" t="n">
        <v>8.4</v>
      </c>
      <c r="F22" s="17" t="n">
        <v>5</v>
      </c>
      <c r="G22" s="17" t="n">
        <v>4</v>
      </c>
      <c r="H22" s="17" t="n">
        <v>5</v>
      </c>
      <c r="I22" s="17" t="n">
        <v>5</v>
      </c>
      <c r="J22" s="17" t="n">
        <v>4</v>
      </c>
      <c r="K22" s="17" t="n">
        <v>5</v>
      </c>
      <c r="L22" s="17" t="n">
        <v>5</v>
      </c>
      <c r="M22" s="17" t="n">
        <v>5</v>
      </c>
      <c r="N22" s="17" t="n">
        <v>3</v>
      </c>
      <c r="O22" s="17" t="n">
        <v>9</v>
      </c>
      <c r="P22" s="17" t="n">
        <v>8</v>
      </c>
      <c r="Q22" s="17" t="n">
        <v>3</v>
      </c>
      <c r="R22" s="17" t="n">
        <v>5</v>
      </c>
      <c r="S22" s="17" t="n">
        <v>2</v>
      </c>
      <c r="T22" s="17" t="n">
        <v>5</v>
      </c>
      <c r="U22" s="17" t="n">
        <v>3</v>
      </c>
      <c r="V22" s="17" t="n">
        <v>4</v>
      </c>
      <c r="W22" s="17" t="n">
        <v>6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Catarina Sousa Conceição</t>
        </is>
      </c>
      <c r="C23" s="8" t="inlineStr">
        <is>
          <t>48794</t>
        </is>
      </c>
      <c r="D23" t="inlineStr">
        <is>
          <t>Vilamoura, C. G</t>
        </is>
      </c>
      <c r="E23" s="8" t="n">
        <v>10.5</v>
      </c>
      <c r="F23" s="17" t="n">
        <v>5</v>
      </c>
      <c r="G23" s="17" t="n">
        <v>3</v>
      </c>
      <c r="H23" s="17" t="n">
        <v>6</v>
      </c>
      <c r="I23" s="17" t="n">
        <v>6</v>
      </c>
      <c r="J23" s="17" t="n">
        <v>3</v>
      </c>
      <c r="K23" s="17" t="n">
        <v>8</v>
      </c>
      <c r="L23" s="17" t="n">
        <v>5</v>
      </c>
      <c r="M23" s="17" t="n">
        <v>5</v>
      </c>
      <c r="N23" s="17" t="n">
        <v>5</v>
      </c>
      <c r="O23" s="17" t="n">
        <v>5</v>
      </c>
      <c r="P23" s="17" t="n">
        <v>4</v>
      </c>
      <c r="Q23" s="17" t="n">
        <v>2</v>
      </c>
      <c r="R23" s="17" t="n">
        <v>6</v>
      </c>
      <c r="S23" s="17" t="n">
        <v>3</v>
      </c>
      <c r="T23" s="17" t="n">
        <v>5</v>
      </c>
      <c r="U23" s="17" t="n">
        <v>3</v>
      </c>
      <c r="V23" s="17" t="n">
        <v>3</v>
      </c>
      <c r="W23" s="17" t="n">
        <v>10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Beau Delfortrie</t>
        </is>
      </c>
      <c r="C24" s="8" t="inlineStr">
        <is>
          <t>50247</t>
        </is>
      </c>
      <c r="D24" t="inlineStr">
        <is>
          <t>Vila Sol</t>
        </is>
      </c>
      <c r="E24" s="8" t="n">
        <v>10.1</v>
      </c>
      <c r="F24" s="17" t="n">
        <v>7</v>
      </c>
      <c r="G24" s="17" t="n">
        <v>3</v>
      </c>
      <c r="H24" s="17" t="n">
        <v>6</v>
      </c>
      <c r="I24" s="17" t="n">
        <v>9</v>
      </c>
      <c r="J24" s="17" t="n">
        <v>4</v>
      </c>
      <c r="K24" s="17" t="n">
        <v>6</v>
      </c>
      <c r="L24" s="17" t="n">
        <v>5</v>
      </c>
      <c r="M24" s="17" t="n">
        <v>5</v>
      </c>
      <c r="N24" s="17" t="n">
        <v>4</v>
      </c>
      <c r="O24" s="17" t="n">
        <v>5</v>
      </c>
      <c r="P24" s="17" t="n">
        <v>5</v>
      </c>
      <c r="Q24" s="17" t="n">
        <v>4</v>
      </c>
      <c r="R24" s="17" t="n">
        <v>5</v>
      </c>
      <c r="S24" s="17" t="n">
        <v>4</v>
      </c>
      <c r="T24" s="17" t="n">
        <v>5</v>
      </c>
      <c r="U24" s="17" t="n">
        <v>3</v>
      </c>
      <c r="V24" s="17" t="n">
        <v>2</v>
      </c>
      <c r="W24" s="17" t="n">
        <v>6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Thiago Gonzalez Bernases</t>
        </is>
      </c>
      <c r="C25" s="8" t="inlineStr">
        <is>
          <t>59128</t>
        </is>
      </c>
      <c r="D25" t="inlineStr">
        <is>
          <t>RIO</t>
        </is>
      </c>
      <c r="E25" s="8" t="n">
        <v>18.7</v>
      </c>
      <c r="F25" s="17" t="n">
        <v>7</v>
      </c>
      <c r="G25" s="17" t="n">
        <v>3</v>
      </c>
      <c r="H25" s="17" t="n">
        <v>5</v>
      </c>
      <c r="I25" s="17" t="n">
        <v>6</v>
      </c>
      <c r="J25" s="17" t="n">
        <v>3</v>
      </c>
      <c r="K25" s="17" t="n">
        <v>5</v>
      </c>
      <c r="L25" s="17" t="n">
        <v>8</v>
      </c>
      <c r="M25" s="17" t="n">
        <v>5</v>
      </c>
      <c r="N25" s="17" t="n">
        <v>4</v>
      </c>
      <c r="O25" s="17" t="n">
        <v>6</v>
      </c>
      <c r="P25" s="17" t="n">
        <v>5</v>
      </c>
      <c r="Q25" s="17" t="n">
        <v>3</v>
      </c>
      <c r="R25" s="17" t="n">
        <v>6</v>
      </c>
      <c r="S25" s="17" t="n">
        <v>4</v>
      </c>
      <c r="T25" s="17" t="n">
        <v>5</v>
      </c>
      <c r="U25" s="17" t="n">
        <v>3</v>
      </c>
      <c r="V25" s="17" t="n">
        <v>5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  <row r="26">
      <c r="A26" s="8" t="n">
        <v>14</v>
      </c>
      <c r="B26" t="inlineStr">
        <is>
          <t>Gabriel Costa</t>
        </is>
      </c>
      <c r="C26" s="8" t="inlineStr">
        <is>
          <t>53838</t>
        </is>
      </c>
      <c r="D26" t="inlineStr">
        <is>
          <t>Amendoeira</t>
        </is>
      </c>
      <c r="E26" s="8" t="n">
        <v>20.4</v>
      </c>
      <c r="F26" s="17" t="n">
        <v>6</v>
      </c>
      <c r="G26" s="17" t="n">
        <v>4</v>
      </c>
      <c r="H26" s="17" t="n">
        <v>5</v>
      </c>
      <c r="I26" s="17" t="n">
        <v>4</v>
      </c>
      <c r="J26" s="17" t="n">
        <v>4</v>
      </c>
      <c r="K26" s="17" t="n">
        <v>6</v>
      </c>
      <c r="L26" s="17" t="n">
        <v>6</v>
      </c>
      <c r="M26" s="17" t="n">
        <v>5</v>
      </c>
      <c r="N26" s="17" t="n">
        <v>5</v>
      </c>
      <c r="O26" s="17" t="n">
        <v>7</v>
      </c>
      <c r="P26" s="17" t="n">
        <v>5</v>
      </c>
      <c r="Q26" s="17" t="n">
        <v>3</v>
      </c>
      <c r="R26" s="17" t="n">
        <v>7</v>
      </c>
      <c r="S26" s="17" t="n">
        <v>4</v>
      </c>
      <c r="T26" s="17" t="n">
        <v>4</v>
      </c>
      <c r="U26" s="17" t="n">
        <v>4</v>
      </c>
      <c r="V26" s="17" t="n">
        <v>5</v>
      </c>
      <c r="W26" s="17" t="n">
        <v>6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8">
        <f>AA26</f>
        <v/>
      </c>
    </row>
    <row r="27">
      <c r="A27" s="8" t="n">
        <v>15</v>
      </c>
      <c r="B27" t="inlineStr">
        <is>
          <t>Cole Hutchison</t>
        </is>
      </c>
      <c r="C27" s="8" t="inlineStr">
        <is>
          <t>55065</t>
        </is>
      </c>
      <c r="D27" t="inlineStr">
        <is>
          <t>Vila Sol</t>
        </is>
      </c>
      <c r="E27" s="8" t="n">
        <v>24.2</v>
      </c>
      <c r="F27" s="17" t="n">
        <v>8</v>
      </c>
      <c r="G27" s="17" t="n">
        <v>4</v>
      </c>
      <c r="H27" s="17" t="n">
        <v>6</v>
      </c>
      <c r="I27" s="17" t="n">
        <v>5</v>
      </c>
      <c r="J27" s="17" t="n">
        <v>7</v>
      </c>
      <c r="K27" s="17" t="n">
        <v>5</v>
      </c>
      <c r="L27" s="17" t="n">
        <v>6</v>
      </c>
      <c r="M27" s="17" t="n">
        <v>5</v>
      </c>
      <c r="N27" s="17" t="n">
        <v>3</v>
      </c>
      <c r="O27" s="17" t="n">
        <v>6</v>
      </c>
      <c r="P27" s="17" t="n">
        <v>6</v>
      </c>
      <c r="Q27" s="17" t="n">
        <v>5</v>
      </c>
      <c r="R27" s="17" t="n">
        <v>5</v>
      </c>
      <c r="S27" s="17" t="n">
        <v>4</v>
      </c>
      <c r="T27" s="17" t="n">
        <v>4</v>
      </c>
      <c r="U27" s="17" t="n">
        <v>3</v>
      </c>
      <c r="V27" s="17" t="n">
        <v>6</v>
      </c>
      <c r="W27" s="17" t="n">
        <v>6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8">
        <f>AA27</f>
        <v/>
      </c>
    </row>
    <row r="28">
      <c r="A28" s="8" t="n">
        <v>16</v>
      </c>
      <c r="B28" t="inlineStr">
        <is>
          <t>Ethan Hutchinson</t>
        </is>
      </c>
      <c r="C28" s="8" t="inlineStr">
        <is>
          <t>48990</t>
        </is>
      </c>
      <c r="D28" t="inlineStr">
        <is>
          <t>Vilamoura, C. G</t>
        </is>
      </c>
      <c r="E28" s="8" t="n">
        <v>10.4</v>
      </c>
      <c r="F28" s="17" t="n">
        <v>6</v>
      </c>
      <c r="G28" s="17" t="n">
        <v>4</v>
      </c>
      <c r="H28" s="17" t="n">
        <v>6</v>
      </c>
      <c r="I28" s="17" t="n">
        <v>8</v>
      </c>
      <c r="J28" s="17" t="n">
        <v>2</v>
      </c>
      <c r="K28" s="17" t="n">
        <v>5</v>
      </c>
      <c r="L28" s="17" t="n">
        <v>5</v>
      </c>
      <c r="M28" s="17" t="n">
        <v>7</v>
      </c>
      <c r="N28" s="17" t="n">
        <v>4</v>
      </c>
      <c r="O28" s="17" t="n">
        <v>5</v>
      </c>
      <c r="P28" s="17" t="n">
        <v>10</v>
      </c>
      <c r="Q28" s="17" t="n">
        <v>5</v>
      </c>
      <c r="R28" s="17" t="n">
        <v>5</v>
      </c>
      <c r="S28" s="17" t="n">
        <v>3</v>
      </c>
      <c r="T28" s="17" t="n">
        <v>6</v>
      </c>
      <c r="U28" s="17" t="n">
        <v>3</v>
      </c>
      <c r="V28" s="17" t="n">
        <v>6</v>
      </c>
      <c r="W28" s="17" t="n">
        <v>6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8">
        <f>AA28</f>
        <v/>
      </c>
    </row>
    <row r="29">
      <c r="A29" s="8" t="n">
        <v>17</v>
      </c>
      <c r="B29" t="inlineStr">
        <is>
          <t>Luke Samanek</t>
        </is>
      </c>
      <c r="C29" s="8" t="inlineStr">
        <is>
          <t>56491</t>
        </is>
      </c>
      <c r="D29" t="inlineStr">
        <is>
          <t>Vila Sol</t>
        </is>
      </c>
      <c r="E29" s="8" t="n">
        <v>19.7</v>
      </c>
      <c r="F29" s="17" t="n">
        <v>5</v>
      </c>
      <c r="G29" s="17" t="n">
        <v>6</v>
      </c>
      <c r="H29" s="17" t="n">
        <v>6</v>
      </c>
      <c r="I29" s="17" t="n">
        <v>8</v>
      </c>
      <c r="J29" s="17" t="n">
        <v>8</v>
      </c>
      <c r="K29" s="17" t="n">
        <v>5</v>
      </c>
      <c r="L29" s="17" t="n">
        <v>5</v>
      </c>
      <c r="M29" s="17" t="n">
        <v>6</v>
      </c>
      <c r="N29" s="17" t="n">
        <v>6</v>
      </c>
      <c r="O29" s="17" t="n">
        <v>7</v>
      </c>
      <c r="P29" s="17" t="n">
        <v>5</v>
      </c>
      <c r="Q29" s="17" t="n">
        <v>2</v>
      </c>
      <c r="R29" s="17" t="n">
        <v>5</v>
      </c>
      <c r="S29" s="17" t="n">
        <v>4</v>
      </c>
      <c r="T29" s="17" t="n">
        <v>5</v>
      </c>
      <c r="U29" s="17" t="n">
        <v>4</v>
      </c>
      <c r="V29" s="17" t="n">
        <v>6</v>
      </c>
      <c r="W29" s="17" t="n">
        <v>4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8">
        <f>AA29</f>
        <v/>
      </c>
    </row>
    <row r="30">
      <c r="A30" s="8" t="n">
        <v>18</v>
      </c>
      <c r="B30" t="inlineStr">
        <is>
          <t>Harry Seabrook</t>
        </is>
      </c>
      <c r="C30" s="8" t="inlineStr">
        <is>
          <t>54264</t>
        </is>
      </c>
      <c r="D30" t="inlineStr">
        <is>
          <t>Vila Sol</t>
        </is>
      </c>
      <c r="E30" s="8" t="n">
        <v>21.2</v>
      </c>
      <c r="F30" s="17" t="n">
        <v>6</v>
      </c>
      <c r="G30" s="17" t="n">
        <v>3</v>
      </c>
      <c r="H30" s="17" t="n">
        <v>5</v>
      </c>
      <c r="I30" s="17" t="n">
        <v>9</v>
      </c>
      <c r="J30" s="17" t="n">
        <v>4</v>
      </c>
      <c r="K30" s="17" t="n">
        <v>4</v>
      </c>
      <c r="L30" s="17" t="n">
        <v>5</v>
      </c>
      <c r="M30" s="17" t="n">
        <v>4</v>
      </c>
      <c r="N30" s="17" t="n">
        <v>4</v>
      </c>
      <c r="O30" s="17" t="n">
        <v>6</v>
      </c>
      <c r="P30" s="17" t="n">
        <v>5</v>
      </c>
      <c r="Q30" s="17" t="n">
        <v>4</v>
      </c>
      <c r="R30" s="17" t="n">
        <v>7</v>
      </c>
      <c r="S30" s="17" t="n">
        <v>8</v>
      </c>
      <c r="T30" s="17" t="n">
        <v>6</v>
      </c>
      <c r="U30" s="17" t="n">
        <v>6</v>
      </c>
      <c r="V30" s="17" t="n">
        <v>5</v>
      </c>
      <c r="W30" s="17" t="n">
        <v>6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8">
        <f>AA30</f>
        <v/>
      </c>
    </row>
    <row r="31">
      <c r="A31" s="8" t="n">
        <v>19</v>
      </c>
      <c r="B31" t="inlineStr">
        <is>
          <t>Carlotta Balzer</t>
        </is>
      </c>
      <c r="C31" s="8" t="inlineStr">
        <is>
          <t>50628</t>
        </is>
      </c>
      <c r="D31" t="inlineStr">
        <is>
          <t>Amendoeira</t>
        </is>
      </c>
      <c r="E31" s="8" t="n">
        <v>18.7</v>
      </c>
      <c r="F31" s="17" t="n">
        <v>7</v>
      </c>
      <c r="G31" s="17" t="n">
        <v>4</v>
      </c>
      <c r="H31" s="17" t="n">
        <v>6</v>
      </c>
      <c r="I31" s="17" t="n">
        <v>10</v>
      </c>
      <c r="J31" s="17" t="n">
        <v>4</v>
      </c>
      <c r="K31" s="17" t="n">
        <v>7</v>
      </c>
      <c r="L31" s="17" t="n">
        <v>7</v>
      </c>
      <c r="M31" s="17" t="n">
        <v>6</v>
      </c>
      <c r="N31" s="17" t="n">
        <v>5</v>
      </c>
      <c r="O31" s="17" t="n">
        <v>5</v>
      </c>
      <c r="P31" s="17" t="n">
        <v>4</v>
      </c>
      <c r="Q31" s="17" t="n">
        <v>4</v>
      </c>
      <c r="R31" s="17" t="n">
        <v>7</v>
      </c>
      <c r="S31" s="17" t="n">
        <v>4</v>
      </c>
      <c r="T31" s="17" t="n">
        <v>7</v>
      </c>
      <c r="U31" s="17" t="n">
        <v>3</v>
      </c>
      <c r="V31" s="17" t="n">
        <v>8</v>
      </c>
      <c r="W31" s="17" t="n">
        <v>4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8">
        <f>AA31</f>
        <v/>
      </c>
    </row>
    <row r="32">
      <c r="A32" s="8" t="inlineStr">
        <is>
          <t>NS</t>
        </is>
      </c>
      <c r="B32" t="inlineStr">
        <is>
          <t>Maria La Piedad</t>
        </is>
      </c>
      <c r="C32" s="8" t="inlineStr"/>
      <c r="D32" t="inlineStr">
        <is>
          <t>Vilamoura, C. G</t>
        </is>
      </c>
      <c r="E32" s="8" t="n">
        <v>24.9</v>
      </c>
      <c r="AA32" s="8" t="n">
        <v>0</v>
      </c>
      <c r="AB32" s="18">
        <f>AA32</f>
        <v/>
      </c>
    </row>
    <row r="33">
      <c r="A33" s="8" t="inlineStr">
        <is>
          <t>NS</t>
        </is>
      </c>
      <c r="B33" t="inlineStr">
        <is>
          <t>Kira Gonzalez Bernases</t>
        </is>
      </c>
      <c r="C33" s="8" t="inlineStr"/>
      <c r="D33" t="inlineStr">
        <is>
          <t>RIO</t>
        </is>
      </c>
      <c r="E33" s="8" t="n">
        <v>10.4</v>
      </c>
      <c r="AA33" s="8" t="n">
        <v>0</v>
      </c>
      <c r="AB33" s="18">
        <f>AA33</f>
        <v/>
      </c>
    </row>
    <row r="34">
      <c r="A34" s="8" t="inlineStr">
        <is>
          <t>RET</t>
        </is>
      </c>
      <c r="B34" t="inlineStr">
        <is>
          <t>Jack Brando</t>
        </is>
      </c>
      <c r="C34" s="8" t="inlineStr">
        <is>
          <t>54232</t>
        </is>
      </c>
      <c r="D34" t="inlineStr">
        <is>
          <t>Vila Sol</t>
        </is>
      </c>
      <c r="E34" s="8" t="n">
        <v>12</v>
      </c>
      <c r="AA34" s="8" t="n">
        <v>0</v>
      </c>
      <c r="AB34" s="18">
        <f>AA34</f>
        <v/>
      </c>
    </row>
  </sheetData>
  <mergeCells count="1">
    <mergeCell ref="A1:H1"/>
  </mergeCells>
  <conditionalFormatting sqref="F13:F34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34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34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34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34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34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34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34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34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34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34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34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34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34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34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34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34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34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4º Drive Tour Madeira — Porto Santo</t>
        </is>
      </c>
    </row>
    <row r="2">
      <c r="A2" s="10" t="inlineStr">
        <is>
          <t>Data:</t>
        </is>
      </c>
      <c r="B2" t="inlineStr">
        <is>
          <t>2026-04-10</t>
        </is>
      </c>
    </row>
    <row r="3">
      <c r="A3" s="10" t="inlineStr">
        <is>
          <t>Campo:</t>
        </is>
      </c>
      <c r="B3" t="inlineStr">
        <is>
          <t>Porto Santo</t>
        </is>
      </c>
    </row>
    <row r="4">
      <c r="A4" s="10" t="inlineStr">
        <is>
          <t>ccode/tcode:</t>
        </is>
      </c>
      <c r="B4" t="inlineStr">
        <is>
          <t>982/10201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https://scoring.datagolf.pt/pt/Classifications.aspx?ccode=982&amp;tcode=10201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4</v>
      </c>
      <c r="H11" s="14" t="n">
        <v>5</v>
      </c>
      <c r="I11" s="14" t="n">
        <v>4</v>
      </c>
      <c r="J11" s="14" t="n">
        <v>3</v>
      </c>
      <c r="K11" s="14" t="n">
        <v>5</v>
      </c>
      <c r="L11" s="14" t="n">
        <v>3</v>
      </c>
      <c r="M11" s="14" t="n">
        <v>5</v>
      </c>
      <c r="N11" s="14" t="n">
        <v>3</v>
      </c>
      <c r="O11" s="14" t="n">
        <v>5</v>
      </c>
      <c r="P11" s="14" t="n">
        <v>4</v>
      </c>
      <c r="Q11" s="14" t="n">
        <v>5</v>
      </c>
      <c r="R11" s="14" t="n">
        <v>3</v>
      </c>
      <c r="S11" s="14" t="n">
        <v>4</v>
      </c>
      <c r="T11" s="14" t="n">
        <v>3</v>
      </c>
      <c r="U11" s="14" t="n">
        <v>4</v>
      </c>
      <c r="V11" s="14" t="n">
        <v>3</v>
      </c>
      <c r="W11" s="14" t="n">
        <v>5</v>
      </c>
      <c r="Y11" s="15">
        <f>SUM(F11:W11)</f>
        <v/>
      </c>
    </row>
    <row r="12">
      <c r="A12" s="13" t="inlineStr">
        <is>
          <t>—SI—</t>
        </is>
      </c>
      <c r="F12" s="16" t="n">
        <v>3</v>
      </c>
      <c r="G12" s="16" t="n">
        <v>5</v>
      </c>
      <c r="H12" s="16" t="n">
        <v>7</v>
      </c>
      <c r="I12" s="16" t="n">
        <v>1</v>
      </c>
      <c r="J12" s="16" t="n">
        <v>15</v>
      </c>
      <c r="K12" s="16" t="n">
        <v>17</v>
      </c>
      <c r="L12" s="16" t="n">
        <v>9</v>
      </c>
      <c r="M12" s="16" t="n">
        <v>11</v>
      </c>
      <c r="N12" s="16" t="n">
        <v>13</v>
      </c>
      <c r="O12" s="16" t="n">
        <v>12</v>
      </c>
      <c r="P12" s="16" t="n">
        <v>14</v>
      </c>
      <c r="Q12" s="16" t="n">
        <v>18</v>
      </c>
      <c r="R12" s="16" t="n">
        <v>8</v>
      </c>
      <c r="S12" s="16" t="n">
        <v>4</v>
      </c>
      <c r="T12" s="16" t="n">
        <v>16</v>
      </c>
      <c r="U12" s="16" t="n">
        <v>2</v>
      </c>
      <c r="V12" s="16" t="n">
        <v>10</v>
      </c>
      <c r="W12" s="16" t="n">
        <v>6</v>
      </c>
    </row>
    <row r="13">
      <c r="A13" s="8" t="n">
        <v>1</v>
      </c>
      <c r="B13" t="inlineStr">
        <is>
          <t>André Gonçalves</t>
        </is>
      </c>
      <c r="C13" s="8" t="inlineStr">
        <is>
          <t>41121</t>
        </is>
      </c>
      <c r="D13" t="inlineStr">
        <is>
          <t>Palheiro</t>
        </is>
      </c>
      <c r="E13" s="8" t="n">
        <v>6.8</v>
      </c>
      <c r="F13" s="17" t="n">
        <v>3</v>
      </c>
      <c r="G13" s="17" t="n">
        <v>5</v>
      </c>
      <c r="H13" s="17" t="n">
        <v>5</v>
      </c>
      <c r="I13" s="17" t="n">
        <v>6</v>
      </c>
      <c r="J13" s="17" t="n">
        <v>5</v>
      </c>
      <c r="K13" s="17" t="n">
        <v>6</v>
      </c>
      <c r="L13" s="17" t="n">
        <v>3</v>
      </c>
      <c r="M13" s="17" t="n">
        <v>8</v>
      </c>
      <c r="N13" s="17" t="n">
        <v>4</v>
      </c>
      <c r="O13" s="17" t="n">
        <v>6</v>
      </c>
      <c r="P13" s="17" t="n">
        <v>4</v>
      </c>
      <c r="Q13" s="17" t="n">
        <v>5</v>
      </c>
      <c r="R13" s="17" t="n">
        <v>3</v>
      </c>
      <c r="S13" s="17" t="n">
        <v>4</v>
      </c>
      <c r="T13" s="17" t="n">
        <v>3</v>
      </c>
      <c r="U13" s="17" t="n">
        <v>4</v>
      </c>
      <c r="V13" s="17" t="n">
        <v>3</v>
      </c>
      <c r="W13" s="17" t="n">
        <v>6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João Santos</t>
        </is>
      </c>
      <c r="C14" s="8" t="inlineStr">
        <is>
          <t>40645</t>
        </is>
      </c>
      <c r="D14" t="inlineStr">
        <is>
          <t>PXO Clube</t>
        </is>
      </c>
      <c r="E14" s="8" t="n">
        <v>2</v>
      </c>
      <c r="F14" s="17" t="n">
        <v>5</v>
      </c>
      <c r="G14" s="17" t="n">
        <v>4</v>
      </c>
      <c r="H14" s="17" t="n">
        <v>6</v>
      </c>
      <c r="I14" s="17" t="n">
        <v>5</v>
      </c>
      <c r="J14" s="17" t="n">
        <v>2</v>
      </c>
      <c r="K14" s="17" t="n">
        <v>5</v>
      </c>
      <c r="L14" s="17" t="n">
        <v>3</v>
      </c>
      <c r="M14" s="17" t="n">
        <v>6</v>
      </c>
      <c r="N14" s="17" t="n">
        <v>3</v>
      </c>
      <c r="O14" s="17" t="n">
        <v>5</v>
      </c>
      <c r="P14" s="17" t="n">
        <v>5</v>
      </c>
      <c r="Q14" s="17" t="n">
        <v>5</v>
      </c>
      <c r="R14" s="17" t="n">
        <v>4</v>
      </c>
      <c r="S14" s="17" t="n">
        <v>5</v>
      </c>
      <c r="T14" s="17" t="n">
        <v>6</v>
      </c>
      <c r="U14" s="17" t="n">
        <v>5</v>
      </c>
      <c r="V14" s="17" t="n">
        <v>4</v>
      </c>
      <c r="W14" s="17" t="n">
        <v>5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Salvador Rodrigues</t>
        </is>
      </c>
      <c r="C15" s="8" t="inlineStr">
        <is>
          <t>39465</t>
        </is>
      </c>
      <c r="D15" t="inlineStr">
        <is>
          <t>Palheiro</t>
        </is>
      </c>
      <c r="E15" s="8" t="n">
        <v>6.5</v>
      </c>
      <c r="F15" s="17" t="n">
        <v>4</v>
      </c>
      <c r="G15" s="17" t="n">
        <v>4</v>
      </c>
      <c r="H15" s="17" t="n">
        <v>8</v>
      </c>
      <c r="I15" s="17" t="n">
        <v>4</v>
      </c>
      <c r="J15" s="17" t="n">
        <v>4</v>
      </c>
      <c r="K15" s="17" t="n">
        <v>6</v>
      </c>
      <c r="L15" s="17" t="n">
        <v>4</v>
      </c>
      <c r="M15" s="17" t="n">
        <v>8</v>
      </c>
      <c r="N15" s="17" t="n">
        <v>3</v>
      </c>
      <c r="O15" s="17" t="n">
        <v>7</v>
      </c>
      <c r="P15" s="17" t="n">
        <v>5</v>
      </c>
      <c r="Q15" s="17" t="n">
        <v>6</v>
      </c>
      <c r="R15" s="17" t="n">
        <v>3</v>
      </c>
      <c r="S15" s="17" t="n">
        <v>6</v>
      </c>
      <c r="T15" s="17" t="n">
        <v>3</v>
      </c>
      <c r="U15" s="17" t="n">
        <v>4</v>
      </c>
      <c r="V15" s="17" t="n">
        <v>3</v>
      </c>
      <c r="W15" s="17" t="n">
        <v>6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Manuel Goulartt Medeiros</t>
        </is>
      </c>
      <c r="C16" s="8" t="inlineStr">
        <is>
          <t>52884</t>
        </is>
      </c>
      <c r="D16" t="inlineStr">
        <is>
          <t>Santo da Serra</t>
        </is>
      </c>
      <c r="E16" s="8" t="n">
        <v>10</v>
      </c>
      <c r="F16" s="17" t="n">
        <v>8</v>
      </c>
      <c r="G16" s="17" t="n">
        <v>7</v>
      </c>
      <c r="H16" s="17" t="n">
        <v>7</v>
      </c>
      <c r="I16" s="17" t="n">
        <v>4</v>
      </c>
      <c r="J16" s="17" t="n">
        <v>4</v>
      </c>
      <c r="K16" s="17" t="n">
        <v>6</v>
      </c>
      <c r="L16" s="17" t="n">
        <v>3</v>
      </c>
      <c r="M16" s="17" t="n">
        <v>6</v>
      </c>
      <c r="N16" s="17" t="n">
        <v>3</v>
      </c>
      <c r="O16" s="17" t="n">
        <v>5</v>
      </c>
      <c r="P16" s="17" t="n">
        <v>3</v>
      </c>
      <c r="Q16" s="17" t="n">
        <v>5</v>
      </c>
      <c r="R16" s="17" t="n">
        <v>8</v>
      </c>
      <c r="S16" s="17" t="n">
        <v>5</v>
      </c>
      <c r="T16" s="17" t="n">
        <v>2</v>
      </c>
      <c r="U16" s="17" t="n">
        <v>5</v>
      </c>
      <c r="V16" s="17" t="n">
        <v>5</v>
      </c>
      <c r="W16" s="17" t="n">
        <v>5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José Pedro Miranda</t>
        </is>
      </c>
      <c r="C17" s="8" t="inlineStr">
        <is>
          <t>38976</t>
        </is>
      </c>
      <c r="D17" t="inlineStr">
        <is>
          <t>Palheiro</t>
        </is>
      </c>
      <c r="E17" s="8" t="n">
        <v>8.199999999999999</v>
      </c>
      <c r="F17" s="17" t="n">
        <v>6</v>
      </c>
      <c r="G17" s="17" t="n">
        <v>4</v>
      </c>
      <c r="H17" s="17" t="n">
        <v>6</v>
      </c>
      <c r="I17" s="17" t="n">
        <v>6</v>
      </c>
      <c r="J17" s="17" t="n">
        <v>4</v>
      </c>
      <c r="K17" s="17" t="n">
        <v>5</v>
      </c>
      <c r="L17" s="17" t="n">
        <v>4</v>
      </c>
      <c r="M17" s="17" t="n">
        <v>6</v>
      </c>
      <c r="N17" s="17" t="n">
        <v>5</v>
      </c>
      <c r="O17" s="17" t="n">
        <v>7</v>
      </c>
      <c r="P17" s="17" t="n">
        <v>4</v>
      </c>
      <c r="Q17" s="17" t="n">
        <v>6</v>
      </c>
      <c r="R17" s="17" t="n">
        <v>9</v>
      </c>
      <c r="S17" s="17" t="n">
        <v>4</v>
      </c>
      <c r="T17" s="17" t="n">
        <v>2</v>
      </c>
      <c r="U17" s="17" t="n">
        <v>5</v>
      </c>
      <c r="V17" s="17" t="n">
        <v>4</v>
      </c>
      <c r="W17" s="17" t="n">
        <v>7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Rodrigo Abreu</t>
        </is>
      </c>
      <c r="C18" s="8" t="inlineStr">
        <is>
          <t>42684</t>
        </is>
      </c>
      <c r="D18" t="inlineStr">
        <is>
          <t>Palheiro</t>
        </is>
      </c>
      <c r="E18" s="8" t="n">
        <v>10.7</v>
      </c>
      <c r="F18" s="17" t="n">
        <v>6</v>
      </c>
      <c r="G18" s="17" t="n">
        <v>6</v>
      </c>
      <c r="H18" s="17" t="n">
        <v>8</v>
      </c>
      <c r="I18" s="17" t="n">
        <v>6</v>
      </c>
      <c r="J18" s="17" t="n">
        <v>3</v>
      </c>
      <c r="K18" s="17" t="n">
        <v>5</v>
      </c>
      <c r="L18" s="17" t="n">
        <v>4</v>
      </c>
      <c r="M18" s="17" t="n">
        <v>5</v>
      </c>
      <c r="N18" s="17" t="n">
        <v>3</v>
      </c>
      <c r="O18" s="17" t="n">
        <v>6</v>
      </c>
      <c r="P18" s="17" t="n">
        <v>5</v>
      </c>
      <c r="Q18" s="17" t="n">
        <v>5</v>
      </c>
      <c r="R18" s="17" t="n">
        <v>5</v>
      </c>
      <c r="S18" s="17" t="n">
        <v>4</v>
      </c>
      <c r="T18" s="17" t="n">
        <v>6</v>
      </c>
      <c r="U18" s="17" t="n">
        <v>4</v>
      </c>
      <c r="V18" s="17" t="n">
        <v>5</v>
      </c>
      <c r="W18" s="17" t="n">
        <v>8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Manuel Gouveia</t>
        </is>
      </c>
      <c r="C19" s="8" t="inlineStr">
        <is>
          <t>41124</t>
        </is>
      </c>
      <c r="D19" t="inlineStr">
        <is>
          <t>Santo da Serra</t>
        </is>
      </c>
      <c r="E19" s="8" t="n">
        <v>18.1</v>
      </c>
      <c r="F19" s="17" t="n">
        <v>10</v>
      </c>
      <c r="G19" s="17" t="n">
        <v>6</v>
      </c>
      <c r="H19" s="17" t="n">
        <v>8</v>
      </c>
      <c r="I19" s="17" t="n">
        <v>6</v>
      </c>
      <c r="J19" s="17" t="n">
        <v>4</v>
      </c>
      <c r="K19" s="17" t="n">
        <v>7</v>
      </c>
      <c r="L19" s="17" t="n">
        <v>7</v>
      </c>
      <c r="M19" s="17" t="n">
        <v>7</v>
      </c>
      <c r="N19" s="17" t="n">
        <v>4</v>
      </c>
      <c r="O19" s="17" t="n">
        <v>6</v>
      </c>
      <c r="P19" s="17" t="n">
        <v>7</v>
      </c>
      <c r="Q19" s="17" t="n">
        <v>7</v>
      </c>
      <c r="R19" s="17" t="n">
        <v>4</v>
      </c>
      <c r="S19" s="17" t="n">
        <v>6</v>
      </c>
      <c r="T19" s="17" t="n">
        <v>5</v>
      </c>
      <c r="U19" s="17" t="n">
        <v>6</v>
      </c>
      <c r="V19" s="17" t="n">
        <v>5</v>
      </c>
      <c r="W19" s="17" t="n">
        <v>7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inlineStr">
        <is>
          <t>NS</t>
        </is>
      </c>
      <c r="B20" t="inlineStr">
        <is>
          <t>Maria Câmara</t>
        </is>
      </c>
      <c r="C20" s="8" t="inlineStr"/>
      <c r="D20" t="inlineStr">
        <is>
          <t>Santo da Serra</t>
        </is>
      </c>
      <c r="E20" s="8" t="n">
        <v>9.4</v>
      </c>
      <c r="AA20" s="8" t="n">
        <v>0</v>
      </c>
      <c r="AB20" s="18">
        <f>AA20</f>
        <v/>
      </c>
    </row>
  </sheetData>
  <mergeCells count="1">
    <mergeCell ref="A1:H1"/>
  </mergeCells>
  <conditionalFormatting sqref="F13:F20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20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20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20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20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20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20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20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20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20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20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20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20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20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20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20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20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20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12" customWidth="1" min="28" max="28"/>
  </cols>
  <sheetData>
    <row r="1" ht="22" customHeight="1">
      <c r="A1" s="1" t="inlineStr">
        <is>
          <t>4º Drive Tour Tejo — Lisbon SC</t>
        </is>
      </c>
    </row>
    <row r="2">
      <c r="A2" s="10" t="inlineStr">
        <is>
          <t>Data:</t>
        </is>
      </c>
      <c r="B2" t="inlineStr">
        <is>
          <t>2026-04-11</t>
        </is>
      </c>
    </row>
    <row r="3">
      <c r="A3" s="10" t="inlineStr">
        <is>
          <t>Campo:</t>
        </is>
      </c>
      <c r="B3" t="inlineStr">
        <is>
          <t>Lisbon SC</t>
        </is>
      </c>
    </row>
    <row r="4">
      <c r="A4" s="10" t="inlineStr">
        <is>
          <t>ccode/tcode:</t>
        </is>
      </c>
      <c r="B4" t="inlineStr">
        <is>
          <t>985/10205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https://scoring.datagolf.pt/pt/Classifications.aspx?ccode=985&amp;tcode=10205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DT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Total Pts</t>
        </is>
      </c>
    </row>
    <row r="11">
      <c r="A11" s="13" t="inlineStr">
        <is>
          <t>—Par—</t>
        </is>
      </c>
      <c r="F11" s="14" t="n">
        <v>3</v>
      </c>
      <c r="G11" s="14" t="n">
        <v>4</v>
      </c>
      <c r="H11" s="14" t="n">
        <v>3</v>
      </c>
      <c r="I11" s="14" t="n">
        <v>4</v>
      </c>
      <c r="J11" s="14" t="n">
        <v>5</v>
      </c>
      <c r="K11" s="14" t="n">
        <v>4</v>
      </c>
      <c r="L11" s="14" t="n">
        <v>4</v>
      </c>
      <c r="M11" s="14" t="n">
        <v>3</v>
      </c>
      <c r="N11" s="14" t="n">
        <v>4</v>
      </c>
      <c r="O11" s="14" t="n">
        <v>4</v>
      </c>
      <c r="P11" s="14" t="n">
        <v>3</v>
      </c>
      <c r="Q11" s="14" t="n">
        <v>5</v>
      </c>
      <c r="R11" s="14" t="n">
        <v>3</v>
      </c>
      <c r="S11" s="14" t="n">
        <v>4</v>
      </c>
      <c r="T11" s="14" t="n">
        <v>4</v>
      </c>
      <c r="U11" s="14" t="n">
        <v>5</v>
      </c>
      <c r="V11" s="14" t="n">
        <v>3</v>
      </c>
      <c r="W11" s="14" t="n">
        <v>4</v>
      </c>
      <c r="Y11" s="15">
        <f>SUM(F11:W11)</f>
        <v/>
      </c>
    </row>
    <row r="12">
      <c r="A12" s="13" t="inlineStr">
        <is>
          <t>—SI—</t>
        </is>
      </c>
      <c r="F12" s="16" t="n">
        <v>16</v>
      </c>
      <c r="G12" s="16" t="n">
        <v>4</v>
      </c>
      <c r="H12" s="16" t="n">
        <v>8</v>
      </c>
      <c r="I12" s="16" t="n">
        <v>6</v>
      </c>
      <c r="J12" s="16" t="n">
        <v>12</v>
      </c>
      <c r="K12" s="16" t="n">
        <v>10</v>
      </c>
      <c r="L12" s="16" t="n">
        <v>2</v>
      </c>
      <c r="M12" s="16" t="n">
        <v>14</v>
      </c>
      <c r="N12" s="16" t="n">
        <v>18</v>
      </c>
      <c r="O12" s="16" t="n">
        <v>11</v>
      </c>
      <c r="P12" s="16" t="n">
        <v>17</v>
      </c>
      <c r="Q12" s="16" t="n">
        <v>13</v>
      </c>
      <c r="R12" s="16" t="n">
        <v>5</v>
      </c>
      <c r="S12" s="16" t="n">
        <v>9</v>
      </c>
      <c r="T12" s="16" t="n">
        <v>7</v>
      </c>
      <c r="U12" s="16" t="n">
        <v>1</v>
      </c>
      <c r="V12" s="16" t="n">
        <v>15</v>
      </c>
      <c r="W12" s="16" t="n">
        <v>3</v>
      </c>
    </row>
    <row r="13">
      <c r="A13" s="8" t="n">
        <v>1</v>
      </c>
      <c r="B13" t="inlineStr">
        <is>
          <t>Nuno Palmares Jr.</t>
        </is>
      </c>
      <c r="C13" s="8" t="inlineStr">
        <is>
          <t>49124</t>
        </is>
      </c>
      <c r="D13" t="inlineStr">
        <is>
          <t>Estoril</t>
        </is>
      </c>
      <c r="E13" s="8" t="n">
        <v>4</v>
      </c>
      <c r="F13" s="17" t="n">
        <v>4</v>
      </c>
      <c r="G13" s="17" t="n">
        <v>4</v>
      </c>
      <c r="H13" s="17" t="n">
        <v>3</v>
      </c>
      <c r="I13" s="17" t="n">
        <v>4</v>
      </c>
      <c r="J13" s="17" t="n">
        <v>5</v>
      </c>
      <c r="K13" s="17" t="n">
        <v>4</v>
      </c>
      <c r="L13" s="17" t="n">
        <v>5</v>
      </c>
      <c r="M13" s="17" t="n">
        <v>4</v>
      </c>
      <c r="N13" s="17" t="n">
        <v>4</v>
      </c>
      <c r="O13" s="17" t="n">
        <v>4</v>
      </c>
      <c r="P13" s="17" t="n">
        <v>3</v>
      </c>
      <c r="Q13" s="17" t="n">
        <v>6</v>
      </c>
      <c r="R13" s="17" t="n">
        <v>3</v>
      </c>
      <c r="S13" s="17" t="n">
        <v>4</v>
      </c>
      <c r="T13" s="17" t="n">
        <v>4</v>
      </c>
      <c r="U13" s="17" t="n">
        <v>4</v>
      </c>
      <c r="V13" s="17" t="n">
        <v>3</v>
      </c>
      <c r="W13" s="17" t="n">
        <v>5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8">
        <f>AA13</f>
        <v/>
      </c>
    </row>
    <row r="14">
      <c r="A14" s="8" t="n">
        <v>2</v>
      </c>
      <c r="B14" t="inlineStr">
        <is>
          <t>João Maria Ivo de Carvalho</t>
        </is>
      </c>
      <c r="C14" s="8" t="inlineStr">
        <is>
          <t>38334</t>
        </is>
      </c>
      <c r="D14" t="inlineStr">
        <is>
          <t>Estoril</t>
        </is>
      </c>
      <c r="E14" s="8" t="n">
        <v>-1.3</v>
      </c>
      <c r="F14" s="17" t="n">
        <v>4</v>
      </c>
      <c r="G14" s="17" t="n">
        <v>5</v>
      </c>
      <c r="H14" s="17" t="n">
        <v>3</v>
      </c>
      <c r="I14" s="17" t="n">
        <v>5</v>
      </c>
      <c r="J14" s="17" t="n">
        <v>7</v>
      </c>
      <c r="K14" s="17" t="n">
        <v>4</v>
      </c>
      <c r="L14" s="17" t="n">
        <v>5</v>
      </c>
      <c r="M14" s="17" t="n">
        <v>6</v>
      </c>
      <c r="N14" s="17" t="n">
        <v>4</v>
      </c>
      <c r="O14" s="17" t="n">
        <v>3</v>
      </c>
      <c r="P14" s="17" t="n">
        <v>2</v>
      </c>
      <c r="Q14" s="17" t="n">
        <v>4</v>
      </c>
      <c r="R14" s="17" t="n">
        <v>4</v>
      </c>
      <c r="S14" s="17" t="n">
        <v>5</v>
      </c>
      <c r="T14" s="17" t="n">
        <v>4</v>
      </c>
      <c r="U14" s="17" t="n">
        <v>5</v>
      </c>
      <c r="V14" s="17" t="n">
        <v>3</v>
      </c>
      <c r="W14" s="17" t="n">
        <v>4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8">
        <f>AA14</f>
        <v/>
      </c>
    </row>
    <row r="15">
      <c r="A15" s="8" t="n">
        <v>3</v>
      </c>
      <c r="B15" t="inlineStr">
        <is>
          <t>Pedro Costa Alemão</t>
        </is>
      </c>
      <c r="C15" s="8" t="inlineStr">
        <is>
          <t>46706</t>
        </is>
      </c>
      <c r="D15" t="inlineStr">
        <is>
          <t>Estoril</t>
        </is>
      </c>
      <c r="E15" s="8" t="n">
        <v>4.5</v>
      </c>
      <c r="F15" s="17" t="n">
        <v>3</v>
      </c>
      <c r="G15" s="17" t="n">
        <v>7</v>
      </c>
      <c r="H15" s="17" t="n">
        <v>4</v>
      </c>
      <c r="I15" s="17" t="n">
        <v>4</v>
      </c>
      <c r="J15" s="17" t="n">
        <v>5</v>
      </c>
      <c r="K15" s="17" t="n">
        <v>5</v>
      </c>
      <c r="L15" s="17" t="n">
        <v>4</v>
      </c>
      <c r="M15" s="17" t="n">
        <v>4</v>
      </c>
      <c r="N15" s="17" t="n">
        <v>4</v>
      </c>
      <c r="O15" s="17" t="n">
        <v>3</v>
      </c>
      <c r="P15" s="17" t="n">
        <v>3</v>
      </c>
      <c r="Q15" s="17" t="n">
        <v>5</v>
      </c>
      <c r="R15" s="17" t="n">
        <v>4</v>
      </c>
      <c r="S15" s="17" t="n">
        <v>4</v>
      </c>
      <c r="T15" s="17" t="n">
        <v>5</v>
      </c>
      <c r="U15" s="17" t="n">
        <v>7</v>
      </c>
      <c r="V15" s="17" t="n">
        <v>4</v>
      </c>
      <c r="W15" s="17" t="n">
        <v>5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8">
        <f>AA15</f>
        <v/>
      </c>
    </row>
    <row r="16">
      <c r="A16" s="8" t="n">
        <v>4</v>
      </c>
      <c r="B16" t="inlineStr">
        <is>
          <t>Salvador Ivo de Carvalho</t>
        </is>
      </c>
      <c r="C16" s="8" t="inlineStr">
        <is>
          <t>43968</t>
        </is>
      </c>
      <c r="D16" t="inlineStr">
        <is>
          <t>Estoril</t>
        </is>
      </c>
      <c r="E16" s="8" t="n">
        <v>7.8</v>
      </c>
      <c r="F16" s="17" t="n">
        <v>3</v>
      </c>
      <c r="G16" s="17" t="n">
        <v>6</v>
      </c>
      <c r="H16" s="17" t="n">
        <v>3</v>
      </c>
      <c r="I16" s="17" t="n">
        <v>5</v>
      </c>
      <c r="J16" s="17" t="n">
        <v>5</v>
      </c>
      <c r="K16" s="17" t="n">
        <v>4</v>
      </c>
      <c r="L16" s="17" t="n">
        <v>5</v>
      </c>
      <c r="M16" s="17" t="n">
        <v>4</v>
      </c>
      <c r="N16" s="17" t="n">
        <v>3</v>
      </c>
      <c r="O16" s="17" t="n">
        <v>4</v>
      </c>
      <c r="P16" s="17" t="n">
        <v>3</v>
      </c>
      <c r="Q16" s="17" t="n">
        <v>6</v>
      </c>
      <c r="R16" s="17" t="n">
        <v>5</v>
      </c>
      <c r="S16" s="17" t="n">
        <v>5</v>
      </c>
      <c r="T16" s="17" t="n">
        <v>6</v>
      </c>
      <c r="U16" s="17" t="n">
        <v>6</v>
      </c>
      <c r="V16" s="17" t="n">
        <v>3</v>
      </c>
      <c r="W16" s="17" t="n">
        <v>4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8">
        <f>AA16</f>
        <v/>
      </c>
    </row>
    <row r="17">
      <c r="A17" s="8" t="n">
        <v>5</v>
      </c>
      <c r="B17" t="inlineStr">
        <is>
          <t>David Filip Jr</t>
        </is>
      </c>
      <c r="C17" s="8" t="inlineStr">
        <is>
          <t>51949</t>
        </is>
      </c>
      <c r="D17" t="inlineStr">
        <is>
          <t>Quinta do Peru</t>
        </is>
      </c>
      <c r="E17" s="8" t="n">
        <v>9.9</v>
      </c>
      <c r="F17" s="17" t="n">
        <v>4</v>
      </c>
      <c r="G17" s="17" t="n">
        <v>5</v>
      </c>
      <c r="H17" s="17" t="n">
        <v>4</v>
      </c>
      <c r="I17" s="17" t="n">
        <v>5</v>
      </c>
      <c r="J17" s="17" t="n">
        <v>5</v>
      </c>
      <c r="K17" s="17" t="n">
        <v>9</v>
      </c>
      <c r="L17" s="17" t="n">
        <v>6</v>
      </c>
      <c r="M17" s="17" t="n">
        <v>3</v>
      </c>
      <c r="N17" s="17" t="n">
        <v>4</v>
      </c>
      <c r="O17" s="17" t="n">
        <v>4</v>
      </c>
      <c r="P17" s="17" t="n">
        <v>2</v>
      </c>
      <c r="Q17" s="17" t="n">
        <v>5</v>
      </c>
      <c r="R17" s="17" t="n">
        <v>4</v>
      </c>
      <c r="S17" s="17" t="n">
        <v>4</v>
      </c>
      <c r="T17" s="17" t="n">
        <v>4</v>
      </c>
      <c r="U17" s="17" t="n">
        <v>6</v>
      </c>
      <c r="V17" s="17" t="n">
        <v>3</v>
      </c>
      <c r="W17" s="17" t="n">
        <v>4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8">
        <f>AA17</f>
        <v/>
      </c>
    </row>
    <row r="18">
      <c r="A18" s="8" t="n">
        <v>6</v>
      </c>
      <c r="B18" t="inlineStr">
        <is>
          <t>Miguel Santos Pereira</t>
        </is>
      </c>
      <c r="C18" s="8" t="inlineStr">
        <is>
          <t>48946</t>
        </is>
      </c>
      <c r="D18" t="inlineStr">
        <is>
          <t>Vilamoura, C. G</t>
        </is>
      </c>
      <c r="E18" s="8" t="n">
        <v>19.6</v>
      </c>
      <c r="F18" s="17" t="n">
        <v>4</v>
      </c>
      <c r="G18" s="17" t="n">
        <v>5</v>
      </c>
      <c r="H18" s="17" t="n">
        <v>3</v>
      </c>
      <c r="I18" s="17" t="n">
        <v>5</v>
      </c>
      <c r="J18" s="17" t="n">
        <v>5</v>
      </c>
      <c r="K18" s="17" t="n">
        <v>5</v>
      </c>
      <c r="L18" s="17" t="n">
        <v>5</v>
      </c>
      <c r="M18" s="17" t="n">
        <v>5</v>
      </c>
      <c r="N18" s="17" t="n">
        <v>4</v>
      </c>
      <c r="O18" s="17" t="n">
        <v>4</v>
      </c>
      <c r="P18" s="17" t="n">
        <v>4</v>
      </c>
      <c r="Q18" s="17" t="n">
        <v>5</v>
      </c>
      <c r="R18" s="17" t="n">
        <v>4</v>
      </c>
      <c r="S18" s="17" t="n">
        <v>6</v>
      </c>
      <c r="T18" s="17" t="n">
        <v>4</v>
      </c>
      <c r="U18" s="17" t="n">
        <v>5</v>
      </c>
      <c r="V18" s="17" t="n">
        <v>4</v>
      </c>
      <c r="W18" s="17" t="n">
        <v>5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B18" s="18">
        <f>AA18</f>
        <v/>
      </c>
    </row>
    <row r="19">
      <c r="A19" s="8" t="n">
        <v>7</v>
      </c>
      <c r="B19" t="inlineStr">
        <is>
          <t>Ricardo Castro Ferreira</t>
        </is>
      </c>
      <c r="C19" s="8" t="inlineStr">
        <is>
          <t>49085</t>
        </is>
      </c>
      <c r="D19" t="inlineStr">
        <is>
          <t>Estoril</t>
        </is>
      </c>
      <c r="E19" s="8" t="n">
        <v>6.8</v>
      </c>
      <c r="F19" s="17" t="n">
        <v>4</v>
      </c>
      <c r="G19" s="17" t="n">
        <v>6</v>
      </c>
      <c r="H19" s="17" t="n">
        <v>3</v>
      </c>
      <c r="I19" s="17" t="n">
        <v>4</v>
      </c>
      <c r="J19" s="17" t="n">
        <v>8</v>
      </c>
      <c r="K19" s="17" t="n">
        <v>4</v>
      </c>
      <c r="L19" s="17" t="n">
        <v>5</v>
      </c>
      <c r="M19" s="17" t="n">
        <v>4</v>
      </c>
      <c r="N19" s="17" t="n">
        <v>6</v>
      </c>
      <c r="O19" s="17" t="n">
        <v>4</v>
      </c>
      <c r="P19" s="17" t="n">
        <v>3</v>
      </c>
      <c r="Q19" s="17" t="n">
        <v>4</v>
      </c>
      <c r="R19" s="17" t="n">
        <v>4</v>
      </c>
      <c r="S19" s="17" t="n">
        <v>4</v>
      </c>
      <c r="T19" s="17" t="n">
        <v>5</v>
      </c>
      <c r="U19" s="17" t="n">
        <v>6</v>
      </c>
      <c r="V19" s="17" t="n">
        <v>4</v>
      </c>
      <c r="W19" s="17" t="n">
        <v>5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8">
        <f>AA19</f>
        <v/>
      </c>
    </row>
    <row r="20">
      <c r="A20" s="8" t="n">
        <v>8</v>
      </c>
      <c r="B20" t="inlineStr">
        <is>
          <t>Guo Ziyang</t>
        </is>
      </c>
      <c r="C20" s="8" t="inlineStr">
        <is>
          <t>57904</t>
        </is>
      </c>
      <c r="D20" t="inlineStr">
        <is>
          <t>Estoril</t>
        </is>
      </c>
      <c r="E20" s="8" t="n">
        <v>11.6</v>
      </c>
      <c r="F20" s="17" t="n">
        <v>3</v>
      </c>
      <c r="G20" s="17" t="n">
        <v>5</v>
      </c>
      <c r="H20" s="17" t="n">
        <v>3</v>
      </c>
      <c r="I20" s="17" t="n">
        <v>5</v>
      </c>
      <c r="J20" s="17" t="n">
        <v>5</v>
      </c>
      <c r="K20" s="17" t="n">
        <v>5</v>
      </c>
      <c r="L20" s="17" t="n">
        <v>5</v>
      </c>
      <c r="M20" s="17" t="n">
        <v>3</v>
      </c>
      <c r="N20" s="17" t="n">
        <v>4</v>
      </c>
      <c r="O20" s="17" t="n">
        <v>8</v>
      </c>
      <c r="P20" s="17" t="n">
        <v>4</v>
      </c>
      <c r="Q20" s="17" t="n">
        <v>7</v>
      </c>
      <c r="R20" s="17" t="n">
        <v>3</v>
      </c>
      <c r="S20" s="17" t="n">
        <v>4</v>
      </c>
      <c r="T20" s="17" t="n">
        <v>5</v>
      </c>
      <c r="U20" s="17" t="n">
        <v>7</v>
      </c>
      <c r="V20" s="17" t="n">
        <v>3</v>
      </c>
      <c r="W20" s="17" t="n">
        <v>4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8">
        <f>AA20</f>
        <v/>
      </c>
    </row>
    <row r="21">
      <c r="A21" s="8" t="n">
        <v>9</v>
      </c>
      <c r="B21" t="inlineStr">
        <is>
          <t>William Gao</t>
        </is>
      </c>
      <c r="C21" s="8" t="inlineStr">
        <is>
          <t>51524</t>
        </is>
      </c>
      <c r="D21" t="inlineStr">
        <is>
          <t>Quinta do Peru</t>
        </is>
      </c>
      <c r="E21" s="8" t="n">
        <v>7.9</v>
      </c>
      <c r="F21" s="17" t="n">
        <v>3</v>
      </c>
      <c r="G21" s="17" t="n">
        <v>5</v>
      </c>
      <c r="H21" s="17" t="n">
        <v>3</v>
      </c>
      <c r="I21" s="17" t="n">
        <v>6</v>
      </c>
      <c r="J21" s="17" t="n">
        <v>5</v>
      </c>
      <c r="K21" s="17" t="n">
        <v>5</v>
      </c>
      <c r="L21" s="17" t="n">
        <v>5</v>
      </c>
      <c r="M21" s="17" t="n">
        <v>4</v>
      </c>
      <c r="N21" s="17" t="n">
        <v>4</v>
      </c>
      <c r="O21" s="17" t="n">
        <v>5</v>
      </c>
      <c r="P21" s="17" t="n">
        <v>4</v>
      </c>
      <c r="Q21" s="17" t="n">
        <v>4</v>
      </c>
      <c r="R21" s="17" t="n">
        <v>4</v>
      </c>
      <c r="S21" s="17" t="n">
        <v>4</v>
      </c>
      <c r="T21" s="17" t="n">
        <v>5</v>
      </c>
      <c r="U21" s="17" t="n">
        <v>7</v>
      </c>
      <c r="V21" s="17" t="n">
        <v>4</v>
      </c>
      <c r="W21" s="17" t="n">
        <v>7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8">
        <f>AA21</f>
        <v/>
      </c>
    </row>
    <row r="22">
      <c r="A22" s="8" t="n">
        <v>10</v>
      </c>
      <c r="B22" t="inlineStr">
        <is>
          <t>Angelina Gao</t>
        </is>
      </c>
      <c r="C22" s="8" t="inlineStr">
        <is>
          <t>51523</t>
        </is>
      </c>
      <c r="D22" t="inlineStr">
        <is>
          <t>Quinta do Peru</t>
        </is>
      </c>
      <c r="E22" s="8" t="n">
        <v>3.5</v>
      </c>
      <c r="F22" s="17" t="n">
        <v>3</v>
      </c>
      <c r="G22" s="17" t="n">
        <v>4</v>
      </c>
      <c r="H22" s="17" t="n">
        <v>3</v>
      </c>
      <c r="I22" s="17" t="n">
        <v>6</v>
      </c>
      <c r="J22" s="17" t="n">
        <v>6</v>
      </c>
      <c r="K22" s="17" t="n">
        <v>4</v>
      </c>
      <c r="L22" s="17" t="n">
        <v>6</v>
      </c>
      <c r="M22" s="17" t="n">
        <v>4</v>
      </c>
      <c r="N22" s="17" t="n">
        <v>3</v>
      </c>
      <c r="O22" s="17" t="n">
        <v>4</v>
      </c>
      <c r="P22" s="17" t="n">
        <v>4</v>
      </c>
      <c r="Q22" s="17" t="n">
        <v>7</v>
      </c>
      <c r="R22" s="17" t="n">
        <v>5</v>
      </c>
      <c r="S22" s="17" t="n">
        <v>3</v>
      </c>
      <c r="T22" s="17" t="n">
        <v>5</v>
      </c>
      <c r="U22" s="17" t="n">
        <v>7</v>
      </c>
      <c r="V22" s="17" t="n">
        <v>5</v>
      </c>
      <c r="W22" s="17" t="n">
        <v>5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8">
        <f>AA22</f>
        <v/>
      </c>
    </row>
    <row r="23">
      <c r="A23" s="8" t="n">
        <v>11</v>
      </c>
      <c r="B23" t="inlineStr">
        <is>
          <t>João Gomes</t>
        </is>
      </c>
      <c r="C23" s="8" t="inlineStr">
        <is>
          <t>53715</t>
        </is>
      </c>
      <c r="D23" t="inlineStr">
        <is>
          <t>Lisbon SC</t>
        </is>
      </c>
      <c r="E23" s="8" t="n">
        <v>9.9</v>
      </c>
      <c r="F23" s="17" t="n">
        <v>5</v>
      </c>
      <c r="G23" s="17" t="n">
        <v>6</v>
      </c>
      <c r="H23" s="17" t="n">
        <v>4</v>
      </c>
      <c r="I23" s="17" t="n">
        <v>8</v>
      </c>
      <c r="J23" s="17" t="n">
        <v>5</v>
      </c>
      <c r="K23" s="17" t="n">
        <v>4</v>
      </c>
      <c r="L23" s="17" t="n">
        <v>5</v>
      </c>
      <c r="M23" s="17" t="n">
        <v>3</v>
      </c>
      <c r="N23" s="17" t="n">
        <v>5</v>
      </c>
      <c r="O23" s="17" t="n">
        <v>5</v>
      </c>
      <c r="P23" s="17" t="n">
        <v>3</v>
      </c>
      <c r="Q23" s="17" t="n">
        <v>6</v>
      </c>
      <c r="R23" s="17" t="n">
        <v>4</v>
      </c>
      <c r="S23" s="17" t="n">
        <v>4</v>
      </c>
      <c r="T23" s="17" t="n">
        <v>5</v>
      </c>
      <c r="U23" s="17" t="n">
        <v>5</v>
      </c>
      <c r="V23" s="17" t="n">
        <v>3</v>
      </c>
      <c r="W23" s="17" t="n">
        <v>5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B23" s="18">
        <f>AA23</f>
        <v/>
      </c>
    </row>
    <row r="24">
      <c r="A24" s="8" t="n">
        <v>12</v>
      </c>
      <c r="B24" t="inlineStr">
        <is>
          <t>Miguel Nunes</t>
        </is>
      </c>
      <c r="C24" s="8" t="inlineStr">
        <is>
          <t>48052</t>
        </is>
      </c>
      <c r="D24" t="inlineStr">
        <is>
          <t>Ilha Terceira</t>
        </is>
      </c>
      <c r="E24" s="8" t="n">
        <v>16.4</v>
      </c>
      <c r="F24" s="17" t="n">
        <v>5</v>
      </c>
      <c r="G24" s="17" t="n">
        <v>6</v>
      </c>
      <c r="H24" s="17" t="n">
        <v>4</v>
      </c>
      <c r="I24" s="17" t="n">
        <v>6</v>
      </c>
      <c r="J24" s="17" t="n">
        <v>5</v>
      </c>
      <c r="K24" s="17" t="n">
        <v>5</v>
      </c>
      <c r="L24" s="17" t="n">
        <v>5</v>
      </c>
      <c r="M24" s="17" t="n">
        <v>7</v>
      </c>
      <c r="N24" s="17" t="n">
        <v>4</v>
      </c>
      <c r="O24" s="17" t="n">
        <v>4</v>
      </c>
      <c r="P24" s="17" t="n">
        <v>4</v>
      </c>
      <c r="Q24" s="17" t="n">
        <v>5</v>
      </c>
      <c r="R24" s="17" t="n">
        <v>4</v>
      </c>
      <c r="S24" s="17" t="n">
        <v>4</v>
      </c>
      <c r="T24" s="17" t="n">
        <v>5</v>
      </c>
      <c r="U24" s="17" t="n">
        <v>7</v>
      </c>
      <c r="V24" s="17" t="n">
        <v>3</v>
      </c>
      <c r="W24" s="17" t="n">
        <v>6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8">
        <f>AA24</f>
        <v/>
      </c>
    </row>
    <row r="25">
      <c r="A25" s="8" t="n">
        <v>13</v>
      </c>
      <c r="B25" t="inlineStr">
        <is>
          <t>Catarina Valério</t>
        </is>
      </c>
      <c r="C25" s="8" t="inlineStr">
        <is>
          <t>46873</t>
        </is>
      </c>
      <c r="D25" t="inlineStr">
        <is>
          <t>Vilamoura, C. G</t>
        </is>
      </c>
      <c r="E25" s="8" t="n">
        <v>19.4</v>
      </c>
      <c r="F25" s="17" t="n">
        <v>5</v>
      </c>
      <c r="G25" s="17" t="n">
        <v>6</v>
      </c>
      <c r="H25" s="17" t="n">
        <v>3</v>
      </c>
      <c r="I25" s="17" t="n">
        <v>6</v>
      </c>
      <c r="J25" s="17" t="n">
        <v>5</v>
      </c>
      <c r="K25" s="17" t="n">
        <v>5</v>
      </c>
      <c r="L25" s="17" t="n">
        <v>7</v>
      </c>
      <c r="M25" s="17" t="n">
        <v>4</v>
      </c>
      <c r="N25" s="17" t="n">
        <v>5</v>
      </c>
      <c r="O25" s="17" t="n">
        <v>4</v>
      </c>
      <c r="P25" s="17" t="n">
        <v>5</v>
      </c>
      <c r="Q25" s="17" t="n">
        <v>6</v>
      </c>
      <c r="R25" s="17" t="n">
        <v>3</v>
      </c>
      <c r="S25" s="17" t="n">
        <v>5</v>
      </c>
      <c r="T25" s="17" t="n">
        <v>6</v>
      </c>
      <c r="U25" s="17" t="n">
        <v>7</v>
      </c>
      <c r="V25" s="17" t="n">
        <v>3</v>
      </c>
      <c r="W25" s="17" t="n">
        <v>5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8">
        <f>AA25</f>
        <v/>
      </c>
    </row>
    <row r="26">
      <c r="A26" s="8" t="n">
        <v>14</v>
      </c>
      <c r="B26" t="inlineStr">
        <is>
          <t>Manuel Vaz Pinto</t>
        </is>
      </c>
      <c r="C26" s="8" t="inlineStr">
        <is>
          <t>51430</t>
        </is>
      </c>
      <c r="D26" t="inlineStr">
        <is>
          <t>Lisbon SC</t>
        </is>
      </c>
      <c r="E26" s="8" t="n">
        <v>17.5</v>
      </c>
      <c r="F26" s="17" t="n">
        <v>3</v>
      </c>
      <c r="G26" s="17" t="n">
        <v>8</v>
      </c>
      <c r="H26" s="17" t="n">
        <v>4</v>
      </c>
      <c r="I26" s="17" t="n">
        <v>6</v>
      </c>
      <c r="J26" s="17" t="n">
        <v>7</v>
      </c>
      <c r="K26" s="17" t="n">
        <v>7</v>
      </c>
      <c r="L26" s="17" t="n">
        <v>6</v>
      </c>
      <c r="M26" s="17" t="n">
        <v>5</v>
      </c>
      <c r="N26" s="17" t="n">
        <v>5</v>
      </c>
      <c r="O26" s="17" t="n">
        <v>4</v>
      </c>
      <c r="P26" s="17" t="n">
        <v>5</v>
      </c>
      <c r="Q26" s="17" t="n">
        <v>4</v>
      </c>
      <c r="R26" s="17" t="n">
        <v>3</v>
      </c>
      <c r="S26" s="17" t="n">
        <v>6</v>
      </c>
      <c r="T26" s="17" t="n">
        <v>5</v>
      </c>
      <c r="U26" s="17" t="n">
        <v>6</v>
      </c>
      <c r="V26" s="17" t="n">
        <v>3</v>
      </c>
      <c r="W26" s="17" t="n">
        <v>5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B26" s="18">
        <f>AA26</f>
        <v/>
      </c>
    </row>
    <row r="27">
      <c r="A27" s="8" t="n">
        <v>15</v>
      </c>
      <c r="B27" t="inlineStr">
        <is>
          <t>João Pereira</t>
        </is>
      </c>
      <c r="C27" s="8" t="inlineStr">
        <is>
          <t>56749</t>
        </is>
      </c>
      <c r="D27" t="inlineStr">
        <is>
          <t>Quinta do Peru</t>
        </is>
      </c>
      <c r="E27" s="8" t="n">
        <v>19.6</v>
      </c>
      <c r="F27" s="17" t="n">
        <v>4</v>
      </c>
      <c r="G27" s="17" t="n">
        <v>5</v>
      </c>
      <c r="H27" s="17" t="n">
        <v>5</v>
      </c>
      <c r="I27" s="17" t="n">
        <v>6</v>
      </c>
      <c r="J27" s="17" t="n">
        <v>7</v>
      </c>
      <c r="K27" s="17" t="n">
        <v>7</v>
      </c>
      <c r="L27" s="17" t="n">
        <v>5</v>
      </c>
      <c r="M27" s="17" t="n">
        <v>5</v>
      </c>
      <c r="N27" s="17" t="n">
        <v>4</v>
      </c>
      <c r="O27" s="17" t="n">
        <v>7</v>
      </c>
      <c r="P27" s="17" t="n">
        <v>2</v>
      </c>
      <c r="Q27" s="17" t="n">
        <v>6</v>
      </c>
      <c r="R27" s="17" t="n">
        <v>4</v>
      </c>
      <c r="S27" s="17" t="n">
        <v>5</v>
      </c>
      <c r="T27" s="17" t="n">
        <v>5</v>
      </c>
      <c r="U27" s="17" t="n">
        <v>6</v>
      </c>
      <c r="V27" s="17" t="n">
        <v>4</v>
      </c>
      <c r="W27" s="17" t="n">
        <v>5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8">
        <f>AA27</f>
        <v/>
      </c>
    </row>
    <row r="28">
      <c r="A28" s="8" t="n">
        <v>16</v>
      </c>
      <c r="B28" t="inlineStr">
        <is>
          <t>Tomás Valadão</t>
        </is>
      </c>
      <c r="C28" s="8" t="inlineStr">
        <is>
          <t>36625</t>
        </is>
      </c>
      <c r="D28" t="inlineStr">
        <is>
          <t>Ilha Terceira</t>
        </is>
      </c>
      <c r="E28" s="8" t="n">
        <v>15.6</v>
      </c>
      <c r="F28" s="17" t="n">
        <v>6</v>
      </c>
      <c r="G28" s="17" t="n">
        <v>7</v>
      </c>
      <c r="H28" s="17" t="n">
        <v>6</v>
      </c>
      <c r="I28" s="17" t="n">
        <v>5</v>
      </c>
      <c r="J28" s="17" t="n">
        <v>5</v>
      </c>
      <c r="K28" s="17" t="n">
        <v>4</v>
      </c>
      <c r="L28" s="17" t="n">
        <v>6</v>
      </c>
      <c r="M28" s="17" t="n">
        <v>3</v>
      </c>
      <c r="N28" s="17" t="n">
        <v>6</v>
      </c>
      <c r="O28" s="17" t="n">
        <v>5</v>
      </c>
      <c r="P28" s="17" t="n">
        <v>3</v>
      </c>
      <c r="Q28" s="17" t="n">
        <v>6</v>
      </c>
      <c r="R28" s="17" t="n">
        <v>6</v>
      </c>
      <c r="S28" s="17" t="n">
        <v>4</v>
      </c>
      <c r="T28" s="17" t="n">
        <v>6</v>
      </c>
      <c r="U28" s="17" t="n">
        <v>6</v>
      </c>
      <c r="V28" s="17" t="n">
        <v>3</v>
      </c>
      <c r="W28" s="17" t="n">
        <v>6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8">
        <f>AA28</f>
        <v/>
      </c>
    </row>
    <row r="29">
      <c r="A29" s="8" t="n">
        <v>17</v>
      </c>
      <c r="B29" t="inlineStr">
        <is>
          <t>João Lucas Fagundes</t>
        </is>
      </c>
      <c r="C29" s="8" t="inlineStr">
        <is>
          <t>44677</t>
        </is>
      </c>
      <c r="D29" t="inlineStr">
        <is>
          <t>Ilha Terceira</t>
        </is>
      </c>
      <c r="E29" s="8" t="n">
        <v>17.2</v>
      </c>
      <c r="F29" s="17" t="n">
        <v>6</v>
      </c>
      <c r="G29" s="17" t="n">
        <v>5</v>
      </c>
      <c r="H29" s="17" t="n">
        <v>4</v>
      </c>
      <c r="I29" s="17" t="n">
        <v>6</v>
      </c>
      <c r="J29" s="17" t="n">
        <v>5</v>
      </c>
      <c r="K29" s="17" t="n">
        <v>7</v>
      </c>
      <c r="L29" s="17" t="n">
        <v>4</v>
      </c>
      <c r="M29" s="17" t="n">
        <v>5</v>
      </c>
      <c r="N29" s="17" t="n">
        <v>5</v>
      </c>
      <c r="O29" s="17" t="n">
        <v>4</v>
      </c>
      <c r="P29" s="17" t="n">
        <v>6</v>
      </c>
      <c r="Q29" s="17" t="n">
        <v>7</v>
      </c>
      <c r="R29" s="17" t="n">
        <v>4</v>
      </c>
      <c r="S29" s="17" t="n">
        <v>4</v>
      </c>
      <c r="T29" s="17" t="n">
        <v>3</v>
      </c>
      <c r="U29" s="17" t="n">
        <v>6</v>
      </c>
      <c r="V29" s="17" t="n">
        <v>5</v>
      </c>
      <c r="W29" s="17" t="n">
        <v>7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8">
        <f>AA29</f>
        <v/>
      </c>
    </row>
    <row r="30">
      <c r="A30" s="8" t="n">
        <v>18</v>
      </c>
      <c r="B30" t="inlineStr">
        <is>
          <t>Afonso Sousa</t>
        </is>
      </c>
      <c r="C30" s="8" t="inlineStr">
        <is>
          <t>55301</t>
        </is>
      </c>
      <c r="D30" t="inlineStr">
        <is>
          <t>Ilha Terceira</t>
        </is>
      </c>
      <c r="E30" s="8" t="n">
        <v>22.6</v>
      </c>
      <c r="F30" s="17" t="n">
        <v>5</v>
      </c>
      <c r="G30" s="17" t="n">
        <v>5</v>
      </c>
      <c r="H30" s="17" t="n">
        <v>3</v>
      </c>
      <c r="I30" s="17" t="n">
        <v>8</v>
      </c>
      <c r="J30" s="17" t="n">
        <v>6</v>
      </c>
      <c r="K30" s="17" t="n">
        <v>4</v>
      </c>
      <c r="L30" s="17" t="n">
        <v>5</v>
      </c>
      <c r="M30" s="17" t="n">
        <v>5</v>
      </c>
      <c r="N30" s="17" t="n">
        <v>4</v>
      </c>
      <c r="O30" s="17" t="n">
        <v>5</v>
      </c>
      <c r="P30" s="17" t="n">
        <v>3</v>
      </c>
      <c r="Q30" s="17" t="n">
        <v>5</v>
      </c>
      <c r="R30" s="17" t="n">
        <v>5</v>
      </c>
      <c r="S30" s="17" t="n">
        <v>5</v>
      </c>
      <c r="T30" s="17" t="n">
        <v>6</v>
      </c>
      <c r="U30" s="17" t="n">
        <v>10</v>
      </c>
      <c r="V30" s="17" t="n">
        <v>4</v>
      </c>
      <c r="W30" s="17" t="n">
        <v>6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8">
        <f>AA30</f>
        <v/>
      </c>
    </row>
    <row r="31">
      <c r="A31" s="8" t="n">
        <v>19</v>
      </c>
      <c r="B31" t="inlineStr">
        <is>
          <t>Ana Bianchi</t>
        </is>
      </c>
      <c r="C31" s="8" t="inlineStr">
        <is>
          <t>36861</t>
        </is>
      </c>
      <c r="D31" t="inlineStr">
        <is>
          <t>Lisbon SC</t>
        </is>
      </c>
      <c r="E31" s="8" t="n">
        <v>14.6</v>
      </c>
      <c r="F31" s="17" t="n">
        <v>3</v>
      </c>
      <c r="G31" s="17" t="n">
        <v>5</v>
      </c>
      <c r="H31" s="17" t="n">
        <v>7</v>
      </c>
      <c r="I31" s="17" t="n">
        <v>5</v>
      </c>
      <c r="J31" s="17" t="n">
        <v>7</v>
      </c>
      <c r="K31" s="17" t="n">
        <v>6</v>
      </c>
      <c r="L31" s="17" t="n">
        <v>5</v>
      </c>
      <c r="M31" s="17" t="n">
        <v>4</v>
      </c>
      <c r="N31" s="17" t="n">
        <v>5</v>
      </c>
      <c r="O31" s="17" t="n">
        <v>4</v>
      </c>
      <c r="P31" s="17" t="n">
        <v>3</v>
      </c>
      <c r="Q31" s="17" t="n">
        <v>6</v>
      </c>
      <c r="R31" s="17" t="n">
        <v>5</v>
      </c>
      <c r="S31" s="17" t="n">
        <v>5</v>
      </c>
      <c r="T31" s="17" t="n">
        <v>6</v>
      </c>
      <c r="U31" s="17" t="n">
        <v>7</v>
      </c>
      <c r="V31" s="17" t="n">
        <v>3</v>
      </c>
      <c r="W31" s="17" t="n">
        <v>9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8">
        <f>AA31</f>
        <v/>
      </c>
    </row>
    <row r="32">
      <c r="A32" s="8" t="n">
        <v>20</v>
      </c>
      <c r="B32" t="inlineStr">
        <is>
          <t>Alfie Kelley</t>
        </is>
      </c>
      <c r="C32" s="8" t="inlineStr">
        <is>
          <t>58043</t>
        </is>
      </c>
      <c r="D32" t="inlineStr">
        <is>
          <t>Belas</t>
        </is>
      </c>
      <c r="E32" s="8" t="n">
        <v>18.7</v>
      </c>
      <c r="F32" s="17" t="n">
        <v>6</v>
      </c>
      <c r="G32" s="17" t="n">
        <v>4</v>
      </c>
      <c r="H32" s="17" t="n">
        <v>6</v>
      </c>
      <c r="I32" s="17" t="n">
        <v>6</v>
      </c>
      <c r="J32" s="17" t="n">
        <v>4</v>
      </c>
      <c r="K32" s="17" t="n">
        <v>7</v>
      </c>
      <c r="L32" s="17" t="n">
        <v>7</v>
      </c>
      <c r="M32" s="17" t="n">
        <v>4</v>
      </c>
      <c r="N32" s="17" t="n">
        <v>4</v>
      </c>
      <c r="O32" s="17" t="n">
        <v>6</v>
      </c>
      <c r="P32" s="17" t="n">
        <v>2</v>
      </c>
      <c r="Q32" s="17" t="n">
        <v>5</v>
      </c>
      <c r="R32" s="17" t="n">
        <v>5</v>
      </c>
      <c r="S32" s="17" t="n">
        <v>8</v>
      </c>
      <c r="T32" s="17" t="n">
        <v>6</v>
      </c>
      <c r="U32" s="17" t="n">
        <v>8</v>
      </c>
      <c r="V32" s="17" t="n">
        <v>4</v>
      </c>
      <c r="W32" s="17" t="n">
        <v>6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8">
        <f>AA32</f>
        <v/>
      </c>
    </row>
    <row r="33">
      <c r="A33" s="8" t="n">
        <v>21</v>
      </c>
      <c r="B33" t="inlineStr">
        <is>
          <t>João Pedro Quadros</t>
        </is>
      </c>
      <c r="C33" s="8" t="inlineStr">
        <is>
          <t>45009</t>
        </is>
      </c>
      <c r="D33" t="inlineStr">
        <is>
          <t>Ilha Terceira</t>
        </is>
      </c>
      <c r="E33" s="8" t="n">
        <v>18.6</v>
      </c>
      <c r="F33" s="17" t="n">
        <v>4</v>
      </c>
      <c r="G33" s="17" t="n">
        <v>6</v>
      </c>
      <c r="H33" s="17" t="n">
        <v>4</v>
      </c>
      <c r="I33" s="17" t="n">
        <v>7</v>
      </c>
      <c r="J33" s="17" t="n">
        <v>5</v>
      </c>
      <c r="K33" s="17" t="n">
        <v>4</v>
      </c>
      <c r="L33" s="17" t="n">
        <v>7</v>
      </c>
      <c r="M33" s="17" t="n">
        <v>4</v>
      </c>
      <c r="N33" s="17" t="n">
        <v>4</v>
      </c>
      <c r="O33" s="17" t="n">
        <v>5</v>
      </c>
      <c r="P33" s="17" t="n">
        <v>4</v>
      </c>
      <c r="Q33" s="17" t="n">
        <v>8</v>
      </c>
      <c r="R33" s="17" t="n">
        <v>5</v>
      </c>
      <c r="S33" s="17" t="n">
        <v>5</v>
      </c>
      <c r="T33" s="17" t="n">
        <v>7</v>
      </c>
      <c r="U33" s="17" t="n">
        <v>7</v>
      </c>
      <c r="V33" s="17" t="n">
        <v>4</v>
      </c>
      <c r="W33" s="17" t="n">
        <v>8</v>
      </c>
      <c r="X33" s="8">
        <f>SUM(F33:W33)</f>
        <v/>
      </c>
      <c r="Y33" s="8">
        <f>Y11</f>
        <v/>
      </c>
      <c r="Z33" s="8">
        <f>X33-Y33</f>
        <v/>
      </c>
      <c r="AA33" s="8">
        <f>MAX(0,25-Z33)*1.0</f>
        <v/>
      </c>
      <c r="AB33" s="18">
        <f>AA33</f>
        <v/>
      </c>
    </row>
    <row r="34">
      <c r="A34" s="8" t="n">
        <v>22</v>
      </c>
      <c r="B34" t="inlineStr">
        <is>
          <t>Madalena Figueiredo</t>
        </is>
      </c>
      <c r="C34" s="8" t="inlineStr">
        <is>
          <t>52011</t>
        </is>
      </c>
      <c r="D34" t="inlineStr">
        <is>
          <t>Belas</t>
        </is>
      </c>
      <c r="E34" s="8" t="n">
        <v>8.800000000000001</v>
      </c>
      <c r="F34" s="17" t="n">
        <v>3</v>
      </c>
      <c r="G34" s="17" t="n">
        <v>5</v>
      </c>
      <c r="H34" s="17" t="n">
        <v>3</v>
      </c>
      <c r="I34" s="17" t="n">
        <v>6</v>
      </c>
      <c r="J34" s="17" t="n">
        <v>10</v>
      </c>
      <c r="K34" s="17" t="n">
        <v>6</v>
      </c>
      <c r="L34" s="17" t="n">
        <v>6</v>
      </c>
      <c r="M34" s="17" t="n">
        <v>5</v>
      </c>
      <c r="N34" s="17" t="n">
        <v>4</v>
      </c>
      <c r="O34" s="17" t="n">
        <v>5</v>
      </c>
      <c r="P34" s="17" t="n">
        <v>3</v>
      </c>
      <c r="Q34" s="17" t="n">
        <v>6</v>
      </c>
      <c r="R34" s="17" t="n">
        <v>6</v>
      </c>
      <c r="S34" s="17" t="n">
        <v>7</v>
      </c>
      <c r="T34" s="17" t="n">
        <v>6</v>
      </c>
      <c r="U34" s="17" t="n">
        <v>9</v>
      </c>
      <c r="V34" s="17" t="n">
        <v>5</v>
      </c>
      <c r="W34" s="17" t="n">
        <v>4</v>
      </c>
      <c r="X34" s="8">
        <f>SUM(F34:W34)</f>
        <v/>
      </c>
      <c r="Y34" s="8">
        <f>Y11</f>
        <v/>
      </c>
      <c r="Z34" s="8">
        <f>X34-Y34</f>
        <v/>
      </c>
      <c r="AA34" s="8">
        <f>MAX(0,25-Z34)*1.0</f>
        <v/>
      </c>
      <c r="AB34" s="18">
        <f>AA34</f>
        <v/>
      </c>
    </row>
    <row r="35">
      <c r="A35" s="8" t="n">
        <v>23</v>
      </c>
      <c r="B35" t="inlineStr">
        <is>
          <t>Miguel Maria Neves Ferreira</t>
        </is>
      </c>
      <c r="C35" s="8" t="inlineStr">
        <is>
          <t>57756</t>
        </is>
      </c>
      <c r="D35" t="inlineStr">
        <is>
          <t>Estoril</t>
        </is>
      </c>
      <c r="E35" s="8" t="n">
        <v>19.1</v>
      </c>
      <c r="F35" s="17" t="n">
        <v>3</v>
      </c>
      <c r="G35" s="17" t="n">
        <v>6</v>
      </c>
      <c r="H35" s="17" t="n">
        <v>3</v>
      </c>
      <c r="I35" s="17" t="n">
        <v>6</v>
      </c>
      <c r="J35" s="17" t="n">
        <v>7</v>
      </c>
      <c r="K35" s="17" t="n">
        <v>4</v>
      </c>
      <c r="L35" s="17" t="n">
        <v>6</v>
      </c>
      <c r="M35" s="17" t="n">
        <v>4</v>
      </c>
      <c r="N35" s="17" t="n">
        <v>7</v>
      </c>
      <c r="O35" s="17" t="n">
        <v>5</v>
      </c>
      <c r="P35" s="17" t="n">
        <v>3</v>
      </c>
      <c r="Q35" s="17" t="n">
        <v>8</v>
      </c>
      <c r="R35" s="17" t="n">
        <v>6</v>
      </c>
      <c r="S35" s="17" t="n">
        <v>9</v>
      </c>
      <c r="T35" s="17" t="n">
        <v>8</v>
      </c>
      <c r="U35" s="17" t="n">
        <v>7</v>
      </c>
      <c r="V35" s="17" t="n">
        <v>3</v>
      </c>
      <c r="W35" s="17" t="n">
        <v>5</v>
      </c>
      <c r="X35" s="8">
        <f>SUM(F35:W35)</f>
        <v/>
      </c>
      <c r="Y35" s="8">
        <f>Y11</f>
        <v/>
      </c>
      <c r="Z35" s="8">
        <f>X35-Y35</f>
        <v/>
      </c>
      <c r="AA35" s="8">
        <f>MAX(0,25-Z35)*1.0</f>
        <v/>
      </c>
      <c r="AB35" s="18">
        <f>AA35</f>
        <v/>
      </c>
    </row>
    <row r="36">
      <c r="A36" s="8" t="n">
        <v>24</v>
      </c>
      <c r="B36" t="inlineStr">
        <is>
          <t>Tomás Valério</t>
        </is>
      </c>
      <c r="C36" s="8" t="inlineStr">
        <is>
          <t>50011</t>
        </is>
      </c>
      <c r="D36" t="inlineStr">
        <is>
          <t>Vilamoura, C. G</t>
        </is>
      </c>
      <c r="E36" s="8" t="n">
        <v>26</v>
      </c>
      <c r="F36" s="17" t="n">
        <v>5</v>
      </c>
      <c r="G36" s="17" t="n">
        <v>6</v>
      </c>
      <c r="H36" s="17" t="n">
        <v>5</v>
      </c>
      <c r="I36" s="17" t="n">
        <v>6</v>
      </c>
      <c r="J36" s="17" t="n">
        <v>7</v>
      </c>
      <c r="K36" s="17" t="n">
        <v>5</v>
      </c>
      <c r="L36" s="17" t="n">
        <v>6</v>
      </c>
      <c r="M36" s="17" t="n">
        <v>4</v>
      </c>
      <c r="N36" s="17" t="n">
        <v>6</v>
      </c>
      <c r="O36" s="17" t="n">
        <v>6</v>
      </c>
      <c r="P36" s="17" t="n">
        <v>3</v>
      </c>
      <c r="Q36" s="17" t="n">
        <v>7</v>
      </c>
      <c r="R36" s="17" t="n">
        <v>6</v>
      </c>
      <c r="S36" s="17" t="n">
        <v>5</v>
      </c>
      <c r="T36" s="17" t="n">
        <v>5</v>
      </c>
      <c r="U36" s="17" t="n">
        <v>9</v>
      </c>
      <c r="V36" s="17" t="n">
        <v>4</v>
      </c>
      <c r="W36" s="17" t="n">
        <v>7</v>
      </c>
      <c r="X36" s="8">
        <f>SUM(F36:W36)</f>
        <v/>
      </c>
      <c r="Y36" s="8">
        <f>Y11</f>
        <v/>
      </c>
      <c r="Z36" s="8">
        <f>X36-Y36</f>
        <v/>
      </c>
      <c r="AA36" s="8">
        <f>MAX(0,25-Z36)*1.0</f>
        <v/>
      </c>
      <c r="AB36" s="18">
        <f>AA36</f>
        <v/>
      </c>
    </row>
    <row r="37">
      <c r="A37" s="8" t="n">
        <v>25</v>
      </c>
      <c r="B37" t="inlineStr">
        <is>
          <t>Clara Trindade</t>
        </is>
      </c>
      <c r="C37" s="8" t="inlineStr">
        <is>
          <t>45812</t>
        </is>
      </c>
      <c r="D37" t="inlineStr">
        <is>
          <t>Belas</t>
        </is>
      </c>
      <c r="E37" s="8" t="n">
        <v>7.2</v>
      </c>
      <c r="F37" s="17" t="n">
        <v>5</v>
      </c>
      <c r="G37" s="17" t="n">
        <v>6</v>
      </c>
      <c r="H37" s="17" t="n">
        <v>5</v>
      </c>
      <c r="I37" s="17" t="n">
        <v>4</v>
      </c>
      <c r="J37" s="17" t="n">
        <v>8</v>
      </c>
      <c r="K37" s="17" t="n">
        <v>7</v>
      </c>
      <c r="L37" s="17" t="n">
        <v>5</v>
      </c>
      <c r="M37" s="17" t="n">
        <v>3</v>
      </c>
      <c r="N37" s="17" t="n">
        <v>4</v>
      </c>
      <c r="O37" s="17" t="n">
        <v>4</v>
      </c>
      <c r="P37" s="17" t="n">
        <v>4</v>
      </c>
      <c r="Q37" s="17" t="n">
        <v>6</v>
      </c>
      <c r="R37" s="17" t="n">
        <v>5</v>
      </c>
      <c r="S37" s="17" t="n">
        <v>7</v>
      </c>
      <c r="T37" s="17" t="n">
        <v>6</v>
      </c>
      <c r="U37" s="17" t="n">
        <v>7</v>
      </c>
      <c r="V37" s="17" t="n">
        <v>6</v>
      </c>
      <c r="W37" s="17" t="n">
        <v>10</v>
      </c>
      <c r="X37" s="8">
        <f>SUM(F37:W37)</f>
        <v/>
      </c>
      <c r="Y37" s="8">
        <f>Y11</f>
        <v/>
      </c>
      <c r="Z37" s="8">
        <f>X37-Y37</f>
        <v/>
      </c>
      <c r="AA37" s="8">
        <f>MAX(0,25-Z37)*1.0</f>
        <v/>
      </c>
      <c r="AB37" s="18">
        <f>AA37</f>
        <v/>
      </c>
    </row>
    <row r="38">
      <c r="A38" s="8" t="n">
        <v>26</v>
      </c>
      <c r="B38" t="inlineStr">
        <is>
          <t>Rafael Ourique Azevedo</t>
        </is>
      </c>
      <c r="C38" s="8" t="inlineStr">
        <is>
          <t>44018</t>
        </is>
      </c>
      <c r="D38" t="inlineStr">
        <is>
          <t>Ilha Terceira</t>
        </is>
      </c>
      <c r="E38" s="8" t="n">
        <v>23.7</v>
      </c>
      <c r="F38" s="17" t="n">
        <v>7</v>
      </c>
      <c r="G38" s="17" t="n">
        <v>8</v>
      </c>
      <c r="H38" s="17" t="n">
        <v>3</v>
      </c>
      <c r="I38" s="17" t="n">
        <v>10</v>
      </c>
      <c r="J38" s="17" t="n">
        <v>6</v>
      </c>
      <c r="K38" s="17" t="n">
        <v>6</v>
      </c>
      <c r="L38" s="17" t="n">
        <v>7</v>
      </c>
      <c r="M38" s="17" t="n">
        <v>6</v>
      </c>
      <c r="N38" s="17" t="n">
        <v>5</v>
      </c>
      <c r="O38" s="17" t="n">
        <v>7</v>
      </c>
      <c r="P38" s="17" t="n">
        <v>7</v>
      </c>
      <c r="Q38" s="17" t="n">
        <v>7</v>
      </c>
      <c r="R38" s="17" t="n">
        <v>6</v>
      </c>
      <c r="S38" s="17" t="n">
        <v>5</v>
      </c>
      <c r="T38" s="17" t="n">
        <v>6</v>
      </c>
      <c r="U38" s="17" t="n">
        <v>7</v>
      </c>
      <c r="V38" s="17" t="n">
        <v>4</v>
      </c>
      <c r="W38" s="17" t="n">
        <v>5</v>
      </c>
      <c r="X38" s="8">
        <f>SUM(F38:W38)</f>
        <v/>
      </c>
      <c r="Y38" s="8">
        <f>Y11</f>
        <v/>
      </c>
      <c r="Z38" s="8">
        <f>X38-Y38</f>
        <v/>
      </c>
      <c r="AA38" s="8">
        <f>MAX(0,25-Z38)*1.0</f>
        <v/>
      </c>
      <c r="AB38" s="18">
        <f>AA38</f>
        <v/>
      </c>
    </row>
    <row r="39">
      <c r="A39" s="8" t="inlineStr">
        <is>
          <t>ND</t>
        </is>
      </c>
      <c r="B39" t="inlineStr">
        <is>
          <t>Ruiqi Li</t>
        </is>
      </c>
      <c r="C39" s="8" t="inlineStr">
        <is>
          <t>49076</t>
        </is>
      </c>
      <c r="D39" t="inlineStr">
        <is>
          <t>Estoril</t>
        </is>
      </c>
      <c r="E39" s="8" t="n">
        <v>3.7</v>
      </c>
      <c r="AA39" s="8" t="n">
        <v>0</v>
      </c>
      <c r="AB39" s="18">
        <f>AA39</f>
        <v/>
      </c>
    </row>
    <row r="40">
      <c r="A40" s="8" t="inlineStr">
        <is>
          <t>RET</t>
        </is>
      </c>
      <c r="B40" t="inlineStr">
        <is>
          <t>Francisca Vilela</t>
        </is>
      </c>
      <c r="C40" s="8" t="inlineStr">
        <is>
          <t>36700</t>
        </is>
      </c>
      <c r="D40" t="inlineStr">
        <is>
          <t>Lisbon SC</t>
        </is>
      </c>
      <c r="E40" s="8" t="n">
        <v>17.8</v>
      </c>
      <c r="F40" s="17" t="n">
        <v>7</v>
      </c>
      <c r="G40" s="17" t="n">
        <v>8</v>
      </c>
      <c r="H40" s="17" t="n">
        <v>4</v>
      </c>
      <c r="I40" s="17" t="n">
        <v>5</v>
      </c>
      <c r="J40" s="17" t="n">
        <v>6</v>
      </c>
      <c r="K40" s="17" t="n">
        <v>6</v>
      </c>
      <c r="L40" s="17" t="n">
        <v>8</v>
      </c>
      <c r="M40" s="17" t="n">
        <v>4</v>
      </c>
      <c r="N40" s="17" t="n">
        <v>5</v>
      </c>
      <c r="O40" s="17" t="n">
        <v>5</v>
      </c>
      <c r="P40" s="17" t="n">
        <v>4</v>
      </c>
      <c r="Q40" s="17" t="n">
        <v>6</v>
      </c>
      <c r="R40" s="17" t="n">
        <v>3</v>
      </c>
      <c r="S40" s="17" t="n">
        <v>10</v>
      </c>
      <c r="T40" s="17" t="n">
        <v>5</v>
      </c>
      <c r="U40" s="17" t="n">
        <v>10</v>
      </c>
      <c r="V40" s="17" t="n">
        <v>4</v>
      </c>
      <c r="W40" s="17" t="n">
        <v>5</v>
      </c>
      <c r="X40" s="8">
        <f>SUM(F40:W40)</f>
        <v/>
      </c>
      <c r="Y40" s="8">
        <f>Y11</f>
        <v/>
      </c>
      <c r="Z40" s="8">
        <f>X40-Y40</f>
        <v/>
      </c>
      <c r="AA40" s="8">
        <f>MAX(0,25-Z40)*1.0</f>
        <v/>
      </c>
      <c r="AB40" s="18">
        <f>AA40</f>
        <v/>
      </c>
    </row>
    <row r="41">
      <c r="A41" s="8" t="inlineStr">
        <is>
          <t>RET</t>
        </is>
      </c>
      <c r="B41" t="inlineStr">
        <is>
          <t>Diogo Sequeira</t>
        </is>
      </c>
      <c r="C41" s="8" t="inlineStr">
        <is>
          <t>56654</t>
        </is>
      </c>
      <c r="D41" t="inlineStr">
        <is>
          <t>Quinta do Peru</t>
        </is>
      </c>
      <c r="E41" s="8" t="n">
        <v>4.5</v>
      </c>
      <c r="F41" s="17" t="n">
        <v>6</v>
      </c>
      <c r="G41" s="17" t="n">
        <v>4</v>
      </c>
      <c r="H41" s="17" t="n">
        <v>5</v>
      </c>
      <c r="I41" s="17" t="n">
        <v>6</v>
      </c>
      <c r="J41" s="17" t="n">
        <v>7</v>
      </c>
      <c r="K41" s="17" t="n">
        <v>4</v>
      </c>
      <c r="L41" s="17" t="n">
        <v>5</v>
      </c>
      <c r="M41" s="17" t="n">
        <v>6</v>
      </c>
      <c r="N41" s="17" t="n">
        <v>4</v>
      </c>
      <c r="O41" s="17" t="n">
        <v>6</v>
      </c>
      <c r="P41" s="17" t="n">
        <v>4</v>
      </c>
      <c r="Q41" s="17" t="n">
        <v>8</v>
      </c>
      <c r="R41" s="17" t="n">
        <v>5</v>
      </c>
      <c r="S41" s="17" t="n">
        <v>7</v>
      </c>
      <c r="T41" s="17" t="n">
        <v>4</v>
      </c>
      <c r="U41" s="17" t="n">
        <v>6</v>
      </c>
      <c r="V41" s="17" t="n">
        <v>3</v>
      </c>
      <c r="W41" s="17" t="n">
        <v>5</v>
      </c>
      <c r="X41" s="8">
        <f>SUM(F41:W41)</f>
        <v/>
      </c>
      <c r="Y41" s="8">
        <f>Y11</f>
        <v/>
      </c>
      <c r="Z41" s="8">
        <f>X41-Y41</f>
        <v/>
      </c>
      <c r="AA41" s="8">
        <f>MAX(0,25-Z41)*1.0</f>
        <v/>
      </c>
      <c r="AB41" s="18">
        <f>AA41</f>
        <v/>
      </c>
    </row>
  </sheetData>
  <mergeCells count="1">
    <mergeCell ref="A1:H1"/>
  </mergeCells>
  <conditionalFormatting sqref="F13:F41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41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41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41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41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41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41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41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41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41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41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41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41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41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41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41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41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41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33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8" customWidth="1" min="24" max="24"/>
    <col width="6" customWidth="1" min="25" max="25"/>
    <col width="8" customWidth="1" min="26" max="26"/>
    <col width="8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8" customWidth="1" min="46" max="46"/>
    <col width="6" customWidth="1" min="47" max="47"/>
    <col width="8" customWidth="1" min="48" max="48"/>
    <col width="8" customWidth="1" min="49" max="49"/>
    <col width="12" customWidth="1" min="50" max="50"/>
  </cols>
  <sheetData>
    <row r="1" ht="22" customHeight="1">
      <c r="A1" s="1" t="inlineStr">
        <is>
          <t>PJA Aroeira Masters 2026</t>
        </is>
      </c>
    </row>
    <row r="2">
      <c r="A2" s="10" t="inlineStr">
        <is>
          <t>Data:</t>
        </is>
      </c>
      <c r="B2" t="inlineStr">
        <is>
          <t>2026-04-24</t>
        </is>
      </c>
    </row>
    <row r="3">
      <c r="A3" s="10" t="inlineStr">
        <is>
          <t>Campo:</t>
        </is>
      </c>
      <c r="B3" t="inlineStr">
        <is>
          <t>PGA Aroeira No.2</t>
        </is>
      </c>
    </row>
    <row r="4">
      <c r="A4" s="10" t="inlineStr">
        <is>
          <t>ccode/tcode:</t>
        </is>
      </c>
      <c r="B4" t="inlineStr">
        <is>
          <t>029/10543</t>
        </is>
      </c>
    </row>
    <row r="5">
      <c r="A5" s="10" t="inlineStr">
        <is>
          <t>Link FPG:</t>
        </is>
      </c>
      <c r="B5" s="11" t="inlineStr">
        <is>
          <t>https://scoring.datagolf.pt/pt/Classifications.aspx?ccode=029&amp;tcode=10543</t>
        </is>
      </c>
    </row>
    <row r="6">
      <c r="A6" s="10" t="inlineStr">
        <is>
          <t>Multiplicador:</t>
        </is>
      </c>
      <c r="B6" t="n">
        <v>1</v>
      </c>
    </row>
    <row r="7">
      <c r="A7" s="10" t="inlineStr">
        <is>
          <t>Tipo:</t>
        </is>
      </c>
      <c r="B7" t="inlineStr">
        <is>
          <t>PJA</t>
        </is>
      </c>
    </row>
    <row r="8">
      <c r="A8" s="10" t="n"/>
    </row>
    <row r="10" ht="28" customHeight="1">
      <c r="A10" s="12" t="inlineStr">
        <is>
          <t>Pos</t>
        </is>
      </c>
      <c r="B10" s="12" t="inlineStr">
        <is>
          <t>Nome</t>
        </is>
      </c>
      <c r="C10" s="12" t="inlineStr">
        <is>
          <t>FedCode</t>
        </is>
      </c>
      <c r="D10" s="12" t="inlineStr">
        <is>
          <t>Clube</t>
        </is>
      </c>
      <c r="E10" s="12" t="inlineStr">
        <is>
          <t>HCP</t>
        </is>
      </c>
      <c r="F10" s="12" t="inlineStr">
        <is>
          <t>R1 h1</t>
        </is>
      </c>
      <c r="G10" s="12" t="inlineStr">
        <is>
          <t>h2</t>
        </is>
      </c>
      <c r="H10" s="12" t="inlineStr">
        <is>
          <t>h3</t>
        </is>
      </c>
      <c r="I10" s="12" t="inlineStr">
        <is>
          <t>h4</t>
        </is>
      </c>
      <c r="J10" s="12" t="inlineStr">
        <is>
          <t>h5</t>
        </is>
      </c>
      <c r="K10" s="12" t="inlineStr">
        <is>
          <t>h6</t>
        </is>
      </c>
      <c r="L10" s="12" t="inlineStr">
        <is>
          <t>h7</t>
        </is>
      </c>
      <c r="M10" s="12" t="inlineStr">
        <is>
          <t>h8</t>
        </is>
      </c>
      <c r="N10" s="12" t="inlineStr">
        <is>
          <t>h9</t>
        </is>
      </c>
      <c r="O10" s="12" t="inlineStr">
        <is>
          <t>h10</t>
        </is>
      </c>
      <c r="P10" s="12" t="inlineStr">
        <is>
          <t>h11</t>
        </is>
      </c>
      <c r="Q10" s="12" t="inlineStr">
        <is>
          <t>h12</t>
        </is>
      </c>
      <c r="R10" s="12" t="inlineStr">
        <is>
          <t>h13</t>
        </is>
      </c>
      <c r="S10" s="12" t="inlineStr">
        <is>
          <t>h14</t>
        </is>
      </c>
      <c r="T10" s="12" t="inlineStr">
        <is>
          <t>h15</t>
        </is>
      </c>
      <c r="U10" s="12" t="inlineStr">
        <is>
          <t>h16</t>
        </is>
      </c>
      <c r="V10" s="12" t="inlineStr">
        <is>
          <t>h17</t>
        </is>
      </c>
      <c r="W10" s="12" t="inlineStr">
        <is>
          <t>h18</t>
        </is>
      </c>
      <c r="X10" s="12" t="inlineStr">
        <is>
          <t>R1 Gross</t>
        </is>
      </c>
      <c r="Y10" s="12" t="inlineStr">
        <is>
          <t>R1 Par</t>
        </is>
      </c>
      <c r="Z10" s="12" t="inlineStr">
        <is>
          <t>R1 ToPar</t>
        </is>
      </c>
      <c r="AA10" s="12" t="inlineStr">
        <is>
          <t>R1 Pts</t>
        </is>
      </c>
      <c r="AB10" s="12" t="inlineStr">
        <is>
          <t>R2 h1</t>
        </is>
      </c>
      <c r="AC10" s="12" t="inlineStr">
        <is>
          <t>h2</t>
        </is>
      </c>
      <c r="AD10" s="12" t="inlineStr">
        <is>
          <t>h3</t>
        </is>
      </c>
      <c r="AE10" s="12" t="inlineStr">
        <is>
          <t>h4</t>
        </is>
      </c>
      <c r="AF10" s="12" t="inlineStr">
        <is>
          <t>h5</t>
        </is>
      </c>
      <c r="AG10" s="12" t="inlineStr">
        <is>
          <t>h6</t>
        </is>
      </c>
      <c r="AH10" s="12" t="inlineStr">
        <is>
          <t>h7</t>
        </is>
      </c>
      <c r="AI10" s="12" t="inlineStr">
        <is>
          <t>h8</t>
        </is>
      </c>
      <c r="AJ10" s="12" t="inlineStr">
        <is>
          <t>h9</t>
        </is>
      </c>
      <c r="AK10" s="12" t="inlineStr">
        <is>
          <t>h10</t>
        </is>
      </c>
      <c r="AL10" s="12" t="inlineStr">
        <is>
          <t>h11</t>
        </is>
      </c>
      <c r="AM10" s="12" t="inlineStr">
        <is>
          <t>h12</t>
        </is>
      </c>
      <c r="AN10" s="12" t="inlineStr">
        <is>
          <t>h13</t>
        </is>
      </c>
      <c r="AO10" s="12" t="inlineStr">
        <is>
          <t>h14</t>
        </is>
      </c>
      <c r="AP10" s="12" t="inlineStr">
        <is>
          <t>h15</t>
        </is>
      </c>
      <c r="AQ10" s="12" t="inlineStr">
        <is>
          <t>h16</t>
        </is>
      </c>
      <c r="AR10" s="12" t="inlineStr">
        <is>
          <t>h17</t>
        </is>
      </c>
      <c r="AS10" s="12" t="inlineStr">
        <is>
          <t>h18</t>
        </is>
      </c>
      <c r="AT10" s="12" t="inlineStr">
        <is>
          <t>R2 Gross</t>
        </is>
      </c>
      <c r="AU10" s="12" t="inlineStr">
        <is>
          <t>R2 Par</t>
        </is>
      </c>
      <c r="AV10" s="12" t="inlineStr">
        <is>
          <t>R2 ToPar</t>
        </is>
      </c>
      <c r="AW10" s="12" t="inlineStr">
        <is>
          <t>R2 Pts</t>
        </is>
      </c>
      <c r="AX10" s="12" t="inlineStr">
        <is>
          <t>Total Pts</t>
        </is>
      </c>
    </row>
    <row r="11">
      <c r="A11" s="13" t="inlineStr">
        <is>
          <t>—Par—</t>
        </is>
      </c>
      <c r="F11" s="14" t="n">
        <v>4</v>
      </c>
      <c r="G11" s="14" t="n">
        <v>3</v>
      </c>
      <c r="H11" s="14" t="n">
        <v>4</v>
      </c>
      <c r="I11" s="14" t="n">
        <v>4</v>
      </c>
      <c r="J11" s="14" t="n">
        <v>4</v>
      </c>
      <c r="K11" s="14" t="n">
        <v>5</v>
      </c>
      <c r="L11" s="14" t="n">
        <v>4</v>
      </c>
      <c r="M11" s="14" t="n">
        <v>5</v>
      </c>
      <c r="N11" s="14" t="n">
        <v>4</v>
      </c>
      <c r="O11" s="14" t="n">
        <v>5</v>
      </c>
      <c r="P11" s="14" t="n">
        <v>3</v>
      </c>
      <c r="Q11" s="14" t="n">
        <v>4</v>
      </c>
      <c r="R11" s="14" t="n">
        <v>4</v>
      </c>
      <c r="S11" s="14" t="n">
        <v>3</v>
      </c>
      <c r="T11" s="14" t="n">
        <v>4</v>
      </c>
      <c r="U11" s="14" t="n">
        <v>4</v>
      </c>
      <c r="V11" s="14" t="n">
        <v>5</v>
      </c>
      <c r="W11" s="14" t="n">
        <v>3</v>
      </c>
      <c r="Y11" s="15">
        <f>SUM(F11:W11)</f>
        <v/>
      </c>
      <c r="AB11" s="14" t="n">
        <v>4</v>
      </c>
      <c r="AC11" s="14" t="n">
        <v>3</v>
      </c>
      <c r="AD11" s="14" t="n">
        <v>4</v>
      </c>
      <c r="AE11" s="14" t="n">
        <v>4</v>
      </c>
      <c r="AF11" s="14" t="n">
        <v>4</v>
      </c>
      <c r="AG11" s="14" t="n">
        <v>5</v>
      </c>
      <c r="AH11" s="14" t="n">
        <v>4</v>
      </c>
      <c r="AI11" s="14" t="n">
        <v>5</v>
      </c>
      <c r="AJ11" s="14" t="n">
        <v>4</v>
      </c>
      <c r="AK11" s="14" t="n">
        <v>5</v>
      </c>
      <c r="AL11" s="14" t="n">
        <v>3</v>
      </c>
      <c r="AM11" s="14" t="n">
        <v>4</v>
      </c>
      <c r="AN11" s="14" t="n">
        <v>4</v>
      </c>
      <c r="AO11" s="14" t="n">
        <v>3</v>
      </c>
      <c r="AP11" s="14" t="n">
        <v>4</v>
      </c>
      <c r="AQ11" s="14" t="n">
        <v>4</v>
      </c>
      <c r="AR11" s="14" t="n">
        <v>5</v>
      </c>
      <c r="AS11" s="14" t="n">
        <v>3</v>
      </c>
      <c r="AU11" s="15">
        <f>SUM(AB11:AS11)</f>
        <v/>
      </c>
    </row>
    <row r="12">
      <c r="A12" s="13" t="inlineStr">
        <is>
          <t>—SI—</t>
        </is>
      </c>
      <c r="F12" s="16" t="n">
        <v>16</v>
      </c>
      <c r="G12" s="16" t="n">
        <v>4</v>
      </c>
      <c r="H12" s="16" t="n">
        <v>18</v>
      </c>
      <c r="I12" s="16" t="n">
        <v>8</v>
      </c>
      <c r="J12" s="16" t="n">
        <v>2</v>
      </c>
      <c r="K12" s="16" t="n">
        <v>12</v>
      </c>
      <c r="L12" s="16" t="n">
        <v>11</v>
      </c>
      <c r="M12" s="16" t="n">
        <v>3</v>
      </c>
      <c r="N12" s="16" t="n">
        <v>15</v>
      </c>
      <c r="O12" s="16" t="n">
        <v>1</v>
      </c>
      <c r="P12" s="16" t="n">
        <v>13</v>
      </c>
      <c r="Q12" s="16" t="n">
        <v>7</v>
      </c>
      <c r="R12" s="16" t="n">
        <v>5</v>
      </c>
      <c r="S12" s="16" t="n">
        <v>17</v>
      </c>
      <c r="T12" s="16" t="n">
        <v>9</v>
      </c>
      <c r="U12" s="16" t="n">
        <v>10</v>
      </c>
      <c r="V12" s="16" t="n">
        <v>6</v>
      </c>
      <c r="W12" s="16" t="n">
        <v>14</v>
      </c>
      <c r="AB12" s="16" t="n">
        <v>16</v>
      </c>
      <c r="AC12" s="16" t="n">
        <v>4</v>
      </c>
      <c r="AD12" s="16" t="n">
        <v>18</v>
      </c>
      <c r="AE12" s="16" t="n">
        <v>8</v>
      </c>
      <c r="AF12" s="16" t="n">
        <v>2</v>
      </c>
      <c r="AG12" s="16" t="n">
        <v>12</v>
      </c>
      <c r="AH12" s="16" t="n">
        <v>11</v>
      </c>
      <c r="AI12" s="16" t="n">
        <v>3</v>
      </c>
      <c r="AJ12" s="16" t="n">
        <v>15</v>
      </c>
      <c r="AK12" s="16" t="n">
        <v>1</v>
      </c>
      <c r="AL12" s="16" t="n">
        <v>13</v>
      </c>
      <c r="AM12" s="16" t="n">
        <v>7</v>
      </c>
      <c r="AN12" s="16" t="n">
        <v>5</v>
      </c>
      <c r="AO12" s="16" t="n">
        <v>17</v>
      </c>
      <c r="AP12" s="16" t="n">
        <v>9</v>
      </c>
      <c r="AQ12" s="16" t="n">
        <v>10</v>
      </c>
      <c r="AR12" s="16" t="n">
        <v>6</v>
      </c>
      <c r="AS12" s="16" t="n">
        <v>14</v>
      </c>
    </row>
    <row r="13">
      <c r="A13" s="8" t="n">
        <v>1</v>
      </c>
      <c r="B13" t="inlineStr">
        <is>
          <t>Nuno Palmares Jr.</t>
        </is>
      </c>
      <c r="C13" s="8" t="inlineStr">
        <is>
          <t>49124</t>
        </is>
      </c>
      <c r="D13" t="inlineStr">
        <is>
          <t>Estoril</t>
        </is>
      </c>
      <c r="E13" s="8" t="n">
        <v>4</v>
      </c>
      <c r="F13" s="17" t="n">
        <v>4</v>
      </c>
      <c r="G13" s="17" t="n">
        <v>4</v>
      </c>
      <c r="H13" s="17" t="n">
        <v>3</v>
      </c>
      <c r="I13" s="17" t="n">
        <v>3</v>
      </c>
      <c r="J13" s="17" t="n">
        <v>5</v>
      </c>
      <c r="K13" s="17" t="n">
        <v>6</v>
      </c>
      <c r="L13" s="17" t="n">
        <v>4</v>
      </c>
      <c r="M13" s="17" t="n">
        <v>5</v>
      </c>
      <c r="N13" s="17" t="n">
        <v>3</v>
      </c>
      <c r="O13" s="17" t="n">
        <v>5</v>
      </c>
      <c r="P13" s="17" t="n">
        <v>3</v>
      </c>
      <c r="Q13" s="17" t="n">
        <v>4</v>
      </c>
      <c r="R13" s="17" t="n">
        <v>5</v>
      </c>
      <c r="S13" s="17" t="n">
        <v>2</v>
      </c>
      <c r="T13" s="17" t="n">
        <v>4</v>
      </c>
      <c r="U13" s="17" t="n">
        <v>4</v>
      </c>
      <c r="V13" s="17" t="n">
        <v>5</v>
      </c>
      <c r="W13" s="17" t="n">
        <v>3</v>
      </c>
      <c r="X13" s="8">
        <f>SUM(F13:W13)</f>
        <v/>
      </c>
      <c r="Y13" s="8">
        <f>Y11</f>
        <v/>
      </c>
      <c r="Z13" s="8">
        <f>X13-Y13</f>
        <v/>
      </c>
      <c r="AA13" s="8">
        <f>MAX(0,25-Z13)*1.0</f>
        <v/>
      </c>
      <c r="AB13" s="17" t="n">
        <v>4</v>
      </c>
      <c r="AC13" s="17" t="n">
        <v>3</v>
      </c>
      <c r="AD13" s="17" t="n">
        <v>4</v>
      </c>
      <c r="AE13" s="17" t="n">
        <v>3</v>
      </c>
      <c r="AF13" s="17" t="n">
        <v>5</v>
      </c>
      <c r="AG13" s="17" t="n">
        <v>4</v>
      </c>
      <c r="AH13" s="17" t="n">
        <v>3</v>
      </c>
      <c r="AI13" s="17" t="n">
        <v>6</v>
      </c>
      <c r="AJ13" s="17" t="n">
        <v>5</v>
      </c>
      <c r="AK13" s="17" t="n">
        <v>6</v>
      </c>
      <c r="AL13" s="17" t="n">
        <v>3</v>
      </c>
      <c r="AM13" s="17" t="n">
        <v>5</v>
      </c>
      <c r="AN13" s="17" t="n">
        <v>3</v>
      </c>
      <c r="AO13" s="17" t="n">
        <v>3</v>
      </c>
      <c r="AP13" s="17" t="n">
        <v>4</v>
      </c>
      <c r="AQ13" s="17" t="n">
        <v>5</v>
      </c>
      <c r="AR13" s="17" t="n">
        <v>5</v>
      </c>
      <c r="AS13" s="17" t="n">
        <v>3</v>
      </c>
      <c r="AT13" s="8">
        <f>SUM(AB13:AS13)</f>
        <v/>
      </c>
      <c r="AU13" s="8">
        <f>AU11</f>
        <v/>
      </c>
      <c r="AV13" s="8">
        <f>AT13-AU13</f>
        <v/>
      </c>
      <c r="AW13" s="8">
        <f>MAX(0,25-AV13)*1.0</f>
        <v/>
      </c>
      <c r="AX13" s="18">
        <f>AA13+AW13</f>
        <v/>
      </c>
    </row>
    <row r="14">
      <c r="A14" s="8" t="n">
        <v>2</v>
      </c>
      <c r="B14" t="inlineStr">
        <is>
          <t>Pedro Costa Alemão</t>
        </is>
      </c>
      <c r="C14" s="8" t="inlineStr">
        <is>
          <t>46706</t>
        </is>
      </c>
      <c r="D14" t="inlineStr">
        <is>
          <t>Estoril</t>
        </is>
      </c>
      <c r="E14" s="8" t="n">
        <v>5.7</v>
      </c>
      <c r="F14" s="17" t="n">
        <v>4</v>
      </c>
      <c r="G14" s="17" t="n">
        <v>4</v>
      </c>
      <c r="H14" s="17" t="n">
        <v>4</v>
      </c>
      <c r="I14" s="17" t="n">
        <v>6</v>
      </c>
      <c r="J14" s="17" t="n">
        <v>6</v>
      </c>
      <c r="K14" s="17" t="n">
        <v>6</v>
      </c>
      <c r="L14" s="17" t="n">
        <v>4</v>
      </c>
      <c r="M14" s="17" t="n">
        <v>5</v>
      </c>
      <c r="N14" s="17" t="n">
        <v>3</v>
      </c>
      <c r="O14" s="17" t="n">
        <v>5</v>
      </c>
      <c r="P14" s="17" t="n">
        <v>2</v>
      </c>
      <c r="Q14" s="17" t="n">
        <v>5</v>
      </c>
      <c r="R14" s="17" t="n">
        <v>2</v>
      </c>
      <c r="S14" s="17" t="n">
        <v>3</v>
      </c>
      <c r="T14" s="17" t="n">
        <v>4</v>
      </c>
      <c r="U14" s="17" t="n">
        <v>4</v>
      </c>
      <c r="V14" s="17" t="n">
        <v>5</v>
      </c>
      <c r="W14" s="17" t="n">
        <v>3</v>
      </c>
      <c r="X14" s="8">
        <f>SUM(F14:W14)</f>
        <v/>
      </c>
      <c r="Y14" s="8">
        <f>Y11</f>
        <v/>
      </c>
      <c r="Z14" s="8">
        <f>X14-Y14</f>
        <v/>
      </c>
      <c r="AA14" s="8">
        <f>MAX(0,25-Z14)*1.0</f>
        <v/>
      </c>
      <c r="AB14" s="17" t="n">
        <v>4</v>
      </c>
      <c r="AC14" s="17" t="n">
        <v>3</v>
      </c>
      <c r="AD14" s="17" t="n">
        <v>4</v>
      </c>
      <c r="AE14" s="17" t="n">
        <v>4</v>
      </c>
      <c r="AF14" s="17" t="n">
        <v>6</v>
      </c>
      <c r="AG14" s="17" t="n">
        <v>5</v>
      </c>
      <c r="AH14" s="17" t="n">
        <v>3</v>
      </c>
      <c r="AI14" s="17" t="n">
        <v>6</v>
      </c>
      <c r="AJ14" s="17" t="n">
        <v>4</v>
      </c>
      <c r="AK14" s="17" t="n">
        <v>5</v>
      </c>
      <c r="AL14" s="17" t="n">
        <v>3</v>
      </c>
      <c r="AM14" s="17" t="n">
        <v>6</v>
      </c>
      <c r="AN14" s="17" t="n">
        <v>4</v>
      </c>
      <c r="AO14" s="17" t="n">
        <v>3</v>
      </c>
      <c r="AP14" s="17" t="n">
        <v>4</v>
      </c>
      <c r="AQ14" s="17" t="n">
        <v>3</v>
      </c>
      <c r="AR14" s="17" t="n">
        <v>4</v>
      </c>
      <c r="AS14" s="17" t="n">
        <v>3</v>
      </c>
      <c r="AT14" s="8">
        <f>SUM(AB14:AS14)</f>
        <v/>
      </c>
      <c r="AU14" s="8">
        <f>AU11</f>
        <v/>
      </c>
      <c r="AV14" s="8">
        <f>AT14-AU14</f>
        <v/>
      </c>
      <c r="AW14" s="8">
        <f>MAX(0,25-AV14)*1.0</f>
        <v/>
      </c>
      <c r="AX14" s="18">
        <f>AA14+AW14</f>
        <v/>
      </c>
    </row>
    <row r="15">
      <c r="A15" s="8" t="n">
        <v>3</v>
      </c>
      <c r="B15" t="inlineStr">
        <is>
          <t>Guo Ziyang</t>
        </is>
      </c>
      <c r="C15" s="8" t="inlineStr">
        <is>
          <t>57904</t>
        </is>
      </c>
      <c r="D15" t="inlineStr">
        <is>
          <t>Estoril</t>
        </is>
      </c>
      <c r="E15" s="8" t="n">
        <v>11.6</v>
      </c>
      <c r="F15" s="17" t="n">
        <v>3</v>
      </c>
      <c r="G15" s="17" t="n">
        <v>4</v>
      </c>
      <c r="H15" s="17" t="n">
        <v>4</v>
      </c>
      <c r="I15" s="17" t="n">
        <v>4</v>
      </c>
      <c r="J15" s="17" t="n">
        <v>6</v>
      </c>
      <c r="K15" s="17" t="n">
        <v>5</v>
      </c>
      <c r="L15" s="17" t="n">
        <v>4</v>
      </c>
      <c r="M15" s="17" t="n">
        <v>4</v>
      </c>
      <c r="N15" s="17" t="n">
        <v>3</v>
      </c>
      <c r="O15" s="17" t="n">
        <v>6</v>
      </c>
      <c r="P15" s="17" t="n">
        <v>4</v>
      </c>
      <c r="Q15" s="17" t="n">
        <v>4</v>
      </c>
      <c r="R15" s="17" t="n">
        <v>4</v>
      </c>
      <c r="S15" s="17" t="n">
        <v>3</v>
      </c>
      <c r="T15" s="17" t="n">
        <v>5</v>
      </c>
      <c r="U15" s="17" t="n">
        <v>4</v>
      </c>
      <c r="V15" s="17" t="n">
        <v>6</v>
      </c>
      <c r="W15" s="17" t="n">
        <v>4</v>
      </c>
      <c r="X15" s="8">
        <f>SUM(F15:W15)</f>
        <v/>
      </c>
      <c r="Y15" s="8">
        <f>Y11</f>
        <v/>
      </c>
      <c r="Z15" s="8">
        <f>X15-Y15</f>
        <v/>
      </c>
      <c r="AA15" s="8">
        <f>MAX(0,25-Z15)*1.0</f>
        <v/>
      </c>
      <c r="AB15" s="17" t="n">
        <v>4</v>
      </c>
      <c r="AC15" s="17" t="n">
        <v>2</v>
      </c>
      <c r="AD15" s="17" t="n">
        <v>5</v>
      </c>
      <c r="AE15" s="17" t="n">
        <v>4</v>
      </c>
      <c r="AF15" s="17" t="n">
        <v>4</v>
      </c>
      <c r="AG15" s="17" t="n">
        <v>8</v>
      </c>
      <c r="AH15" s="17" t="n">
        <v>5</v>
      </c>
      <c r="AI15" s="17" t="n">
        <v>5</v>
      </c>
      <c r="AJ15" s="17" t="n">
        <v>5</v>
      </c>
      <c r="AK15" s="17" t="n">
        <v>6</v>
      </c>
      <c r="AL15" s="17" t="n">
        <v>4</v>
      </c>
      <c r="AM15" s="17" t="n">
        <v>5</v>
      </c>
      <c r="AN15" s="17" t="n">
        <v>4</v>
      </c>
      <c r="AO15" s="17" t="n">
        <v>3</v>
      </c>
      <c r="AP15" s="17" t="n">
        <v>5</v>
      </c>
      <c r="AQ15" s="17" t="n">
        <v>5</v>
      </c>
      <c r="AR15" s="17" t="n">
        <v>6</v>
      </c>
      <c r="AS15" s="17" t="n">
        <v>4</v>
      </c>
      <c r="AT15" s="8">
        <f>SUM(AB15:AS15)</f>
        <v/>
      </c>
      <c r="AU15" s="8">
        <f>AU11</f>
        <v/>
      </c>
      <c r="AV15" s="8">
        <f>AT15-AU15</f>
        <v/>
      </c>
      <c r="AW15" s="8">
        <f>MAX(0,25-AV15)*1.0</f>
        <v/>
      </c>
      <c r="AX15" s="18">
        <f>AA15+AW15</f>
        <v/>
      </c>
    </row>
    <row r="16">
      <c r="A16" s="8" t="n">
        <v>4</v>
      </c>
      <c r="B16" t="inlineStr">
        <is>
          <t>Ricardo Castro Ferreira</t>
        </is>
      </c>
      <c r="C16" s="8" t="inlineStr">
        <is>
          <t>49085</t>
        </is>
      </c>
      <c r="D16" t="inlineStr">
        <is>
          <t>Estoril</t>
        </is>
      </c>
      <c r="E16" s="8" t="n">
        <v>6.8</v>
      </c>
      <c r="F16" s="17" t="n">
        <v>5</v>
      </c>
      <c r="G16" s="17" t="n">
        <v>3</v>
      </c>
      <c r="H16" s="17" t="n">
        <v>4</v>
      </c>
      <c r="I16" s="17" t="n">
        <v>6</v>
      </c>
      <c r="J16" s="17" t="n">
        <v>5</v>
      </c>
      <c r="K16" s="17" t="n">
        <v>5</v>
      </c>
      <c r="L16" s="17" t="n">
        <v>4</v>
      </c>
      <c r="M16" s="17" t="n">
        <v>5</v>
      </c>
      <c r="N16" s="17" t="n">
        <v>4</v>
      </c>
      <c r="O16" s="17" t="n">
        <v>6</v>
      </c>
      <c r="P16" s="17" t="n">
        <v>3</v>
      </c>
      <c r="Q16" s="17" t="n">
        <v>4</v>
      </c>
      <c r="R16" s="17" t="n">
        <v>4</v>
      </c>
      <c r="S16" s="17" t="n">
        <v>3</v>
      </c>
      <c r="T16" s="17" t="n">
        <v>5</v>
      </c>
      <c r="U16" s="17" t="n">
        <v>4</v>
      </c>
      <c r="V16" s="17" t="n">
        <v>5</v>
      </c>
      <c r="W16" s="17" t="n">
        <v>3</v>
      </c>
      <c r="X16" s="8">
        <f>SUM(F16:W16)</f>
        <v/>
      </c>
      <c r="Y16" s="8">
        <f>Y11</f>
        <v/>
      </c>
      <c r="Z16" s="8">
        <f>X16-Y16</f>
        <v/>
      </c>
      <c r="AA16" s="8">
        <f>MAX(0,25-Z16)*1.0</f>
        <v/>
      </c>
      <c r="AB16" s="17" t="n">
        <v>4</v>
      </c>
      <c r="AC16" s="17" t="n">
        <v>3</v>
      </c>
      <c r="AD16" s="17" t="n">
        <v>4</v>
      </c>
      <c r="AE16" s="17" t="n">
        <v>4</v>
      </c>
      <c r="AF16" s="17" t="n">
        <v>5</v>
      </c>
      <c r="AG16" s="17" t="n">
        <v>6</v>
      </c>
      <c r="AH16" s="17" t="n">
        <v>4</v>
      </c>
      <c r="AI16" s="17" t="n">
        <v>5</v>
      </c>
      <c r="AJ16" s="17" t="n">
        <v>4</v>
      </c>
      <c r="AK16" s="17" t="n">
        <v>5</v>
      </c>
      <c r="AL16" s="17" t="n">
        <v>3</v>
      </c>
      <c r="AM16" s="17" t="n">
        <v>4</v>
      </c>
      <c r="AN16" s="17" t="n">
        <v>4</v>
      </c>
      <c r="AO16" s="17" t="n">
        <v>3</v>
      </c>
      <c r="AP16" s="17" t="n">
        <v>6</v>
      </c>
      <c r="AQ16" s="17" t="n">
        <v>4</v>
      </c>
      <c r="AR16" s="17" t="n">
        <v>4</v>
      </c>
      <c r="AS16" s="17" t="n">
        <v>3</v>
      </c>
      <c r="AT16" s="8">
        <f>SUM(AB16:AS16)</f>
        <v/>
      </c>
      <c r="AU16" s="8">
        <f>AU11</f>
        <v/>
      </c>
      <c r="AV16" s="8">
        <f>AT16-AU16</f>
        <v/>
      </c>
      <c r="AW16" s="8">
        <f>MAX(0,25-AV16)*1.0</f>
        <v/>
      </c>
      <c r="AX16" s="18">
        <f>AA16+AW16</f>
        <v/>
      </c>
    </row>
    <row r="17">
      <c r="A17" s="8" t="n">
        <v>5</v>
      </c>
      <c r="B17" t="inlineStr">
        <is>
          <t>Salvador Ivo de Carvalho</t>
        </is>
      </c>
      <c r="C17" s="8" t="inlineStr">
        <is>
          <t>43968</t>
        </is>
      </c>
      <c r="D17" t="inlineStr">
        <is>
          <t>Estoril</t>
        </is>
      </c>
      <c r="E17" s="8" t="n">
        <v>7.8</v>
      </c>
      <c r="F17" s="17" t="n">
        <v>4</v>
      </c>
      <c r="G17" s="17" t="n">
        <v>3</v>
      </c>
      <c r="H17" s="17" t="n">
        <v>4</v>
      </c>
      <c r="I17" s="17" t="n">
        <v>5</v>
      </c>
      <c r="J17" s="17" t="n">
        <v>7</v>
      </c>
      <c r="K17" s="17" t="n">
        <v>5</v>
      </c>
      <c r="L17" s="17" t="n">
        <v>4</v>
      </c>
      <c r="M17" s="17" t="n">
        <v>5</v>
      </c>
      <c r="N17" s="17" t="n">
        <v>4</v>
      </c>
      <c r="O17" s="17" t="n">
        <v>5</v>
      </c>
      <c r="P17" s="17" t="n">
        <v>3</v>
      </c>
      <c r="Q17" s="17" t="n">
        <v>4</v>
      </c>
      <c r="R17" s="17" t="n">
        <v>4</v>
      </c>
      <c r="S17" s="17" t="n">
        <v>3</v>
      </c>
      <c r="T17" s="17" t="n">
        <v>4</v>
      </c>
      <c r="U17" s="17" t="n">
        <v>5</v>
      </c>
      <c r="V17" s="17" t="n">
        <v>6</v>
      </c>
      <c r="W17" s="17" t="n">
        <v>3</v>
      </c>
      <c r="X17" s="8">
        <f>SUM(F17:W17)</f>
        <v/>
      </c>
      <c r="Y17" s="8">
        <f>Y11</f>
        <v/>
      </c>
      <c r="Z17" s="8">
        <f>X17-Y17</f>
        <v/>
      </c>
      <c r="AA17" s="8">
        <f>MAX(0,25-Z17)*1.0</f>
        <v/>
      </c>
      <c r="AB17" s="17" t="n">
        <v>4</v>
      </c>
      <c r="AC17" s="17" t="n">
        <v>3</v>
      </c>
      <c r="AD17" s="17" t="n">
        <v>4</v>
      </c>
      <c r="AE17" s="17" t="n">
        <v>5</v>
      </c>
      <c r="AF17" s="17" t="n">
        <v>5</v>
      </c>
      <c r="AG17" s="17" t="n">
        <v>4</v>
      </c>
      <c r="AH17" s="17" t="n">
        <v>5</v>
      </c>
      <c r="AI17" s="17" t="n">
        <v>5</v>
      </c>
      <c r="AJ17" s="17" t="n">
        <v>4</v>
      </c>
      <c r="AK17" s="17" t="n">
        <v>7</v>
      </c>
      <c r="AL17" s="17" t="n">
        <v>4</v>
      </c>
      <c r="AM17" s="17" t="n">
        <v>5</v>
      </c>
      <c r="AN17" s="17" t="n">
        <v>4</v>
      </c>
      <c r="AO17" s="17" t="n">
        <v>4</v>
      </c>
      <c r="AP17" s="17" t="n">
        <v>6</v>
      </c>
      <c r="AQ17" s="17" t="n">
        <v>5</v>
      </c>
      <c r="AR17" s="17" t="n">
        <v>6</v>
      </c>
      <c r="AS17" s="17" t="n">
        <v>4</v>
      </c>
      <c r="AT17" s="8">
        <f>SUM(AB17:AS17)</f>
        <v/>
      </c>
      <c r="AU17" s="8">
        <f>AU11</f>
        <v/>
      </c>
      <c r="AV17" s="8">
        <f>AT17-AU17</f>
        <v/>
      </c>
      <c r="AW17" s="8">
        <f>MAX(0,25-AV17)*1.0</f>
        <v/>
      </c>
      <c r="AX17" s="18">
        <f>AA17+AW17</f>
        <v/>
      </c>
    </row>
    <row r="18">
      <c r="A18" s="8" t="n">
        <v>6</v>
      </c>
      <c r="B18" t="inlineStr">
        <is>
          <t>João Maria Ivo de Carvalho</t>
        </is>
      </c>
      <c r="C18" s="8" t="inlineStr">
        <is>
          <t>38334</t>
        </is>
      </c>
      <c r="D18" t="inlineStr">
        <is>
          <t>Estoril</t>
        </is>
      </c>
      <c r="E18" s="8" t="n">
        <v>-0.9</v>
      </c>
      <c r="F18" s="17" t="n">
        <v>4</v>
      </c>
      <c r="G18" s="17" t="n">
        <v>4</v>
      </c>
      <c r="H18" s="17" t="n">
        <v>5</v>
      </c>
      <c r="I18" s="17" t="n">
        <v>5</v>
      </c>
      <c r="J18" s="17" t="n">
        <v>5</v>
      </c>
      <c r="K18" s="17" t="n">
        <v>7</v>
      </c>
      <c r="L18" s="17" t="n">
        <v>4</v>
      </c>
      <c r="M18" s="17" t="n">
        <v>6</v>
      </c>
      <c r="N18" s="17" t="n">
        <v>3</v>
      </c>
      <c r="O18" s="17" t="n">
        <v>4</v>
      </c>
      <c r="P18" s="17" t="n">
        <v>3</v>
      </c>
      <c r="Q18" s="17" t="n">
        <v>5</v>
      </c>
      <c r="R18" s="17" t="n">
        <v>5</v>
      </c>
      <c r="S18" s="17" t="n">
        <v>3</v>
      </c>
      <c r="T18" s="17" t="n">
        <v>4</v>
      </c>
      <c r="U18" s="17" t="n">
        <v>3</v>
      </c>
      <c r="V18" s="17" t="n">
        <v>6</v>
      </c>
      <c r="W18" s="17" t="n">
        <v>3</v>
      </c>
      <c r="X18" s="8">
        <f>SUM(F18:W18)</f>
        <v/>
      </c>
      <c r="Y18" s="8">
        <f>Y11</f>
        <v/>
      </c>
      <c r="Z18" s="8">
        <f>X18-Y18</f>
        <v/>
      </c>
      <c r="AA18" s="8">
        <f>MAX(0,25-Z18)*1.0</f>
        <v/>
      </c>
      <c r="AW18" s="8" t="n">
        <v>0</v>
      </c>
      <c r="AX18" s="18">
        <f>AA18+AW18</f>
        <v/>
      </c>
    </row>
    <row r="19">
      <c r="A19" s="8" t="n">
        <v>7</v>
      </c>
      <c r="B19" t="inlineStr">
        <is>
          <t>Madalena Figueiredo</t>
        </is>
      </c>
      <c r="C19" s="8" t="inlineStr">
        <is>
          <t>52011</t>
        </is>
      </c>
      <c r="D19" t="inlineStr">
        <is>
          <t>Belas</t>
        </is>
      </c>
      <c r="E19" s="8" t="n">
        <v>8.1</v>
      </c>
      <c r="F19" s="17" t="n">
        <v>3</v>
      </c>
      <c r="G19" s="17" t="n">
        <v>4</v>
      </c>
      <c r="H19" s="17" t="n">
        <v>5</v>
      </c>
      <c r="I19" s="17" t="n">
        <v>4</v>
      </c>
      <c r="J19" s="17" t="n">
        <v>6</v>
      </c>
      <c r="K19" s="17" t="n">
        <v>5</v>
      </c>
      <c r="L19" s="17" t="n">
        <v>6</v>
      </c>
      <c r="M19" s="17" t="n">
        <v>5</v>
      </c>
      <c r="N19" s="17" t="n">
        <v>4</v>
      </c>
      <c r="O19" s="17" t="n">
        <v>6</v>
      </c>
      <c r="P19" s="17" t="n">
        <v>3</v>
      </c>
      <c r="Q19" s="17" t="n">
        <v>5</v>
      </c>
      <c r="R19" s="17" t="n">
        <v>4</v>
      </c>
      <c r="S19" s="17" t="n">
        <v>3</v>
      </c>
      <c r="T19" s="17" t="n">
        <v>5</v>
      </c>
      <c r="U19" s="17" t="n">
        <v>3</v>
      </c>
      <c r="V19" s="17" t="n">
        <v>5</v>
      </c>
      <c r="W19" s="17" t="n">
        <v>3</v>
      </c>
      <c r="X19" s="8">
        <f>SUM(F19:W19)</f>
        <v/>
      </c>
      <c r="Y19" s="8">
        <f>Y11</f>
        <v/>
      </c>
      <c r="Z19" s="8">
        <f>X19-Y19</f>
        <v/>
      </c>
      <c r="AA19" s="8">
        <f>MAX(0,25-Z19)*1.0</f>
        <v/>
      </c>
      <c r="AB19" s="17" t="n">
        <v>3</v>
      </c>
      <c r="AC19" s="17" t="n">
        <v>4</v>
      </c>
      <c r="AD19" s="17" t="n">
        <v>5</v>
      </c>
      <c r="AE19" s="17" t="n">
        <v>3</v>
      </c>
      <c r="AF19" s="17" t="n">
        <v>5</v>
      </c>
      <c r="AG19" s="17" t="n">
        <v>5</v>
      </c>
      <c r="AH19" s="17" t="n">
        <v>6</v>
      </c>
      <c r="AI19" s="17" t="n">
        <v>9</v>
      </c>
      <c r="AJ19" s="17" t="n">
        <v>3</v>
      </c>
      <c r="AK19" s="17" t="n">
        <v>6</v>
      </c>
      <c r="AL19" s="17" t="n">
        <v>3</v>
      </c>
      <c r="AM19" s="17" t="n">
        <v>6</v>
      </c>
      <c r="AN19" s="17" t="n">
        <v>4</v>
      </c>
      <c r="AO19" s="17" t="n">
        <v>3</v>
      </c>
      <c r="AP19" s="17" t="n">
        <v>6</v>
      </c>
      <c r="AQ19" s="17" t="n">
        <v>5</v>
      </c>
      <c r="AR19" s="17" t="n">
        <v>6</v>
      </c>
      <c r="AS19" s="17" t="n">
        <v>2</v>
      </c>
      <c r="AT19" s="8">
        <f>SUM(AB19:AS19)</f>
        <v/>
      </c>
      <c r="AU19" s="8">
        <f>AU11</f>
        <v/>
      </c>
      <c r="AV19" s="8">
        <f>AT19-AU19</f>
        <v/>
      </c>
      <c r="AW19" s="8">
        <f>MAX(0,25-AV19)*1.0</f>
        <v/>
      </c>
      <c r="AX19" s="18">
        <f>AA19+AW19</f>
        <v/>
      </c>
    </row>
    <row r="20">
      <c r="A20" s="8" t="n">
        <v>8</v>
      </c>
      <c r="B20" t="inlineStr">
        <is>
          <t>William Gao</t>
        </is>
      </c>
      <c r="C20" s="8" t="inlineStr">
        <is>
          <t>51524</t>
        </is>
      </c>
      <c r="D20" t="inlineStr">
        <is>
          <t>Quinta do Peru</t>
        </is>
      </c>
      <c r="E20" s="8" t="n">
        <v>7.8</v>
      </c>
      <c r="F20" s="17" t="n">
        <v>4</v>
      </c>
      <c r="G20" s="17" t="n">
        <v>3</v>
      </c>
      <c r="H20" s="17" t="n">
        <v>5</v>
      </c>
      <c r="I20" s="17" t="n">
        <v>5</v>
      </c>
      <c r="J20" s="17" t="n">
        <v>5</v>
      </c>
      <c r="K20" s="17" t="n">
        <v>5</v>
      </c>
      <c r="L20" s="17" t="n">
        <v>4</v>
      </c>
      <c r="M20" s="17" t="n">
        <v>6</v>
      </c>
      <c r="N20" s="17" t="n">
        <v>4</v>
      </c>
      <c r="O20" s="17" t="n">
        <v>5</v>
      </c>
      <c r="P20" s="17" t="n">
        <v>3</v>
      </c>
      <c r="Q20" s="17" t="n">
        <v>5</v>
      </c>
      <c r="R20" s="17" t="n">
        <v>4</v>
      </c>
      <c r="S20" s="17" t="n">
        <v>2</v>
      </c>
      <c r="T20" s="17" t="n">
        <v>5</v>
      </c>
      <c r="U20" s="17" t="n">
        <v>5</v>
      </c>
      <c r="V20" s="17" t="n">
        <v>6</v>
      </c>
      <c r="W20" s="17" t="n">
        <v>3</v>
      </c>
      <c r="X20" s="8">
        <f>SUM(F20:W20)</f>
        <v/>
      </c>
      <c r="Y20" s="8">
        <f>Y11</f>
        <v/>
      </c>
      <c r="Z20" s="8">
        <f>X20-Y20</f>
        <v/>
      </c>
      <c r="AA20" s="8">
        <f>MAX(0,25-Z20)*1.0</f>
        <v/>
      </c>
      <c r="AB20" s="17" t="n">
        <v>4</v>
      </c>
      <c r="AC20" s="17" t="n">
        <v>4</v>
      </c>
      <c r="AD20" s="17" t="n">
        <v>5</v>
      </c>
      <c r="AE20" s="17" t="n">
        <v>5</v>
      </c>
      <c r="AF20" s="17" t="n">
        <v>4</v>
      </c>
      <c r="AG20" s="17" t="n">
        <v>5</v>
      </c>
      <c r="AH20" s="17" t="n">
        <v>4</v>
      </c>
      <c r="AI20" s="17" t="n">
        <v>7</v>
      </c>
      <c r="AJ20" s="17" t="n">
        <v>4</v>
      </c>
      <c r="AK20" s="17" t="n">
        <v>6</v>
      </c>
      <c r="AL20" s="17" t="n">
        <v>4</v>
      </c>
      <c r="AM20" s="17" t="n">
        <v>4</v>
      </c>
      <c r="AN20" s="17" t="n">
        <v>4</v>
      </c>
      <c r="AO20" s="17" t="n">
        <v>3</v>
      </c>
      <c r="AP20" s="17" t="n">
        <v>5</v>
      </c>
      <c r="AQ20" s="17" t="n">
        <v>6</v>
      </c>
      <c r="AR20" s="17" t="n">
        <v>5</v>
      </c>
      <c r="AS20" s="17" t="n">
        <v>3</v>
      </c>
      <c r="AT20" s="8">
        <f>SUM(AB20:AS20)</f>
        <v/>
      </c>
      <c r="AU20" s="8">
        <f>AU11</f>
        <v/>
      </c>
      <c r="AV20" s="8">
        <f>AT20-AU20</f>
        <v/>
      </c>
      <c r="AW20" s="8">
        <f>MAX(0,25-AV20)*1.0</f>
        <v/>
      </c>
      <c r="AX20" s="18">
        <f>AA20+AW20</f>
        <v/>
      </c>
    </row>
    <row r="21">
      <c r="A21" s="8" t="n">
        <v>9</v>
      </c>
      <c r="B21" t="inlineStr">
        <is>
          <t>Rodrigo Faria Constantino</t>
        </is>
      </c>
      <c r="C21" s="8" t="inlineStr">
        <is>
          <t>45278</t>
        </is>
      </c>
      <c r="D21" t="inlineStr">
        <is>
          <t>Belas</t>
        </is>
      </c>
      <c r="E21" s="8" t="n">
        <v>1.6</v>
      </c>
      <c r="F21" s="17" t="n">
        <v>5</v>
      </c>
      <c r="G21" s="17" t="n">
        <v>2</v>
      </c>
      <c r="H21" s="17" t="n">
        <v>5</v>
      </c>
      <c r="I21" s="17" t="n">
        <v>4</v>
      </c>
      <c r="J21" s="17" t="n">
        <v>6</v>
      </c>
      <c r="K21" s="17" t="n">
        <v>7</v>
      </c>
      <c r="L21" s="17" t="n">
        <v>5</v>
      </c>
      <c r="M21" s="17" t="n">
        <v>5</v>
      </c>
      <c r="N21" s="17" t="n">
        <v>6</v>
      </c>
      <c r="O21" s="17" t="n">
        <v>5</v>
      </c>
      <c r="P21" s="17" t="n">
        <v>2</v>
      </c>
      <c r="Q21" s="17" t="n">
        <v>4</v>
      </c>
      <c r="R21" s="17" t="n">
        <v>5</v>
      </c>
      <c r="S21" s="17" t="n">
        <v>3</v>
      </c>
      <c r="T21" s="17" t="n">
        <v>4</v>
      </c>
      <c r="U21" s="17" t="n">
        <v>4</v>
      </c>
      <c r="V21" s="17" t="n">
        <v>5</v>
      </c>
      <c r="W21" s="17" t="n">
        <v>3</v>
      </c>
      <c r="X21" s="8">
        <f>SUM(F21:W21)</f>
        <v/>
      </c>
      <c r="Y21" s="8">
        <f>Y11</f>
        <v/>
      </c>
      <c r="Z21" s="8">
        <f>X21-Y21</f>
        <v/>
      </c>
      <c r="AA21" s="8">
        <f>MAX(0,25-Z21)*1.0</f>
        <v/>
      </c>
      <c r="AB21" s="17" t="n">
        <v>3</v>
      </c>
      <c r="AC21" s="17" t="n">
        <v>3</v>
      </c>
      <c r="AD21" s="17" t="n">
        <v>5</v>
      </c>
      <c r="AE21" s="17" t="n">
        <v>4</v>
      </c>
      <c r="AF21" s="17" t="n">
        <v>4</v>
      </c>
      <c r="AG21" s="17" t="n">
        <v>6</v>
      </c>
      <c r="AH21" s="17" t="n">
        <v>5</v>
      </c>
      <c r="AI21" s="17" t="n">
        <v>5</v>
      </c>
      <c r="AJ21" s="17" t="n">
        <v>4</v>
      </c>
      <c r="AK21" s="17" t="n">
        <v>6</v>
      </c>
      <c r="AL21" s="17" t="n">
        <v>3</v>
      </c>
      <c r="AM21" s="17" t="n">
        <v>5</v>
      </c>
      <c r="AN21" s="17" t="n">
        <v>4</v>
      </c>
      <c r="AO21" s="17" t="n">
        <v>5</v>
      </c>
      <c r="AP21" s="17" t="n">
        <v>5</v>
      </c>
      <c r="AQ21" s="17" t="n">
        <v>4</v>
      </c>
      <c r="AR21" s="17" t="n">
        <v>6</v>
      </c>
      <c r="AS21" s="17" t="n">
        <v>3</v>
      </c>
      <c r="AT21" s="8">
        <f>SUM(AB21:AS21)</f>
        <v/>
      </c>
      <c r="AU21" s="8">
        <f>AU11</f>
        <v/>
      </c>
      <c r="AV21" s="8">
        <f>AT21-AU21</f>
        <v/>
      </c>
      <c r="AW21" s="8">
        <f>MAX(0,25-AV21)*1.0</f>
        <v/>
      </c>
      <c r="AX21" s="18">
        <f>AA21+AW21</f>
        <v/>
      </c>
    </row>
    <row r="22">
      <c r="A22" s="8" t="n">
        <v>10</v>
      </c>
      <c r="B22" t="inlineStr">
        <is>
          <t>Rodrigo Sousa Correia</t>
        </is>
      </c>
      <c r="C22" s="8" t="inlineStr">
        <is>
          <t>44934</t>
        </is>
      </c>
      <c r="D22" t="inlineStr">
        <is>
          <t>Vilamoura, C. G</t>
        </is>
      </c>
      <c r="E22" s="8" t="n">
        <v>4</v>
      </c>
      <c r="F22" s="17" t="n">
        <v>5</v>
      </c>
      <c r="G22" s="17" t="n">
        <v>3</v>
      </c>
      <c r="H22" s="17" t="n">
        <v>4</v>
      </c>
      <c r="I22" s="17" t="n">
        <v>5</v>
      </c>
      <c r="J22" s="17" t="n">
        <v>5</v>
      </c>
      <c r="K22" s="17" t="n">
        <v>6</v>
      </c>
      <c r="L22" s="17" t="n">
        <v>5</v>
      </c>
      <c r="M22" s="17" t="n">
        <v>5</v>
      </c>
      <c r="N22" s="17" t="n">
        <v>4</v>
      </c>
      <c r="O22" s="17" t="n">
        <v>5</v>
      </c>
      <c r="P22" s="17" t="n">
        <v>3</v>
      </c>
      <c r="Q22" s="17" t="n">
        <v>5</v>
      </c>
      <c r="R22" s="17" t="n">
        <v>5</v>
      </c>
      <c r="S22" s="17" t="n">
        <v>3</v>
      </c>
      <c r="T22" s="17" t="n">
        <v>5</v>
      </c>
      <c r="U22" s="17" t="n">
        <v>4</v>
      </c>
      <c r="V22" s="17" t="n">
        <v>6</v>
      </c>
      <c r="W22" s="17" t="n">
        <v>3</v>
      </c>
      <c r="X22" s="8">
        <f>SUM(F22:W22)</f>
        <v/>
      </c>
      <c r="Y22" s="8">
        <f>Y11</f>
        <v/>
      </c>
      <c r="Z22" s="8">
        <f>X22-Y22</f>
        <v/>
      </c>
      <c r="AA22" s="8">
        <f>MAX(0,25-Z22)*1.0</f>
        <v/>
      </c>
      <c r="AB22" s="17" t="n">
        <v>4</v>
      </c>
      <c r="AC22" s="17" t="n">
        <v>4</v>
      </c>
      <c r="AD22" s="17" t="n">
        <v>4</v>
      </c>
      <c r="AE22" s="17" t="n">
        <v>4</v>
      </c>
      <c r="AF22" s="17" t="n">
        <v>5</v>
      </c>
      <c r="AG22" s="17" t="n">
        <v>5</v>
      </c>
      <c r="AH22" s="17" t="n">
        <v>6</v>
      </c>
      <c r="AI22" s="17" t="n">
        <v>5</v>
      </c>
      <c r="AJ22" s="17" t="n">
        <v>5</v>
      </c>
      <c r="AK22" s="17" t="n">
        <v>4</v>
      </c>
      <c r="AL22" s="17" t="n">
        <v>2</v>
      </c>
      <c r="AM22" s="17" t="n">
        <v>5</v>
      </c>
      <c r="AN22" s="17" t="n">
        <v>5</v>
      </c>
      <c r="AO22" s="17" t="n">
        <v>3</v>
      </c>
      <c r="AP22" s="17" t="n">
        <v>5</v>
      </c>
      <c r="AQ22" s="17" t="n">
        <v>4</v>
      </c>
      <c r="AR22" s="17" t="n">
        <v>5</v>
      </c>
      <c r="AS22" s="17" t="n">
        <v>2</v>
      </c>
      <c r="AT22" s="8">
        <f>SUM(AB22:AS22)</f>
        <v/>
      </c>
      <c r="AU22" s="8">
        <f>AU11</f>
        <v/>
      </c>
      <c r="AV22" s="8">
        <f>AT22-AU22</f>
        <v/>
      </c>
      <c r="AW22" s="8">
        <f>MAX(0,25-AV22)*1.0</f>
        <v/>
      </c>
      <c r="AX22" s="18">
        <f>AA22+AW22</f>
        <v/>
      </c>
    </row>
    <row r="23">
      <c r="A23" s="8" t="n">
        <v>11</v>
      </c>
      <c r="B23" t="inlineStr">
        <is>
          <t>Lucas Imperatriz</t>
        </is>
      </c>
      <c r="C23" s="8" t="inlineStr"/>
      <c r="D23" t="inlineStr">
        <is>
          <t>Internacional</t>
        </is>
      </c>
      <c r="E23" s="8" t="n">
        <v>0</v>
      </c>
      <c r="F23" s="17" t="n">
        <v>4</v>
      </c>
      <c r="G23" s="17" t="n">
        <v>2</v>
      </c>
      <c r="H23" s="17" t="n">
        <v>4</v>
      </c>
      <c r="I23" s="17" t="n">
        <v>4</v>
      </c>
      <c r="J23" s="17" t="n">
        <v>5</v>
      </c>
      <c r="K23" s="17" t="n">
        <v>7</v>
      </c>
      <c r="L23" s="17" t="n">
        <v>4</v>
      </c>
      <c r="M23" s="17" t="n">
        <v>6</v>
      </c>
      <c r="N23" s="17" t="n">
        <v>5</v>
      </c>
      <c r="O23" s="17" t="n">
        <v>5</v>
      </c>
      <c r="P23" s="17" t="n">
        <v>3</v>
      </c>
      <c r="Q23" s="17" t="n">
        <v>5</v>
      </c>
      <c r="R23" s="17" t="n">
        <v>4</v>
      </c>
      <c r="S23" s="17" t="n">
        <v>3</v>
      </c>
      <c r="T23" s="17" t="n">
        <v>6</v>
      </c>
      <c r="U23" s="17" t="n">
        <v>5</v>
      </c>
      <c r="V23" s="17" t="n">
        <v>6</v>
      </c>
      <c r="W23" s="17" t="n">
        <v>3</v>
      </c>
      <c r="X23" s="8">
        <f>SUM(F23:W23)</f>
        <v/>
      </c>
      <c r="Y23" s="8">
        <f>Y11</f>
        <v/>
      </c>
      <c r="Z23" s="8">
        <f>X23-Y23</f>
        <v/>
      </c>
      <c r="AA23" s="8">
        <f>MAX(0,25-Z23)*1.0</f>
        <v/>
      </c>
      <c r="AW23" s="8" t="n">
        <v>0</v>
      </c>
      <c r="AX23" s="18">
        <f>AA23+AW23</f>
        <v/>
      </c>
    </row>
    <row r="24">
      <c r="A24" s="8" t="n">
        <v>12</v>
      </c>
      <c r="B24" t="inlineStr">
        <is>
          <t>Tomás Lima Pinto</t>
        </is>
      </c>
      <c r="C24" s="8" t="inlineStr">
        <is>
          <t>46037</t>
        </is>
      </c>
      <c r="D24" t="inlineStr">
        <is>
          <t>Vilamoura, C. G</t>
        </is>
      </c>
      <c r="E24" s="8" t="n">
        <v>9.4</v>
      </c>
      <c r="F24" s="17" t="n">
        <v>4</v>
      </c>
      <c r="G24" s="17" t="n">
        <v>3</v>
      </c>
      <c r="H24" s="17" t="n">
        <v>4</v>
      </c>
      <c r="I24" s="17" t="n">
        <v>6</v>
      </c>
      <c r="J24" s="17" t="n">
        <v>4</v>
      </c>
      <c r="K24" s="17" t="n">
        <v>7</v>
      </c>
      <c r="L24" s="17" t="n">
        <v>4</v>
      </c>
      <c r="M24" s="17" t="n">
        <v>5</v>
      </c>
      <c r="N24" s="17" t="n">
        <v>4</v>
      </c>
      <c r="O24" s="17" t="n">
        <v>6</v>
      </c>
      <c r="P24" s="17" t="n">
        <v>3</v>
      </c>
      <c r="Q24" s="17" t="n">
        <v>7</v>
      </c>
      <c r="R24" s="17" t="n">
        <v>4</v>
      </c>
      <c r="S24" s="17" t="n">
        <v>3</v>
      </c>
      <c r="T24" s="17" t="n">
        <v>4</v>
      </c>
      <c r="U24" s="17" t="n">
        <v>4</v>
      </c>
      <c r="V24" s="17" t="n">
        <v>5</v>
      </c>
      <c r="W24" s="17" t="n">
        <v>7</v>
      </c>
      <c r="X24" s="8">
        <f>SUM(F24:W24)</f>
        <v/>
      </c>
      <c r="Y24" s="8">
        <f>Y11</f>
        <v/>
      </c>
      <c r="Z24" s="8">
        <f>X24-Y24</f>
        <v/>
      </c>
      <c r="AA24" s="8">
        <f>MAX(0,25-Z24)*1.0</f>
        <v/>
      </c>
      <c r="AB24" s="17" t="n">
        <v>4</v>
      </c>
      <c r="AC24" s="17" t="n">
        <v>5</v>
      </c>
      <c r="AD24" s="17" t="n">
        <v>7</v>
      </c>
      <c r="AE24" s="17" t="n">
        <v>4</v>
      </c>
      <c r="AF24" s="17" t="n">
        <v>5</v>
      </c>
      <c r="AG24" s="17" t="n">
        <v>5</v>
      </c>
      <c r="AH24" s="17" t="n">
        <v>4</v>
      </c>
      <c r="AI24" s="17" t="n">
        <v>6</v>
      </c>
      <c r="AJ24" s="17" t="n">
        <v>4</v>
      </c>
      <c r="AK24" s="17" t="n">
        <v>7</v>
      </c>
      <c r="AL24" s="17" t="n">
        <v>3</v>
      </c>
      <c r="AM24" s="17" t="n">
        <v>6</v>
      </c>
      <c r="AN24" s="17" t="n">
        <v>4</v>
      </c>
      <c r="AO24" s="17" t="n">
        <v>4</v>
      </c>
      <c r="AP24" s="17" t="n">
        <v>9</v>
      </c>
      <c r="AQ24" s="17" t="n">
        <v>4</v>
      </c>
      <c r="AR24" s="17" t="n">
        <v>10</v>
      </c>
      <c r="AS24" s="17" t="n">
        <v>4</v>
      </c>
      <c r="AT24" s="8">
        <f>SUM(AB24:AS24)</f>
        <v/>
      </c>
      <c r="AU24" s="8">
        <f>AU11</f>
        <v/>
      </c>
      <c r="AV24" s="8">
        <f>AT24-AU24</f>
        <v/>
      </c>
      <c r="AW24" s="8">
        <f>MAX(0,25-AV24)*1.0</f>
        <v/>
      </c>
      <c r="AX24" s="18">
        <f>AA24+AW24</f>
        <v/>
      </c>
    </row>
    <row r="25">
      <c r="A25" s="8" t="n">
        <v>13</v>
      </c>
      <c r="B25" t="inlineStr">
        <is>
          <t>João Rocha</t>
        </is>
      </c>
      <c r="C25" s="8" t="inlineStr">
        <is>
          <t>48297</t>
        </is>
      </c>
      <c r="D25" t="inlineStr">
        <is>
          <t>Estoril</t>
        </is>
      </c>
      <c r="E25" s="8" t="n">
        <v>5.9</v>
      </c>
      <c r="F25" s="17" t="n">
        <v>5</v>
      </c>
      <c r="G25" s="17" t="n">
        <v>6</v>
      </c>
      <c r="H25" s="17" t="n">
        <v>4</v>
      </c>
      <c r="I25" s="17" t="n">
        <v>5</v>
      </c>
      <c r="J25" s="17" t="n">
        <v>4</v>
      </c>
      <c r="K25" s="17" t="n">
        <v>7</v>
      </c>
      <c r="L25" s="17" t="n">
        <v>5</v>
      </c>
      <c r="M25" s="17" t="n">
        <v>6</v>
      </c>
      <c r="N25" s="17" t="n">
        <v>4</v>
      </c>
      <c r="O25" s="17" t="n">
        <v>5</v>
      </c>
      <c r="P25" s="17" t="n">
        <v>4</v>
      </c>
      <c r="Q25" s="17" t="n">
        <v>4</v>
      </c>
      <c r="R25" s="17" t="n">
        <v>4</v>
      </c>
      <c r="S25" s="17" t="n">
        <v>4</v>
      </c>
      <c r="T25" s="17" t="n">
        <v>5</v>
      </c>
      <c r="U25" s="17" t="n">
        <v>4</v>
      </c>
      <c r="V25" s="17" t="n">
        <v>6</v>
      </c>
      <c r="W25" s="17" t="n">
        <v>3</v>
      </c>
      <c r="X25" s="8">
        <f>SUM(F25:W25)</f>
        <v/>
      </c>
      <c r="Y25" s="8">
        <f>Y11</f>
        <v/>
      </c>
      <c r="Z25" s="8">
        <f>X25-Y25</f>
        <v/>
      </c>
      <c r="AA25" s="8">
        <f>MAX(0,25-Z25)*1.0</f>
        <v/>
      </c>
      <c r="AB25" s="17" t="n">
        <v>5</v>
      </c>
      <c r="AC25" s="17" t="n">
        <v>3</v>
      </c>
      <c r="AD25" s="17" t="n">
        <v>4</v>
      </c>
      <c r="AE25" s="17" t="n">
        <v>4</v>
      </c>
      <c r="AF25" s="17" t="n">
        <v>6</v>
      </c>
      <c r="AG25" s="17" t="n">
        <v>5</v>
      </c>
      <c r="AH25" s="17" t="n">
        <v>5</v>
      </c>
      <c r="AI25" s="17" t="n">
        <v>4</v>
      </c>
      <c r="AJ25" s="17" t="n">
        <v>4</v>
      </c>
      <c r="AK25" s="17" t="n">
        <v>5</v>
      </c>
      <c r="AL25" s="17" t="n">
        <v>3</v>
      </c>
      <c r="AM25" s="17" t="n">
        <v>5</v>
      </c>
      <c r="AN25" s="17" t="n">
        <v>5</v>
      </c>
      <c r="AO25" s="17" t="n">
        <v>3</v>
      </c>
      <c r="AP25" s="17" t="n">
        <v>5</v>
      </c>
      <c r="AQ25" s="17" t="n">
        <v>4</v>
      </c>
      <c r="AR25" s="17" t="n">
        <v>6</v>
      </c>
      <c r="AS25" s="17" t="n">
        <v>2</v>
      </c>
      <c r="AT25" s="8">
        <f>SUM(AB25:AS25)</f>
        <v/>
      </c>
      <c r="AU25" s="8">
        <f>AU11</f>
        <v/>
      </c>
      <c r="AV25" s="8">
        <f>AT25-AU25</f>
        <v/>
      </c>
      <c r="AW25" s="8">
        <f>MAX(0,25-AV25)*1.0</f>
        <v/>
      </c>
      <c r="AX25" s="18">
        <f>AA25+AW25</f>
        <v/>
      </c>
    </row>
    <row r="26">
      <c r="A26" s="8" t="n">
        <v>14</v>
      </c>
      <c r="B26" t="inlineStr">
        <is>
          <t>Rafael Gonçales Benesi</t>
        </is>
      </c>
      <c r="C26" s="8" t="inlineStr">
        <is>
          <t>54774</t>
        </is>
      </c>
      <c r="D26" t="inlineStr">
        <is>
          <t>Estoril</t>
        </is>
      </c>
      <c r="E26" s="8" t="n">
        <v>6.8</v>
      </c>
      <c r="F26" s="17" t="n">
        <v>4</v>
      </c>
      <c r="G26" s="17" t="n">
        <v>4</v>
      </c>
      <c r="H26" s="17" t="n">
        <v>5</v>
      </c>
      <c r="I26" s="17" t="n">
        <v>4</v>
      </c>
      <c r="J26" s="17" t="n">
        <v>6</v>
      </c>
      <c r="K26" s="17" t="n">
        <v>5</v>
      </c>
      <c r="L26" s="17" t="n">
        <v>6</v>
      </c>
      <c r="M26" s="17" t="n">
        <v>6</v>
      </c>
      <c r="N26" s="17" t="n">
        <v>4</v>
      </c>
      <c r="O26" s="17" t="n">
        <v>6</v>
      </c>
      <c r="P26" s="17" t="n">
        <v>3</v>
      </c>
      <c r="Q26" s="17" t="n">
        <v>9</v>
      </c>
      <c r="R26" s="17" t="n">
        <v>4</v>
      </c>
      <c r="S26" s="17" t="n">
        <v>3</v>
      </c>
      <c r="T26" s="17" t="n">
        <v>4</v>
      </c>
      <c r="U26" s="17" t="n">
        <v>4</v>
      </c>
      <c r="V26" s="17" t="n">
        <v>5</v>
      </c>
      <c r="W26" s="17" t="n">
        <v>4</v>
      </c>
      <c r="X26" s="8">
        <f>SUM(F26:W26)</f>
        <v/>
      </c>
      <c r="Y26" s="8">
        <f>Y11</f>
        <v/>
      </c>
      <c r="Z26" s="8">
        <f>X26-Y26</f>
        <v/>
      </c>
      <c r="AA26" s="8">
        <f>MAX(0,25-Z26)*1.0</f>
        <v/>
      </c>
      <c r="AW26" s="8" t="n">
        <v>0</v>
      </c>
      <c r="AX26" s="18">
        <f>AA26+AW26</f>
        <v/>
      </c>
    </row>
    <row r="27">
      <c r="A27" s="8" t="n">
        <v>15</v>
      </c>
      <c r="B27" t="inlineStr">
        <is>
          <t>Sabrina Ribeiro Crisóstomo</t>
        </is>
      </c>
      <c r="C27" s="8" t="inlineStr">
        <is>
          <t>48971</t>
        </is>
      </c>
      <c r="D27" t="inlineStr">
        <is>
          <t>Vilamoura, C. G</t>
        </is>
      </c>
      <c r="E27" s="8" t="n">
        <v>9.9</v>
      </c>
      <c r="F27" s="17" t="n">
        <v>6</v>
      </c>
      <c r="G27" s="17" t="n">
        <v>4</v>
      </c>
      <c r="H27" s="17" t="n">
        <v>4</v>
      </c>
      <c r="I27" s="17" t="n">
        <v>5</v>
      </c>
      <c r="J27" s="17" t="n">
        <v>6</v>
      </c>
      <c r="K27" s="17" t="n">
        <v>6</v>
      </c>
      <c r="L27" s="17" t="n">
        <v>4</v>
      </c>
      <c r="M27" s="17" t="n">
        <v>6</v>
      </c>
      <c r="N27" s="17" t="n">
        <v>5</v>
      </c>
      <c r="O27" s="17" t="n">
        <v>6</v>
      </c>
      <c r="P27" s="17" t="n">
        <v>4</v>
      </c>
      <c r="Q27" s="17" t="n">
        <v>6</v>
      </c>
      <c r="R27" s="17" t="n">
        <v>4</v>
      </c>
      <c r="S27" s="17" t="n">
        <v>3</v>
      </c>
      <c r="T27" s="17" t="n">
        <v>5</v>
      </c>
      <c r="U27" s="17" t="n">
        <v>5</v>
      </c>
      <c r="V27" s="17" t="n">
        <v>6</v>
      </c>
      <c r="W27" s="17" t="n">
        <v>2</v>
      </c>
      <c r="X27" s="8">
        <f>SUM(F27:W27)</f>
        <v/>
      </c>
      <c r="Y27" s="8">
        <f>Y11</f>
        <v/>
      </c>
      <c r="Z27" s="8">
        <f>X27-Y27</f>
        <v/>
      </c>
      <c r="AA27" s="8">
        <f>MAX(0,25-Z27)*1.0</f>
        <v/>
      </c>
      <c r="AB27" s="17" t="n">
        <v>5</v>
      </c>
      <c r="AC27" s="17" t="n">
        <v>3</v>
      </c>
      <c r="AD27" s="17" t="n">
        <v>4</v>
      </c>
      <c r="AE27" s="17" t="n">
        <v>4</v>
      </c>
      <c r="AF27" s="17" t="n">
        <v>6</v>
      </c>
      <c r="AG27" s="17" t="n">
        <v>5</v>
      </c>
      <c r="AH27" s="17" t="n">
        <v>5</v>
      </c>
      <c r="AI27" s="17" t="n">
        <v>6</v>
      </c>
      <c r="AJ27" s="17" t="n">
        <v>4</v>
      </c>
      <c r="AK27" s="17" t="n">
        <v>9</v>
      </c>
      <c r="AL27" s="17" t="n">
        <v>3</v>
      </c>
      <c r="AM27" s="17" t="n">
        <v>5</v>
      </c>
      <c r="AN27" s="17" t="n">
        <v>7</v>
      </c>
      <c r="AO27" s="17" t="n">
        <v>2</v>
      </c>
      <c r="AP27" s="17" t="n">
        <v>5</v>
      </c>
      <c r="AQ27" s="17" t="n">
        <v>5</v>
      </c>
      <c r="AR27" s="17" t="n">
        <v>5</v>
      </c>
      <c r="AS27" s="17" t="n">
        <v>3</v>
      </c>
      <c r="AT27" s="8">
        <f>SUM(AB27:AS27)</f>
        <v/>
      </c>
      <c r="AU27" s="8">
        <f>AU11</f>
        <v/>
      </c>
      <c r="AV27" s="8">
        <f>AT27-AU27</f>
        <v/>
      </c>
      <c r="AW27" s="8">
        <f>MAX(0,25-AV27)*1.0</f>
        <v/>
      </c>
      <c r="AX27" s="18">
        <f>AA27+AW27</f>
        <v/>
      </c>
    </row>
    <row r="28">
      <c r="A28" s="8" t="n">
        <v>16</v>
      </c>
      <c r="B28" t="inlineStr">
        <is>
          <t>Ryan Dantas</t>
        </is>
      </c>
      <c r="C28" s="8" t="inlineStr">
        <is>
          <t>45439</t>
        </is>
      </c>
      <c r="D28" t="inlineStr">
        <is>
          <t>Belas</t>
        </is>
      </c>
      <c r="E28" s="8" t="n">
        <v>6.8</v>
      </c>
      <c r="F28" s="17" t="n">
        <v>6</v>
      </c>
      <c r="G28" s="17" t="n">
        <v>4</v>
      </c>
      <c r="H28" s="17" t="n">
        <v>4</v>
      </c>
      <c r="I28" s="17" t="n">
        <v>4</v>
      </c>
      <c r="J28" s="17" t="n">
        <v>5</v>
      </c>
      <c r="K28" s="17" t="n">
        <v>5</v>
      </c>
      <c r="L28" s="17" t="n">
        <v>6</v>
      </c>
      <c r="M28" s="17" t="n">
        <v>5</v>
      </c>
      <c r="N28" s="17" t="n">
        <v>5</v>
      </c>
      <c r="O28" s="17" t="n">
        <v>7</v>
      </c>
      <c r="P28" s="17" t="n">
        <v>5</v>
      </c>
      <c r="Q28" s="17" t="n">
        <v>6</v>
      </c>
      <c r="R28" s="17" t="n">
        <v>4</v>
      </c>
      <c r="S28" s="17" t="n">
        <v>4</v>
      </c>
      <c r="T28" s="17" t="n">
        <v>5</v>
      </c>
      <c r="U28" s="17" t="n">
        <v>3</v>
      </c>
      <c r="V28" s="17" t="n">
        <v>5</v>
      </c>
      <c r="W28" s="17" t="n">
        <v>4</v>
      </c>
      <c r="X28" s="8">
        <f>SUM(F28:W28)</f>
        <v/>
      </c>
      <c r="Y28" s="8">
        <f>Y11</f>
        <v/>
      </c>
      <c r="Z28" s="8">
        <f>X28-Y28</f>
        <v/>
      </c>
      <c r="AA28" s="8">
        <f>MAX(0,25-Z28)*1.0</f>
        <v/>
      </c>
      <c r="AB28" s="17" t="n">
        <v>4</v>
      </c>
      <c r="AC28" s="17" t="n">
        <v>3</v>
      </c>
      <c r="AD28" s="17" t="n">
        <v>4</v>
      </c>
      <c r="AE28" s="17" t="n">
        <v>3</v>
      </c>
      <c r="AF28" s="17" t="n">
        <v>5</v>
      </c>
      <c r="AG28" s="17" t="n">
        <v>7</v>
      </c>
      <c r="AH28" s="17" t="n">
        <v>5</v>
      </c>
      <c r="AI28" s="17" t="n">
        <v>7</v>
      </c>
      <c r="AJ28" s="17" t="n">
        <v>5</v>
      </c>
      <c r="AK28" s="17" t="n">
        <v>6</v>
      </c>
      <c r="AL28" s="17" t="n">
        <v>5</v>
      </c>
      <c r="AM28" s="17" t="n">
        <v>9</v>
      </c>
      <c r="AN28" s="17" t="n">
        <v>5</v>
      </c>
      <c r="AO28" s="17" t="n">
        <v>3</v>
      </c>
      <c r="AP28" s="17" t="n">
        <v>3</v>
      </c>
      <c r="AQ28" s="17" t="n">
        <v>4</v>
      </c>
      <c r="AR28" s="17" t="n">
        <v>6</v>
      </c>
      <c r="AS28" s="17" t="n">
        <v>4</v>
      </c>
      <c r="AT28" s="8">
        <f>SUM(AB28:AS28)</f>
        <v/>
      </c>
      <c r="AU28" s="8">
        <f>AU11</f>
        <v/>
      </c>
      <c r="AV28" s="8">
        <f>AT28-AU28</f>
        <v/>
      </c>
      <c r="AW28" s="8">
        <f>MAX(0,25-AV28)*1.0</f>
        <v/>
      </c>
      <c r="AX28" s="18">
        <f>AA28+AW28</f>
        <v/>
      </c>
    </row>
    <row r="29">
      <c r="A29" s="8" t="n">
        <v>17</v>
      </c>
      <c r="B29" t="inlineStr">
        <is>
          <t>Angelina Gao</t>
        </is>
      </c>
      <c r="C29" s="8" t="inlineStr">
        <is>
          <t>51523</t>
        </is>
      </c>
      <c r="D29" t="inlineStr">
        <is>
          <t>Quinta do Peru</t>
        </is>
      </c>
      <c r="E29" s="8" t="n">
        <v>3.5</v>
      </c>
      <c r="F29" s="17" t="n">
        <v>5</v>
      </c>
      <c r="G29" s="17" t="n">
        <v>4</v>
      </c>
      <c r="H29" s="17" t="n">
        <v>4</v>
      </c>
      <c r="I29" s="17" t="n">
        <v>6</v>
      </c>
      <c r="J29" s="17" t="n">
        <v>6</v>
      </c>
      <c r="K29" s="17" t="n">
        <v>6</v>
      </c>
      <c r="L29" s="17" t="n">
        <v>5</v>
      </c>
      <c r="M29" s="17" t="n">
        <v>6</v>
      </c>
      <c r="N29" s="17" t="n">
        <v>5</v>
      </c>
      <c r="O29" s="17" t="n">
        <v>6</v>
      </c>
      <c r="P29" s="17" t="n">
        <v>3</v>
      </c>
      <c r="Q29" s="17" t="n">
        <v>6</v>
      </c>
      <c r="R29" s="17" t="n">
        <v>5</v>
      </c>
      <c r="S29" s="17" t="n">
        <v>2</v>
      </c>
      <c r="T29" s="17" t="n">
        <v>5</v>
      </c>
      <c r="U29" s="17" t="n">
        <v>5</v>
      </c>
      <c r="V29" s="17" t="n">
        <v>6</v>
      </c>
      <c r="W29" s="17" t="n">
        <v>3</v>
      </c>
      <c r="X29" s="8">
        <f>SUM(F29:W29)</f>
        <v/>
      </c>
      <c r="Y29" s="8">
        <f>Y11</f>
        <v/>
      </c>
      <c r="Z29" s="8">
        <f>X29-Y29</f>
        <v/>
      </c>
      <c r="AA29" s="8">
        <f>MAX(0,25-Z29)*1.0</f>
        <v/>
      </c>
      <c r="AB29" s="17" t="n">
        <v>4</v>
      </c>
      <c r="AC29" s="17" t="n">
        <v>5</v>
      </c>
      <c r="AD29" s="17" t="n">
        <v>4</v>
      </c>
      <c r="AE29" s="17" t="n">
        <v>4</v>
      </c>
      <c r="AF29" s="17" t="n">
        <v>6</v>
      </c>
      <c r="AG29" s="17" t="n">
        <v>5</v>
      </c>
      <c r="AH29" s="17" t="n">
        <v>6</v>
      </c>
      <c r="AI29" s="17" t="n">
        <v>5</v>
      </c>
      <c r="AJ29" s="17" t="n">
        <v>5</v>
      </c>
      <c r="AK29" s="17" t="n">
        <v>5</v>
      </c>
      <c r="AL29" s="17" t="n">
        <v>3</v>
      </c>
      <c r="AM29" s="17" t="n">
        <v>4</v>
      </c>
      <c r="AN29" s="17" t="n">
        <v>3</v>
      </c>
      <c r="AO29" s="17" t="n">
        <v>3</v>
      </c>
      <c r="AP29" s="17" t="n">
        <v>5</v>
      </c>
      <c r="AQ29" s="17" t="n">
        <v>5</v>
      </c>
      <c r="AR29" s="17" t="n">
        <v>7</v>
      </c>
      <c r="AS29" s="17" t="n">
        <v>4</v>
      </c>
      <c r="AT29" s="8">
        <f>SUM(AB29:AS29)</f>
        <v/>
      </c>
      <c r="AU29" s="8">
        <f>AU11</f>
        <v/>
      </c>
      <c r="AV29" s="8">
        <f>AT29-AU29</f>
        <v/>
      </c>
      <c r="AW29" s="8">
        <f>MAX(0,25-AV29)*1.0</f>
        <v/>
      </c>
      <c r="AX29" s="18">
        <f>AA29+AW29</f>
        <v/>
      </c>
    </row>
    <row r="30">
      <c r="A30" s="8" t="n">
        <v>18</v>
      </c>
      <c r="B30" t="inlineStr">
        <is>
          <t>Francisco Vilardell Carvalho</t>
        </is>
      </c>
      <c r="C30" s="8" t="inlineStr">
        <is>
          <t>52856</t>
        </is>
      </c>
      <c r="D30" t="inlineStr">
        <is>
          <t>Vale Pisão</t>
        </is>
      </c>
      <c r="E30" s="8" t="n">
        <v>9.199999999999999</v>
      </c>
      <c r="F30" s="17" t="n">
        <v>4</v>
      </c>
      <c r="G30" s="17" t="n">
        <v>4</v>
      </c>
      <c r="H30" s="17" t="n">
        <v>4</v>
      </c>
      <c r="I30" s="17" t="n">
        <v>5</v>
      </c>
      <c r="J30" s="17" t="n">
        <v>5</v>
      </c>
      <c r="K30" s="17" t="n">
        <v>6</v>
      </c>
      <c r="L30" s="17" t="n">
        <v>7</v>
      </c>
      <c r="M30" s="17" t="n">
        <v>8</v>
      </c>
      <c r="N30" s="17" t="n">
        <v>4</v>
      </c>
      <c r="O30" s="17" t="n">
        <v>6</v>
      </c>
      <c r="P30" s="17" t="n">
        <v>4</v>
      </c>
      <c r="Q30" s="17" t="n">
        <v>7</v>
      </c>
      <c r="R30" s="17" t="n">
        <v>4</v>
      </c>
      <c r="S30" s="17" t="n">
        <v>4</v>
      </c>
      <c r="T30" s="17" t="n">
        <v>4</v>
      </c>
      <c r="U30" s="17" t="n">
        <v>6</v>
      </c>
      <c r="V30" s="17" t="n">
        <v>6</v>
      </c>
      <c r="W30" s="17" t="n">
        <v>3</v>
      </c>
      <c r="X30" s="8">
        <f>SUM(F30:W30)</f>
        <v/>
      </c>
      <c r="Y30" s="8">
        <f>Y11</f>
        <v/>
      </c>
      <c r="Z30" s="8">
        <f>X30-Y30</f>
        <v/>
      </c>
      <c r="AA30" s="8">
        <f>MAX(0,25-Z30)*1.0</f>
        <v/>
      </c>
      <c r="AB30" s="17" t="n">
        <v>3</v>
      </c>
      <c r="AC30" s="17" t="n">
        <v>5</v>
      </c>
      <c r="AD30" s="17" t="n">
        <v>5</v>
      </c>
      <c r="AE30" s="17" t="n">
        <v>5</v>
      </c>
      <c r="AF30" s="17" t="n">
        <v>6</v>
      </c>
      <c r="AG30" s="17" t="n">
        <v>6</v>
      </c>
      <c r="AH30" s="17" t="n">
        <v>6</v>
      </c>
      <c r="AI30" s="17" t="n">
        <v>6</v>
      </c>
      <c r="AJ30" s="17" t="n">
        <v>6</v>
      </c>
      <c r="AK30" s="17" t="n">
        <v>5</v>
      </c>
      <c r="AL30" s="17" t="n">
        <v>3</v>
      </c>
      <c r="AM30" s="17" t="n">
        <v>5</v>
      </c>
      <c r="AN30" s="17" t="n">
        <v>6</v>
      </c>
      <c r="AO30" s="17" t="n">
        <v>3</v>
      </c>
      <c r="AP30" s="17" t="n">
        <v>5</v>
      </c>
      <c r="AQ30" s="17" t="n">
        <v>5</v>
      </c>
      <c r="AR30" s="17" t="n">
        <v>5</v>
      </c>
      <c r="AS30" s="17" t="n">
        <v>4</v>
      </c>
      <c r="AT30" s="8">
        <f>SUM(AB30:AS30)</f>
        <v/>
      </c>
      <c r="AU30" s="8">
        <f>AU11</f>
        <v/>
      </c>
      <c r="AV30" s="8">
        <f>AT30-AU30</f>
        <v/>
      </c>
      <c r="AW30" s="8">
        <f>MAX(0,25-AV30)*1.0</f>
        <v/>
      </c>
      <c r="AX30" s="18">
        <f>AA30+AW30</f>
        <v/>
      </c>
    </row>
    <row r="31">
      <c r="A31" s="8" t="n">
        <v>19</v>
      </c>
      <c r="B31" t="inlineStr">
        <is>
          <t>David Filip Jr</t>
        </is>
      </c>
      <c r="C31" s="8" t="inlineStr">
        <is>
          <t>51949</t>
        </is>
      </c>
      <c r="D31" t="inlineStr">
        <is>
          <t>Quinta do Peru</t>
        </is>
      </c>
      <c r="E31" s="8" t="n">
        <v>9.6</v>
      </c>
      <c r="F31" s="17" t="n">
        <v>6</v>
      </c>
      <c r="G31" s="17" t="n">
        <v>4</v>
      </c>
      <c r="H31" s="17" t="n">
        <v>4</v>
      </c>
      <c r="I31" s="17" t="n">
        <v>7</v>
      </c>
      <c r="J31" s="17" t="n">
        <v>5</v>
      </c>
      <c r="K31" s="17" t="n">
        <v>6</v>
      </c>
      <c r="L31" s="17" t="n">
        <v>5</v>
      </c>
      <c r="M31" s="17" t="n">
        <v>6</v>
      </c>
      <c r="N31" s="17" t="n">
        <v>4</v>
      </c>
      <c r="O31" s="17" t="n">
        <v>6</v>
      </c>
      <c r="P31" s="17" t="n">
        <v>4</v>
      </c>
      <c r="Q31" s="17" t="n">
        <v>6</v>
      </c>
      <c r="R31" s="17" t="n">
        <v>5</v>
      </c>
      <c r="S31" s="17" t="n">
        <v>6</v>
      </c>
      <c r="T31" s="17" t="n">
        <v>4</v>
      </c>
      <c r="U31" s="17" t="n">
        <v>5</v>
      </c>
      <c r="V31" s="17" t="n">
        <v>6</v>
      </c>
      <c r="W31" s="17" t="n">
        <v>3</v>
      </c>
      <c r="X31" s="8">
        <f>SUM(F31:W31)</f>
        <v/>
      </c>
      <c r="Y31" s="8">
        <f>Y11</f>
        <v/>
      </c>
      <c r="Z31" s="8">
        <f>X31-Y31</f>
        <v/>
      </c>
      <c r="AA31" s="8">
        <f>MAX(0,25-Z31)*1.0</f>
        <v/>
      </c>
      <c r="AB31" s="17" t="n">
        <v>4</v>
      </c>
      <c r="AC31" s="17" t="n">
        <v>4</v>
      </c>
      <c r="AD31" s="17" t="n">
        <v>4</v>
      </c>
      <c r="AE31" s="17" t="n">
        <v>4</v>
      </c>
      <c r="AF31" s="17" t="n">
        <v>4</v>
      </c>
      <c r="AG31" s="17" t="n">
        <v>5</v>
      </c>
      <c r="AH31" s="17" t="n">
        <v>5</v>
      </c>
      <c r="AI31" s="17" t="n">
        <v>5</v>
      </c>
      <c r="AJ31" s="17" t="n">
        <v>5</v>
      </c>
      <c r="AK31" s="17" t="n">
        <v>6</v>
      </c>
      <c r="AL31" s="17" t="n">
        <v>3</v>
      </c>
      <c r="AM31" s="17" t="n">
        <v>5</v>
      </c>
      <c r="AN31" s="17" t="n">
        <v>4</v>
      </c>
      <c r="AO31" s="17" t="n">
        <v>3</v>
      </c>
      <c r="AP31" s="17" t="n">
        <v>7</v>
      </c>
      <c r="AQ31" s="17" t="n">
        <v>5</v>
      </c>
      <c r="AR31" s="17" t="n">
        <v>5</v>
      </c>
      <c r="AS31" s="17" t="n">
        <v>3</v>
      </c>
      <c r="AT31" s="8">
        <f>SUM(AB31:AS31)</f>
        <v/>
      </c>
      <c r="AU31" s="8">
        <f>AU11</f>
        <v/>
      </c>
      <c r="AV31" s="8">
        <f>AT31-AU31</f>
        <v/>
      </c>
      <c r="AW31" s="8">
        <f>MAX(0,25-AV31)*1.0</f>
        <v/>
      </c>
      <c r="AX31" s="18">
        <f>AA31+AW31</f>
        <v/>
      </c>
    </row>
    <row r="32">
      <c r="A32" s="8" t="n">
        <v>20</v>
      </c>
      <c r="B32" t="inlineStr">
        <is>
          <t>Manuel Goulartt Medeiros</t>
        </is>
      </c>
      <c r="C32" s="8" t="inlineStr">
        <is>
          <t>52884</t>
        </is>
      </c>
      <c r="D32" t="inlineStr">
        <is>
          <t>Santo da Serra</t>
        </is>
      </c>
      <c r="E32" s="8" t="n">
        <v>9.800000000000001</v>
      </c>
      <c r="F32" s="17" t="n">
        <v>4</v>
      </c>
      <c r="G32" s="17" t="n">
        <v>5</v>
      </c>
      <c r="H32" s="17" t="n">
        <v>5</v>
      </c>
      <c r="I32" s="17" t="n">
        <v>5</v>
      </c>
      <c r="J32" s="17" t="n">
        <v>6</v>
      </c>
      <c r="K32" s="17" t="n">
        <v>8</v>
      </c>
      <c r="L32" s="17" t="n">
        <v>5</v>
      </c>
      <c r="M32" s="17" t="n">
        <v>8</v>
      </c>
      <c r="N32" s="17" t="n">
        <v>6</v>
      </c>
      <c r="O32" s="17" t="n">
        <v>6</v>
      </c>
      <c r="P32" s="17" t="n">
        <v>3</v>
      </c>
      <c r="Q32" s="17" t="n">
        <v>5</v>
      </c>
      <c r="R32" s="17" t="n">
        <v>4</v>
      </c>
      <c r="S32" s="17" t="n">
        <v>5</v>
      </c>
      <c r="T32" s="17" t="n">
        <v>7</v>
      </c>
      <c r="U32" s="17" t="n">
        <v>3</v>
      </c>
      <c r="V32" s="17" t="n">
        <v>6</v>
      </c>
      <c r="W32" s="17" t="n">
        <v>3</v>
      </c>
      <c r="X32" s="8">
        <f>SUM(F32:W32)</f>
        <v/>
      </c>
      <c r="Y32" s="8">
        <f>Y11</f>
        <v/>
      </c>
      <c r="Z32" s="8">
        <f>X32-Y32</f>
        <v/>
      </c>
      <c r="AA32" s="8">
        <f>MAX(0,25-Z32)*1.0</f>
        <v/>
      </c>
      <c r="AB32" s="17" t="n">
        <v>5</v>
      </c>
      <c r="AC32" s="17" t="n">
        <v>3</v>
      </c>
      <c r="AD32" s="17" t="n">
        <v>4</v>
      </c>
      <c r="AE32" s="17" t="n">
        <v>4</v>
      </c>
      <c r="AF32" s="17" t="n">
        <v>5</v>
      </c>
      <c r="AG32" s="17" t="n">
        <v>5</v>
      </c>
      <c r="AH32" s="17" t="n">
        <v>4</v>
      </c>
      <c r="AI32" s="17" t="n">
        <v>5</v>
      </c>
      <c r="AJ32" s="17" t="n">
        <v>4</v>
      </c>
      <c r="AK32" s="17" t="n">
        <v>4</v>
      </c>
      <c r="AL32" s="17" t="n">
        <v>3</v>
      </c>
      <c r="AM32" s="17" t="n">
        <v>4</v>
      </c>
      <c r="AN32" s="17" t="n">
        <v>6</v>
      </c>
      <c r="AO32" s="17" t="n">
        <v>4</v>
      </c>
      <c r="AP32" s="17" t="n">
        <v>5</v>
      </c>
      <c r="AQ32" s="17" t="n">
        <v>4</v>
      </c>
      <c r="AR32" s="17" t="n">
        <v>7</v>
      </c>
      <c r="AS32" s="17" t="n">
        <v>3</v>
      </c>
      <c r="AT32" s="8">
        <f>SUM(AB32:AS32)</f>
        <v/>
      </c>
      <c r="AU32" s="8">
        <f>AU11</f>
        <v/>
      </c>
      <c r="AV32" s="8">
        <f>AT32-AU32</f>
        <v/>
      </c>
      <c r="AW32" s="8">
        <f>MAX(0,25-AV32)*1.0</f>
        <v/>
      </c>
      <c r="AX32" s="18">
        <f>AA32+AW32</f>
        <v/>
      </c>
    </row>
    <row r="33">
      <c r="A33" s="8" t="inlineStr">
        <is>
          <t>ND</t>
        </is>
      </c>
      <c r="B33" t="inlineStr">
        <is>
          <t>Martim Moreira</t>
        </is>
      </c>
      <c r="C33" s="8" t="inlineStr">
        <is>
          <t>42985</t>
        </is>
      </c>
      <c r="D33" t="inlineStr">
        <is>
          <t>Belas</t>
        </is>
      </c>
      <c r="E33" s="8" t="n">
        <v>8.6</v>
      </c>
      <c r="AA33" s="8" t="n">
        <v>0</v>
      </c>
      <c r="AW33" s="8" t="n">
        <v>0</v>
      </c>
      <c r="AX33" s="18">
        <f>AA33+AW33</f>
        <v/>
      </c>
    </row>
  </sheetData>
  <mergeCells count="1">
    <mergeCell ref="A1:H1"/>
  </mergeCells>
  <conditionalFormatting sqref="F13:F33">
    <cfRule type="expression" priority="1" dxfId="0">
      <formula>AND(ISNUMBER(F13),F13&lt;=$F$11-2,F13&gt;0)</formula>
    </cfRule>
    <cfRule type="expression" priority="2" dxfId="1">
      <formula>AND(ISNUMBER(F13),F13=$F$11-1)</formula>
    </cfRule>
    <cfRule type="expression" priority="3" dxfId="2">
      <formula>AND(ISNUMBER(F13),F13=$F$11+1)</formula>
    </cfRule>
    <cfRule type="expression" priority="4" dxfId="3">
      <formula>AND(ISNUMBER(F13),F13=$F$11+2)</formula>
    </cfRule>
    <cfRule type="expression" priority="5" dxfId="4">
      <formula>AND(ISNUMBER(F13),F13=$F$11+3)</formula>
    </cfRule>
    <cfRule type="expression" priority="6" dxfId="5">
      <formula>AND(ISNUMBER(F13),F13&gt;=$F$11+4)</formula>
    </cfRule>
  </conditionalFormatting>
  <conditionalFormatting sqref="G13:G33">
    <cfRule type="expression" priority="7" dxfId="0">
      <formula>AND(ISNUMBER(G13),G13&lt;=$G$11-2,G13&gt;0)</formula>
    </cfRule>
    <cfRule type="expression" priority="8" dxfId="1">
      <formula>AND(ISNUMBER(G13),G13=$G$11-1)</formula>
    </cfRule>
    <cfRule type="expression" priority="9" dxfId="2">
      <formula>AND(ISNUMBER(G13),G13=$G$11+1)</formula>
    </cfRule>
    <cfRule type="expression" priority="10" dxfId="3">
      <formula>AND(ISNUMBER(G13),G13=$G$11+2)</formula>
    </cfRule>
    <cfRule type="expression" priority="11" dxfId="4">
      <formula>AND(ISNUMBER(G13),G13=$G$11+3)</formula>
    </cfRule>
    <cfRule type="expression" priority="12" dxfId="5">
      <formula>AND(ISNUMBER(G13),G13&gt;=$G$11+4)</formula>
    </cfRule>
  </conditionalFormatting>
  <conditionalFormatting sqref="H13:H33">
    <cfRule type="expression" priority="13" dxfId="0">
      <formula>AND(ISNUMBER(H13),H13&lt;=$H$11-2,H13&gt;0)</formula>
    </cfRule>
    <cfRule type="expression" priority="14" dxfId="1">
      <formula>AND(ISNUMBER(H13),H13=$H$11-1)</formula>
    </cfRule>
    <cfRule type="expression" priority="15" dxfId="2">
      <formula>AND(ISNUMBER(H13),H13=$H$11+1)</formula>
    </cfRule>
    <cfRule type="expression" priority="16" dxfId="3">
      <formula>AND(ISNUMBER(H13),H13=$H$11+2)</formula>
    </cfRule>
    <cfRule type="expression" priority="17" dxfId="4">
      <formula>AND(ISNUMBER(H13),H13=$H$11+3)</formula>
    </cfRule>
    <cfRule type="expression" priority="18" dxfId="5">
      <formula>AND(ISNUMBER(H13),H13&gt;=$H$11+4)</formula>
    </cfRule>
  </conditionalFormatting>
  <conditionalFormatting sqref="I13:I33">
    <cfRule type="expression" priority="19" dxfId="0">
      <formula>AND(ISNUMBER(I13),I13&lt;=$I$11-2,I13&gt;0)</formula>
    </cfRule>
    <cfRule type="expression" priority="20" dxfId="1">
      <formula>AND(ISNUMBER(I13),I13=$I$11-1)</formula>
    </cfRule>
    <cfRule type="expression" priority="21" dxfId="2">
      <formula>AND(ISNUMBER(I13),I13=$I$11+1)</formula>
    </cfRule>
    <cfRule type="expression" priority="22" dxfId="3">
      <formula>AND(ISNUMBER(I13),I13=$I$11+2)</formula>
    </cfRule>
    <cfRule type="expression" priority="23" dxfId="4">
      <formula>AND(ISNUMBER(I13),I13=$I$11+3)</formula>
    </cfRule>
    <cfRule type="expression" priority="24" dxfId="5">
      <formula>AND(ISNUMBER(I13),I13&gt;=$I$11+4)</formula>
    </cfRule>
  </conditionalFormatting>
  <conditionalFormatting sqref="J13:J33">
    <cfRule type="expression" priority="25" dxfId="0">
      <formula>AND(ISNUMBER(J13),J13&lt;=$J$11-2,J13&gt;0)</formula>
    </cfRule>
    <cfRule type="expression" priority="26" dxfId="1">
      <formula>AND(ISNUMBER(J13),J13=$J$11-1)</formula>
    </cfRule>
    <cfRule type="expression" priority="27" dxfId="2">
      <formula>AND(ISNUMBER(J13),J13=$J$11+1)</formula>
    </cfRule>
    <cfRule type="expression" priority="28" dxfId="3">
      <formula>AND(ISNUMBER(J13),J13=$J$11+2)</formula>
    </cfRule>
    <cfRule type="expression" priority="29" dxfId="4">
      <formula>AND(ISNUMBER(J13),J13=$J$11+3)</formula>
    </cfRule>
    <cfRule type="expression" priority="30" dxfId="5">
      <formula>AND(ISNUMBER(J13),J13&gt;=$J$11+4)</formula>
    </cfRule>
  </conditionalFormatting>
  <conditionalFormatting sqref="K13:K33">
    <cfRule type="expression" priority="31" dxfId="0">
      <formula>AND(ISNUMBER(K13),K13&lt;=$K$11-2,K13&gt;0)</formula>
    </cfRule>
    <cfRule type="expression" priority="32" dxfId="1">
      <formula>AND(ISNUMBER(K13),K13=$K$11-1)</formula>
    </cfRule>
    <cfRule type="expression" priority="33" dxfId="2">
      <formula>AND(ISNUMBER(K13),K13=$K$11+1)</formula>
    </cfRule>
    <cfRule type="expression" priority="34" dxfId="3">
      <formula>AND(ISNUMBER(K13),K13=$K$11+2)</formula>
    </cfRule>
    <cfRule type="expression" priority="35" dxfId="4">
      <formula>AND(ISNUMBER(K13),K13=$K$11+3)</formula>
    </cfRule>
    <cfRule type="expression" priority="36" dxfId="5">
      <formula>AND(ISNUMBER(K13),K13&gt;=$K$11+4)</formula>
    </cfRule>
  </conditionalFormatting>
  <conditionalFormatting sqref="L13:L33">
    <cfRule type="expression" priority="37" dxfId="0">
      <formula>AND(ISNUMBER(L13),L13&lt;=$L$11-2,L13&gt;0)</formula>
    </cfRule>
    <cfRule type="expression" priority="38" dxfId="1">
      <formula>AND(ISNUMBER(L13),L13=$L$11-1)</formula>
    </cfRule>
    <cfRule type="expression" priority="39" dxfId="2">
      <formula>AND(ISNUMBER(L13),L13=$L$11+1)</formula>
    </cfRule>
    <cfRule type="expression" priority="40" dxfId="3">
      <formula>AND(ISNUMBER(L13),L13=$L$11+2)</formula>
    </cfRule>
    <cfRule type="expression" priority="41" dxfId="4">
      <formula>AND(ISNUMBER(L13),L13=$L$11+3)</formula>
    </cfRule>
    <cfRule type="expression" priority="42" dxfId="5">
      <formula>AND(ISNUMBER(L13),L13&gt;=$L$11+4)</formula>
    </cfRule>
  </conditionalFormatting>
  <conditionalFormatting sqref="M13:M33">
    <cfRule type="expression" priority="43" dxfId="0">
      <formula>AND(ISNUMBER(M13),M13&lt;=$M$11-2,M13&gt;0)</formula>
    </cfRule>
    <cfRule type="expression" priority="44" dxfId="1">
      <formula>AND(ISNUMBER(M13),M13=$M$11-1)</formula>
    </cfRule>
    <cfRule type="expression" priority="45" dxfId="2">
      <formula>AND(ISNUMBER(M13),M13=$M$11+1)</formula>
    </cfRule>
    <cfRule type="expression" priority="46" dxfId="3">
      <formula>AND(ISNUMBER(M13),M13=$M$11+2)</formula>
    </cfRule>
    <cfRule type="expression" priority="47" dxfId="4">
      <formula>AND(ISNUMBER(M13),M13=$M$11+3)</formula>
    </cfRule>
    <cfRule type="expression" priority="48" dxfId="5">
      <formula>AND(ISNUMBER(M13),M13&gt;=$M$11+4)</formula>
    </cfRule>
  </conditionalFormatting>
  <conditionalFormatting sqref="N13:N33">
    <cfRule type="expression" priority="49" dxfId="0">
      <formula>AND(ISNUMBER(N13),N13&lt;=$N$11-2,N13&gt;0)</formula>
    </cfRule>
    <cfRule type="expression" priority="50" dxfId="1">
      <formula>AND(ISNUMBER(N13),N13=$N$11-1)</formula>
    </cfRule>
    <cfRule type="expression" priority="51" dxfId="2">
      <formula>AND(ISNUMBER(N13),N13=$N$11+1)</formula>
    </cfRule>
    <cfRule type="expression" priority="52" dxfId="3">
      <formula>AND(ISNUMBER(N13),N13=$N$11+2)</formula>
    </cfRule>
    <cfRule type="expression" priority="53" dxfId="4">
      <formula>AND(ISNUMBER(N13),N13=$N$11+3)</formula>
    </cfRule>
    <cfRule type="expression" priority="54" dxfId="5">
      <formula>AND(ISNUMBER(N13),N13&gt;=$N$11+4)</formula>
    </cfRule>
  </conditionalFormatting>
  <conditionalFormatting sqref="O13:O33">
    <cfRule type="expression" priority="55" dxfId="0">
      <formula>AND(ISNUMBER(O13),O13&lt;=$O$11-2,O13&gt;0)</formula>
    </cfRule>
    <cfRule type="expression" priority="56" dxfId="1">
      <formula>AND(ISNUMBER(O13),O13=$O$11-1)</formula>
    </cfRule>
    <cfRule type="expression" priority="57" dxfId="2">
      <formula>AND(ISNUMBER(O13),O13=$O$11+1)</formula>
    </cfRule>
    <cfRule type="expression" priority="58" dxfId="3">
      <formula>AND(ISNUMBER(O13),O13=$O$11+2)</formula>
    </cfRule>
    <cfRule type="expression" priority="59" dxfId="4">
      <formula>AND(ISNUMBER(O13),O13=$O$11+3)</formula>
    </cfRule>
    <cfRule type="expression" priority="60" dxfId="5">
      <formula>AND(ISNUMBER(O13),O13&gt;=$O$11+4)</formula>
    </cfRule>
  </conditionalFormatting>
  <conditionalFormatting sqref="P13:P33">
    <cfRule type="expression" priority="61" dxfId="0">
      <formula>AND(ISNUMBER(P13),P13&lt;=$P$11-2,P13&gt;0)</formula>
    </cfRule>
    <cfRule type="expression" priority="62" dxfId="1">
      <formula>AND(ISNUMBER(P13),P13=$P$11-1)</formula>
    </cfRule>
    <cfRule type="expression" priority="63" dxfId="2">
      <formula>AND(ISNUMBER(P13),P13=$P$11+1)</formula>
    </cfRule>
    <cfRule type="expression" priority="64" dxfId="3">
      <formula>AND(ISNUMBER(P13),P13=$P$11+2)</formula>
    </cfRule>
    <cfRule type="expression" priority="65" dxfId="4">
      <formula>AND(ISNUMBER(P13),P13=$P$11+3)</formula>
    </cfRule>
    <cfRule type="expression" priority="66" dxfId="5">
      <formula>AND(ISNUMBER(P13),P13&gt;=$P$11+4)</formula>
    </cfRule>
  </conditionalFormatting>
  <conditionalFormatting sqref="Q13:Q33">
    <cfRule type="expression" priority="67" dxfId="0">
      <formula>AND(ISNUMBER(Q13),Q13&lt;=$Q$11-2,Q13&gt;0)</formula>
    </cfRule>
    <cfRule type="expression" priority="68" dxfId="1">
      <formula>AND(ISNUMBER(Q13),Q13=$Q$11-1)</formula>
    </cfRule>
    <cfRule type="expression" priority="69" dxfId="2">
      <formula>AND(ISNUMBER(Q13),Q13=$Q$11+1)</formula>
    </cfRule>
    <cfRule type="expression" priority="70" dxfId="3">
      <formula>AND(ISNUMBER(Q13),Q13=$Q$11+2)</formula>
    </cfRule>
    <cfRule type="expression" priority="71" dxfId="4">
      <formula>AND(ISNUMBER(Q13),Q13=$Q$11+3)</formula>
    </cfRule>
    <cfRule type="expression" priority="72" dxfId="5">
      <formula>AND(ISNUMBER(Q13),Q13&gt;=$Q$11+4)</formula>
    </cfRule>
  </conditionalFormatting>
  <conditionalFormatting sqref="R13:R33">
    <cfRule type="expression" priority="73" dxfId="0">
      <formula>AND(ISNUMBER(R13),R13&lt;=$R$11-2,R13&gt;0)</formula>
    </cfRule>
    <cfRule type="expression" priority="74" dxfId="1">
      <formula>AND(ISNUMBER(R13),R13=$R$11-1)</formula>
    </cfRule>
    <cfRule type="expression" priority="75" dxfId="2">
      <formula>AND(ISNUMBER(R13),R13=$R$11+1)</formula>
    </cfRule>
    <cfRule type="expression" priority="76" dxfId="3">
      <formula>AND(ISNUMBER(R13),R13=$R$11+2)</formula>
    </cfRule>
    <cfRule type="expression" priority="77" dxfId="4">
      <formula>AND(ISNUMBER(R13),R13=$R$11+3)</formula>
    </cfRule>
    <cfRule type="expression" priority="78" dxfId="5">
      <formula>AND(ISNUMBER(R13),R13&gt;=$R$11+4)</formula>
    </cfRule>
  </conditionalFormatting>
  <conditionalFormatting sqref="S13:S33">
    <cfRule type="expression" priority="79" dxfId="0">
      <formula>AND(ISNUMBER(S13),S13&lt;=$S$11-2,S13&gt;0)</formula>
    </cfRule>
    <cfRule type="expression" priority="80" dxfId="1">
      <formula>AND(ISNUMBER(S13),S13=$S$11-1)</formula>
    </cfRule>
    <cfRule type="expression" priority="81" dxfId="2">
      <formula>AND(ISNUMBER(S13),S13=$S$11+1)</formula>
    </cfRule>
    <cfRule type="expression" priority="82" dxfId="3">
      <formula>AND(ISNUMBER(S13),S13=$S$11+2)</formula>
    </cfRule>
    <cfRule type="expression" priority="83" dxfId="4">
      <formula>AND(ISNUMBER(S13),S13=$S$11+3)</formula>
    </cfRule>
    <cfRule type="expression" priority="84" dxfId="5">
      <formula>AND(ISNUMBER(S13),S13&gt;=$S$11+4)</formula>
    </cfRule>
  </conditionalFormatting>
  <conditionalFormatting sqref="T13:T33">
    <cfRule type="expression" priority="85" dxfId="0">
      <formula>AND(ISNUMBER(T13),T13&lt;=$T$11-2,T13&gt;0)</formula>
    </cfRule>
    <cfRule type="expression" priority="86" dxfId="1">
      <formula>AND(ISNUMBER(T13),T13=$T$11-1)</formula>
    </cfRule>
    <cfRule type="expression" priority="87" dxfId="2">
      <formula>AND(ISNUMBER(T13),T13=$T$11+1)</formula>
    </cfRule>
    <cfRule type="expression" priority="88" dxfId="3">
      <formula>AND(ISNUMBER(T13),T13=$T$11+2)</formula>
    </cfRule>
    <cfRule type="expression" priority="89" dxfId="4">
      <formula>AND(ISNUMBER(T13),T13=$T$11+3)</formula>
    </cfRule>
    <cfRule type="expression" priority="90" dxfId="5">
      <formula>AND(ISNUMBER(T13),T13&gt;=$T$11+4)</formula>
    </cfRule>
  </conditionalFormatting>
  <conditionalFormatting sqref="U13:U33">
    <cfRule type="expression" priority="91" dxfId="0">
      <formula>AND(ISNUMBER(U13),U13&lt;=$U$11-2,U13&gt;0)</formula>
    </cfRule>
    <cfRule type="expression" priority="92" dxfId="1">
      <formula>AND(ISNUMBER(U13),U13=$U$11-1)</formula>
    </cfRule>
    <cfRule type="expression" priority="93" dxfId="2">
      <formula>AND(ISNUMBER(U13),U13=$U$11+1)</formula>
    </cfRule>
    <cfRule type="expression" priority="94" dxfId="3">
      <formula>AND(ISNUMBER(U13),U13=$U$11+2)</formula>
    </cfRule>
    <cfRule type="expression" priority="95" dxfId="4">
      <formula>AND(ISNUMBER(U13),U13=$U$11+3)</formula>
    </cfRule>
    <cfRule type="expression" priority="96" dxfId="5">
      <formula>AND(ISNUMBER(U13),U13&gt;=$U$11+4)</formula>
    </cfRule>
  </conditionalFormatting>
  <conditionalFormatting sqref="V13:V33">
    <cfRule type="expression" priority="97" dxfId="0">
      <formula>AND(ISNUMBER(V13),V13&lt;=$V$11-2,V13&gt;0)</formula>
    </cfRule>
    <cfRule type="expression" priority="98" dxfId="1">
      <formula>AND(ISNUMBER(V13),V13=$V$11-1)</formula>
    </cfRule>
    <cfRule type="expression" priority="99" dxfId="2">
      <formula>AND(ISNUMBER(V13),V13=$V$11+1)</formula>
    </cfRule>
    <cfRule type="expression" priority="100" dxfId="3">
      <formula>AND(ISNUMBER(V13),V13=$V$11+2)</formula>
    </cfRule>
    <cfRule type="expression" priority="101" dxfId="4">
      <formula>AND(ISNUMBER(V13),V13=$V$11+3)</formula>
    </cfRule>
    <cfRule type="expression" priority="102" dxfId="5">
      <formula>AND(ISNUMBER(V13),V13&gt;=$V$11+4)</formula>
    </cfRule>
  </conditionalFormatting>
  <conditionalFormatting sqref="W13:W33">
    <cfRule type="expression" priority="103" dxfId="0">
      <formula>AND(ISNUMBER(W13),W13&lt;=$W$11-2,W13&gt;0)</formula>
    </cfRule>
    <cfRule type="expression" priority="104" dxfId="1">
      <formula>AND(ISNUMBER(W13),W13=$W$11-1)</formula>
    </cfRule>
    <cfRule type="expression" priority="105" dxfId="2">
      <formula>AND(ISNUMBER(W13),W13=$W$11+1)</formula>
    </cfRule>
    <cfRule type="expression" priority="106" dxfId="3">
      <formula>AND(ISNUMBER(W13),W13=$W$11+2)</formula>
    </cfRule>
    <cfRule type="expression" priority="107" dxfId="4">
      <formula>AND(ISNUMBER(W13),W13=$W$11+3)</formula>
    </cfRule>
    <cfRule type="expression" priority="108" dxfId="5">
      <formula>AND(ISNUMBER(W13),W13&gt;=$W$11+4)</formula>
    </cfRule>
  </conditionalFormatting>
  <conditionalFormatting sqref="AB13:AB33">
    <cfRule type="expression" priority="109" dxfId="0">
      <formula>AND(ISNUMBER(AB13),AB13&lt;=$AB$11-2,AB13&gt;0)</formula>
    </cfRule>
    <cfRule type="expression" priority="110" dxfId="1">
      <formula>AND(ISNUMBER(AB13),AB13=$AB$11-1)</formula>
    </cfRule>
    <cfRule type="expression" priority="111" dxfId="2">
      <formula>AND(ISNUMBER(AB13),AB13=$AB$11+1)</formula>
    </cfRule>
    <cfRule type="expression" priority="112" dxfId="3">
      <formula>AND(ISNUMBER(AB13),AB13=$AB$11+2)</formula>
    </cfRule>
    <cfRule type="expression" priority="113" dxfId="4">
      <formula>AND(ISNUMBER(AB13),AB13=$AB$11+3)</formula>
    </cfRule>
    <cfRule type="expression" priority="114" dxfId="5">
      <formula>AND(ISNUMBER(AB13),AB13&gt;=$AB$11+4)</formula>
    </cfRule>
  </conditionalFormatting>
  <conditionalFormatting sqref="AC13:AC33">
    <cfRule type="expression" priority="115" dxfId="0">
      <formula>AND(ISNUMBER(AC13),AC13&lt;=$AC$11-2,AC13&gt;0)</formula>
    </cfRule>
    <cfRule type="expression" priority="116" dxfId="1">
      <formula>AND(ISNUMBER(AC13),AC13=$AC$11-1)</formula>
    </cfRule>
    <cfRule type="expression" priority="117" dxfId="2">
      <formula>AND(ISNUMBER(AC13),AC13=$AC$11+1)</formula>
    </cfRule>
    <cfRule type="expression" priority="118" dxfId="3">
      <formula>AND(ISNUMBER(AC13),AC13=$AC$11+2)</formula>
    </cfRule>
    <cfRule type="expression" priority="119" dxfId="4">
      <formula>AND(ISNUMBER(AC13),AC13=$AC$11+3)</formula>
    </cfRule>
    <cfRule type="expression" priority="120" dxfId="5">
      <formula>AND(ISNUMBER(AC13),AC13&gt;=$AC$11+4)</formula>
    </cfRule>
  </conditionalFormatting>
  <conditionalFormatting sqref="AD13:AD33">
    <cfRule type="expression" priority="121" dxfId="0">
      <formula>AND(ISNUMBER(AD13),AD13&lt;=$AD$11-2,AD13&gt;0)</formula>
    </cfRule>
    <cfRule type="expression" priority="122" dxfId="1">
      <formula>AND(ISNUMBER(AD13),AD13=$AD$11-1)</formula>
    </cfRule>
    <cfRule type="expression" priority="123" dxfId="2">
      <formula>AND(ISNUMBER(AD13),AD13=$AD$11+1)</formula>
    </cfRule>
    <cfRule type="expression" priority="124" dxfId="3">
      <formula>AND(ISNUMBER(AD13),AD13=$AD$11+2)</formula>
    </cfRule>
    <cfRule type="expression" priority="125" dxfId="4">
      <formula>AND(ISNUMBER(AD13),AD13=$AD$11+3)</formula>
    </cfRule>
    <cfRule type="expression" priority="126" dxfId="5">
      <formula>AND(ISNUMBER(AD13),AD13&gt;=$AD$11+4)</formula>
    </cfRule>
  </conditionalFormatting>
  <conditionalFormatting sqref="AE13:AE33">
    <cfRule type="expression" priority="127" dxfId="0">
      <formula>AND(ISNUMBER(AE13),AE13&lt;=$AE$11-2,AE13&gt;0)</formula>
    </cfRule>
    <cfRule type="expression" priority="128" dxfId="1">
      <formula>AND(ISNUMBER(AE13),AE13=$AE$11-1)</formula>
    </cfRule>
    <cfRule type="expression" priority="129" dxfId="2">
      <formula>AND(ISNUMBER(AE13),AE13=$AE$11+1)</formula>
    </cfRule>
    <cfRule type="expression" priority="130" dxfId="3">
      <formula>AND(ISNUMBER(AE13),AE13=$AE$11+2)</formula>
    </cfRule>
    <cfRule type="expression" priority="131" dxfId="4">
      <formula>AND(ISNUMBER(AE13),AE13=$AE$11+3)</formula>
    </cfRule>
    <cfRule type="expression" priority="132" dxfId="5">
      <formula>AND(ISNUMBER(AE13),AE13&gt;=$AE$11+4)</formula>
    </cfRule>
  </conditionalFormatting>
  <conditionalFormatting sqref="AF13:AF33">
    <cfRule type="expression" priority="133" dxfId="0">
      <formula>AND(ISNUMBER(AF13),AF13&lt;=$AF$11-2,AF13&gt;0)</formula>
    </cfRule>
    <cfRule type="expression" priority="134" dxfId="1">
      <formula>AND(ISNUMBER(AF13),AF13=$AF$11-1)</formula>
    </cfRule>
    <cfRule type="expression" priority="135" dxfId="2">
      <formula>AND(ISNUMBER(AF13),AF13=$AF$11+1)</formula>
    </cfRule>
    <cfRule type="expression" priority="136" dxfId="3">
      <formula>AND(ISNUMBER(AF13),AF13=$AF$11+2)</formula>
    </cfRule>
    <cfRule type="expression" priority="137" dxfId="4">
      <formula>AND(ISNUMBER(AF13),AF13=$AF$11+3)</formula>
    </cfRule>
    <cfRule type="expression" priority="138" dxfId="5">
      <formula>AND(ISNUMBER(AF13),AF13&gt;=$AF$11+4)</formula>
    </cfRule>
  </conditionalFormatting>
  <conditionalFormatting sqref="AG13:AG33">
    <cfRule type="expression" priority="139" dxfId="0">
      <formula>AND(ISNUMBER(AG13),AG13&lt;=$AG$11-2,AG13&gt;0)</formula>
    </cfRule>
    <cfRule type="expression" priority="140" dxfId="1">
      <formula>AND(ISNUMBER(AG13),AG13=$AG$11-1)</formula>
    </cfRule>
    <cfRule type="expression" priority="141" dxfId="2">
      <formula>AND(ISNUMBER(AG13),AG13=$AG$11+1)</formula>
    </cfRule>
    <cfRule type="expression" priority="142" dxfId="3">
      <formula>AND(ISNUMBER(AG13),AG13=$AG$11+2)</formula>
    </cfRule>
    <cfRule type="expression" priority="143" dxfId="4">
      <formula>AND(ISNUMBER(AG13),AG13=$AG$11+3)</formula>
    </cfRule>
    <cfRule type="expression" priority="144" dxfId="5">
      <formula>AND(ISNUMBER(AG13),AG13&gt;=$AG$11+4)</formula>
    </cfRule>
  </conditionalFormatting>
  <conditionalFormatting sqref="AH13:AH33">
    <cfRule type="expression" priority="145" dxfId="0">
      <formula>AND(ISNUMBER(AH13),AH13&lt;=$AH$11-2,AH13&gt;0)</formula>
    </cfRule>
    <cfRule type="expression" priority="146" dxfId="1">
      <formula>AND(ISNUMBER(AH13),AH13=$AH$11-1)</formula>
    </cfRule>
    <cfRule type="expression" priority="147" dxfId="2">
      <formula>AND(ISNUMBER(AH13),AH13=$AH$11+1)</formula>
    </cfRule>
    <cfRule type="expression" priority="148" dxfId="3">
      <formula>AND(ISNUMBER(AH13),AH13=$AH$11+2)</formula>
    </cfRule>
    <cfRule type="expression" priority="149" dxfId="4">
      <formula>AND(ISNUMBER(AH13),AH13=$AH$11+3)</formula>
    </cfRule>
    <cfRule type="expression" priority="150" dxfId="5">
      <formula>AND(ISNUMBER(AH13),AH13&gt;=$AH$11+4)</formula>
    </cfRule>
  </conditionalFormatting>
  <conditionalFormatting sqref="AI13:AI33">
    <cfRule type="expression" priority="151" dxfId="0">
      <formula>AND(ISNUMBER(AI13),AI13&lt;=$AI$11-2,AI13&gt;0)</formula>
    </cfRule>
    <cfRule type="expression" priority="152" dxfId="1">
      <formula>AND(ISNUMBER(AI13),AI13=$AI$11-1)</formula>
    </cfRule>
    <cfRule type="expression" priority="153" dxfId="2">
      <formula>AND(ISNUMBER(AI13),AI13=$AI$11+1)</formula>
    </cfRule>
    <cfRule type="expression" priority="154" dxfId="3">
      <formula>AND(ISNUMBER(AI13),AI13=$AI$11+2)</formula>
    </cfRule>
    <cfRule type="expression" priority="155" dxfId="4">
      <formula>AND(ISNUMBER(AI13),AI13=$AI$11+3)</formula>
    </cfRule>
    <cfRule type="expression" priority="156" dxfId="5">
      <formula>AND(ISNUMBER(AI13),AI13&gt;=$AI$11+4)</formula>
    </cfRule>
  </conditionalFormatting>
  <conditionalFormatting sqref="AJ13:AJ33">
    <cfRule type="expression" priority="157" dxfId="0">
      <formula>AND(ISNUMBER(AJ13),AJ13&lt;=$AJ$11-2,AJ13&gt;0)</formula>
    </cfRule>
    <cfRule type="expression" priority="158" dxfId="1">
      <formula>AND(ISNUMBER(AJ13),AJ13=$AJ$11-1)</formula>
    </cfRule>
    <cfRule type="expression" priority="159" dxfId="2">
      <formula>AND(ISNUMBER(AJ13),AJ13=$AJ$11+1)</formula>
    </cfRule>
    <cfRule type="expression" priority="160" dxfId="3">
      <formula>AND(ISNUMBER(AJ13),AJ13=$AJ$11+2)</formula>
    </cfRule>
    <cfRule type="expression" priority="161" dxfId="4">
      <formula>AND(ISNUMBER(AJ13),AJ13=$AJ$11+3)</formula>
    </cfRule>
    <cfRule type="expression" priority="162" dxfId="5">
      <formula>AND(ISNUMBER(AJ13),AJ13&gt;=$AJ$11+4)</formula>
    </cfRule>
  </conditionalFormatting>
  <conditionalFormatting sqref="AK13:AK33">
    <cfRule type="expression" priority="163" dxfId="0">
      <formula>AND(ISNUMBER(AK13),AK13&lt;=$AK$11-2,AK13&gt;0)</formula>
    </cfRule>
    <cfRule type="expression" priority="164" dxfId="1">
      <formula>AND(ISNUMBER(AK13),AK13=$AK$11-1)</formula>
    </cfRule>
    <cfRule type="expression" priority="165" dxfId="2">
      <formula>AND(ISNUMBER(AK13),AK13=$AK$11+1)</formula>
    </cfRule>
    <cfRule type="expression" priority="166" dxfId="3">
      <formula>AND(ISNUMBER(AK13),AK13=$AK$11+2)</formula>
    </cfRule>
    <cfRule type="expression" priority="167" dxfId="4">
      <formula>AND(ISNUMBER(AK13),AK13=$AK$11+3)</formula>
    </cfRule>
    <cfRule type="expression" priority="168" dxfId="5">
      <formula>AND(ISNUMBER(AK13),AK13&gt;=$AK$11+4)</formula>
    </cfRule>
  </conditionalFormatting>
  <conditionalFormatting sqref="AL13:AL33">
    <cfRule type="expression" priority="169" dxfId="0">
      <formula>AND(ISNUMBER(AL13),AL13&lt;=$AL$11-2,AL13&gt;0)</formula>
    </cfRule>
    <cfRule type="expression" priority="170" dxfId="1">
      <formula>AND(ISNUMBER(AL13),AL13=$AL$11-1)</formula>
    </cfRule>
    <cfRule type="expression" priority="171" dxfId="2">
      <formula>AND(ISNUMBER(AL13),AL13=$AL$11+1)</formula>
    </cfRule>
    <cfRule type="expression" priority="172" dxfId="3">
      <formula>AND(ISNUMBER(AL13),AL13=$AL$11+2)</formula>
    </cfRule>
    <cfRule type="expression" priority="173" dxfId="4">
      <formula>AND(ISNUMBER(AL13),AL13=$AL$11+3)</formula>
    </cfRule>
    <cfRule type="expression" priority="174" dxfId="5">
      <formula>AND(ISNUMBER(AL13),AL13&gt;=$AL$11+4)</formula>
    </cfRule>
  </conditionalFormatting>
  <conditionalFormatting sqref="AM13:AM33">
    <cfRule type="expression" priority="175" dxfId="0">
      <formula>AND(ISNUMBER(AM13),AM13&lt;=$AM$11-2,AM13&gt;0)</formula>
    </cfRule>
    <cfRule type="expression" priority="176" dxfId="1">
      <formula>AND(ISNUMBER(AM13),AM13=$AM$11-1)</formula>
    </cfRule>
    <cfRule type="expression" priority="177" dxfId="2">
      <formula>AND(ISNUMBER(AM13),AM13=$AM$11+1)</formula>
    </cfRule>
    <cfRule type="expression" priority="178" dxfId="3">
      <formula>AND(ISNUMBER(AM13),AM13=$AM$11+2)</formula>
    </cfRule>
    <cfRule type="expression" priority="179" dxfId="4">
      <formula>AND(ISNUMBER(AM13),AM13=$AM$11+3)</formula>
    </cfRule>
    <cfRule type="expression" priority="180" dxfId="5">
      <formula>AND(ISNUMBER(AM13),AM13&gt;=$AM$11+4)</formula>
    </cfRule>
  </conditionalFormatting>
  <conditionalFormatting sqref="AN13:AN33">
    <cfRule type="expression" priority="181" dxfId="0">
      <formula>AND(ISNUMBER(AN13),AN13&lt;=$AN$11-2,AN13&gt;0)</formula>
    </cfRule>
    <cfRule type="expression" priority="182" dxfId="1">
      <formula>AND(ISNUMBER(AN13),AN13=$AN$11-1)</formula>
    </cfRule>
    <cfRule type="expression" priority="183" dxfId="2">
      <formula>AND(ISNUMBER(AN13),AN13=$AN$11+1)</formula>
    </cfRule>
    <cfRule type="expression" priority="184" dxfId="3">
      <formula>AND(ISNUMBER(AN13),AN13=$AN$11+2)</formula>
    </cfRule>
    <cfRule type="expression" priority="185" dxfId="4">
      <formula>AND(ISNUMBER(AN13),AN13=$AN$11+3)</formula>
    </cfRule>
    <cfRule type="expression" priority="186" dxfId="5">
      <formula>AND(ISNUMBER(AN13),AN13&gt;=$AN$11+4)</formula>
    </cfRule>
  </conditionalFormatting>
  <conditionalFormatting sqref="AO13:AO33">
    <cfRule type="expression" priority="187" dxfId="0">
      <formula>AND(ISNUMBER(AO13),AO13&lt;=$AO$11-2,AO13&gt;0)</formula>
    </cfRule>
    <cfRule type="expression" priority="188" dxfId="1">
      <formula>AND(ISNUMBER(AO13),AO13=$AO$11-1)</formula>
    </cfRule>
    <cfRule type="expression" priority="189" dxfId="2">
      <formula>AND(ISNUMBER(AO13),AO13=$AO$11+1)</formula>
    </cfRule>
    <cfRule type="expression" priority="190" dxfId="3">
      <formula>AND(ISNUMBER(AO13),AO13=$AO$11+2)</formula>
    </cfRule>
    <cfRule type="expression" priority="191" dxfId="4">
      <formula>AND(ISNUMBER(AO13),AO13=$AO$11+3)</formula>
    </cfRule>
    <cfRule type="expression" priority="192" dxfId="5">
      <formula>AND(ISNUMBER(AO13),AO13&gt;=$AO$11+4)</formula>
    </cfRule>
  </conditionalFormatting>
  <conditionalFormatting sqref="AP13:AP33">
    <cfRule type="expression" priority="193" dxfId="0">
      <formula>AND(ISNUMBER(AP13),AP13&lt;=$AP$11-2,AP13&gt;0)</formula>
    </cfRule>
    <cfRule type="expression" priority="194" dxfId="1">
      <formula>AND(ISNUMBER(AP13),AP13=$AP$11-1)</formula>
    </cfRule>
    <cfRule type="expression" priority="195" dxfId="2">
      <formula>AND(ISNUMBER(AP13),AP13=$AP$11+1)</formula>
    </cfRule>
    <cfRule type="expression" priority="196" dxfId="3">
      <formula>AND(ISNUMBER(AP13),AP13=$AP$11+2)</formula>
    </cfRule>
    <cfRule type="expression" priority="197" dxfId="4">
      <formula>AND(ISNUMBER(AP13),AP13=$AP$11+3)</formula>
    </cfRule>
    <cfRule type="expression" priority="198" dxfId="5">
      <formula>AND(ISNUMBER(AP13),AP13&gt;=$AP$11+4)</formula>
    </cfRule>
  </conditionalFormatting>
  <conditionalFormatting sqref="AQ13:AQ33">
    <cfRule type="expression" priority="199" dxfId="0">
      <formula>AND(ISNUMBER(AQ13),AQ13&lt;=$AQ$11-2,AQ13&gt;0)</formula>
    </cfRule>
    <cfRule type="expression" priority="200" dxfId="1">
      <formula>AND(ISNUMBER(AQ13),AQ13=$AQ$11-1)</formula>
    </cfRule>
    <cfRule type="expression" priority="201" dxfId="2">
      <formula>AND(ISNUMBER(AQ13),AQ13=$AQ$11+1)</formula>
    </cfRule>
    <cfRule type="expression" priority="202" dxfId="3">
      <formula>AND(ISNUMBER(AQ13),AQ13=$AQ$11+2)</formula>
    </cfRule>
    <cfRule type="expression" priority="203" dxfId="4">
      <formula>AND(ISNUMBER(AQ13),AQ13=$AQ$11+3)</formula>
    </cfRule>
    <cfRule type="expression" priority="204" dxfId="5">
      <formula>AND(ISNUMBER(AQ13),AQ13&gt;=$AQ$11+4)</formula>
    </cfRule>
  </conditionalFormatting>
  <conditionalFormatting sqref="AR13:AR33">
    <cfRule type="expression" priority="205" dxfId="0">
      <formula>AND(ISNUMBER(AR13),AR13&lt;=$AR$11-2,AR13&gt;0)</formula>
    </cfRule>
    <cfRule type="expression" priority="206" dxfId="1">
      <formula>AND(ISNUMBER(AR13),AR13=$AR$11-1)</formula>
    </cfRule>
    <cfRule type="expression" priority="207" dxfId="2">
      <formula>AND(ISNUMBER(AR13),AR13=$AR$11+1)</formula>
    </cfRule>
    <cfRule type="expression" priority="208" dxfId="3">
      <formula>AND(ISNUMBER(AR13),AR13=$AR$11+2)</formula>
    </cfRule>
    <cfRule type="expression" priority="209" dxfId="4">
      <formula>AND(ISNUMBER(AR13),AR13=$AR$11+3)</formula>
    </cfRule>
    <cfRule type="expression" priority="210" dxfId="5">
      <formula>AND(ISNUMBER(AR13),AR13&gt;=$AR$11+4)</formula>
    </cfRule>
  </conditionalFormatting>
  <conditionalFormatting sqref="AS13:AS33">
    <cfRule type="expression" priority="211" dxfId="0">
      <formula>AND(ISNUMBER(AS13),AS13&lt;=$AS$11-2,AS13&gt;0)</formula>
    </cfRule>
    <cfRule type="expression" priority="212" dxfId="1">
      <formula>AND(ISNUMBER(AS13),AS13=$AS$11-1)</formula>
    </cfRule>
    <cfRule type="expression" priority="213" dxfId="2">
      <formula>AND(ISNUMBER(AS13),AS13=$AS$11+1)</formula>
    </cfRule>
    <cfRule type="expression" priority="214" dxfId="3">
      <formula>AND(ISNUMBER(AS13),AS13=$AS$11+2)</formula>
    </cfRule>
    <cfRule type="expression" priority="215" dxfId="4">
      <formula>AND(ISNUMBER(AS13),AS13=$AS$11+3)</formula>
    </cfRule>
    <cfRule type="expression" priority="216" dxfId="5">
      <formula>AND(ISNUMBER(AS13),AS13&gt;=$AS$11+4)</formula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2026-04-28T22:26:47Z</dcterms:created>
  <dcterms:modified xmlns:dcterms="http://purl.org/dc/terms/" xmlns:xsi="http://www.w3.org/2001/XMLSchema-instance" xsi:type="dcterms:W3CDTF">2026-04-28T22:26:48Z</dcterms:modified>
</cp:coreProperties>
</file>